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ubio\personal_git\cibl\draft\bigboard\"/>
    </mc:Choice>
  </mc:AlternateContent>
  <xr:revisionPtr revIDLastSave="0" documentId="13_ncr:1_{35C4D6D7-85C2-40CB-A106-627B9F5C8EAA}" xr6:coauthVersionLast="36" xr6:coauthVersionMax="36" xr10:uidLastSave="{00000000-0000-0000-0000-000000000000}"/>
  <bookViews>
    <workbookView xWindow="0" yWindow="0" windowWidth="28800" windowHeight="11630" activeTab="1" xr2:uid="{600337D8-D9AA-456F-B227-AAF29C465AF6}"/>
  </bookViews>
  <sheets>
    <sheet name="Bats" sheetId="1" r:id="rId1"/>
    <sheet name="Arm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5" i="2" l="1"/>
  <c r="V538" i="2"/>
  <c r="V537" i="2"/>
  <c r="V536" i="2"/>
  <c r="V535" i="2"/>
  <c r="V534" i="2"/>
  <c r="X534" i="2" s="1"/>
  <c r="V533" i="2"/>
  <c r="V532" i="2"/>
  <c r="V531" i="2"/>
  <c r="V530" i="2"/>
  <c r="V529" i="2"/>
  <c r="V528" i="2"/>
  <c r="V527" i="2"/>
  <c r="X527" i="2" s="1"/>
  <c r="V526" i="2"/>
  <c r="V525" i="2"/>
  <c r="V524" i="2"/>
  <c r="V523" i="2"/>
  <c r="V522" i="2"/>
  <c r="X522" i="2" s="1"/>
  <c r="V521" i="2"/>
  <c r="V520" i="2"/>
  <c r="X520" i="2" s="1"/>
  <c r="V519" i="2"/>
  <c r="V518" i="2"/>
  <c r="V517" i="2"/>
  <c r="V516" i="2"/>
  <c r="V515" i="2"/>
  <c r="V514" i="2"/>
  <c r="V513" i="2"/>
  <c r="V512" i="2"/>
  <c r="V511" i="2"/>
  <c r="V510" i="2"/>
  <c r="X510" i="2" s="1"/>
  <c r="V509" i="2"/>
  <c r="V508" i="2"/>
  <c r="V507" i="2"/>
  <c r="V506" i="2"/>
  <c r="V505" i="2"/>
  <c r="V504" i="2"/>
  <c r="V503" i="2"/>
  <c r="X503" i="2" s="1"/>
  <c r="V502" i="2"/>
  <c r="V501" i="2"/>
  <c r="V500" i="2"/>
  <c r="V499" i="2"/>
  <c r="V498" i="2"/>
  <c r="V497" i="2"/>
  <c r="V496" i="2"/>
  <c r="V495" i="2"/>
  <c r="V494" i="2"/>
  <c r="V493" i="2"/>
  <c r="V492" i="2"/>
  <c r="V491" i="2"/>
  <c r="X491" i="2" s="1"/>
  <c r="V490" i="2"/>
  <c r="V489" i="2"/>
  <c r="V488" i="2"/>
  <c r="V487" i="2"/>
  <c r="V486" i="2"/>
  <c r="V485" i="2"/>
  <c r="V484" i="2"/>
  <c r="V483" i="2"/>
  <c r="V482" i="2"/>
  <c r="V481" i="2"/>
  <c r="X481" i="2" s="1"/>
  <c r="V480" i="2"/>
  <c r="V479" i="2"/>
  <c r="X479" i="2" s="1"/>
  <c r="V478" i="2"/>
  <c r="V477" i="2"/>
  <c r="V476" i="2"/>
  <c r="V475" i="2"/>
  <c r="V474" i="2"/>
  <c r="X474" i="2" s="1"/>
  <c r="V473" i="2"/>
  <c r="X473" i="2" s="1"/>
  <c r="V472" i="2"/>
  <c r="V471" i="2"/>
  <c r="V470" i="2"/>
  <c r="V469" i="2"/>
  <c r="V468" i="2"/>
  <c r="V467" i="2"/>
  <c r="V466" i="2"/>
  <c r="V465" i="2"/>
  <c r="X465" i="2" s="1"/>
  <c r="V464" i="2"/>
  <c r="V463" i="2"/>
  <c r="V462" i="2"/>
  <c r="V461" i="2"/>
  <c r="X461" i="2" s="1"/>
  <c r="V460" i="2"/>
  <c r="X460" i="2" s="1"/>
  <c r="V459" i="2"/>
  <c r="X459" i="2" s="1"/>
  <c r="V458" i="2"/>
  <c r="V457" i="2"/>
  <c r="V456" i="2"/>
  <c r="V455" i="2"/>
  <c r="X455" i="2" s="1"/>
  <c r="V454" i="2"/>
  <c r="V453" i="2"/>
  <c r="V452" i="2"/>
  <c r="V451" i="2"/>
  <c r="V450" i="2"/>
  <c r="X450" i="2" s="1"/>
  <c r="V449" i="2"/>
  <c r="X449" i="2" s="1"/>
  <c r="V448" i="2"/>
  <c r="X448" i="2" s="1"/>
  <c r="V447" i="2"/>
  <c r="V446" i="2"/>
  <c r="V445" i="2"/>
  <c r="V444" i="2"/>
  <c r="V443" i="2"/>
  <c r="X443" i="2" s="1"/>
  <c r="V442" i="2"/>
  <c r="V441" i="2"/>
  <c r="V440" i="2"/>
  <c r="V439" i="2"/>
  <c r="V438" i="2"/>
  <c r="V437" i="2"/>
  <c r="X437" i="2" s="1"/>
  <c r="V436" i="2"/>
  <c r="V435" i="2"/>
  <c r="V434" i="2"/>
  <c r="V433" i="2"/>
  <c r="V432" i="2"/>
  <c r="V431" i="2"/>
  <c r="V430" i="2"/>
  <c r="V429" i="2"/>
  <c r="V428" i="2"/>
  <c r="X428" i="2" s="1"/>
  <c r="V427" i="2"/>
  <c r="V426" i="2"/>
  <c r="V425" i="2"/>
  <c r="X425" i="2" s="1"/>
  <c r="V424" i="2"/>
  <c r="V423" i="2"/>
  <c r="V422" i="2"/>
  <c r="V421" i="2"/>
  <c r="V420" i="2"/>
  <c r="V419" i="2"/>
  <c r="V418" i="2"/>
  <c r="V417" i="2"/>
  <c r="V416" i="2"/>
  <c r="V415" i="2"/>
  <c r="V414" i="2"/>
  <c r="V413" i="2"/>
  <c r="V412" i="2"/>
  <c r="V411" i="2"/>
  <c r="V410" i="2"/>
  <c r="V409" i="2"/>
  <c r="V408" i="2"/>
  <c r="V407" i="2"/>
  <c r="X407" i="2" s="1"/>
  <c r="V406" i="2"/>
  <c r="V405" i="2"/>
  <c r="V404" i="2"/>
  <c r="V403" i="2"/>
  <c r="V402" i="2"/>
  <c r="V401" i="2"/>
  <c r="X401" i="2" s="1"/>
  <c r="V400" i="2"/>
  <c r="X400" i="2" s="1"/>
  <c r="V399" i="2"/>
  <c r="V398" i="2"/>
  <c r="V397" i="2"/>
  <c r="V396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X383" i="2" s="1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X369" i="2" s="1"/>
  <c r="V368" i="2"/>
  <c r="V367" i="2"/>
  <c r="V366" i="2"/>
  <c r="V365" i="2"/>
  <c r="V364" i="2"/>
  <c r="V363" i="2"/>
  <c r="V362" i="2"/>
  <c r="V361" i="2"/>
  <c r="V360" i="2"/>
  <c r="V359" i="2"/>
  <c r="X359" i="2" s="1"/>
  <c r="V358" i="2"/>
  <c r="V357" i="2"/>
  <c r="V356" i="2"/>
  <c r="V355" i="2"/>
  <c r="V354" i="2"/>
  <c r="V353" i="2"/>
  <c r="V352" i="2"/>
  <c r="V351" i="2"/>
  <c r="X351" i="2" s="1"/>
  <c r="V350" i="2"/>
  <c r="V349" i="2"/>
  <c r="V348" i="2"/>
  <c r="V347" i="2"/>
  <c r="X347" i="2" s="1"/>
  <c r="V346" i="2"/>
  <c r="V345" i="2"/>
  <c r="V344" i="2"/>
  <c r="X344" i="2" s="1"/>
  <c r="V343" i="2"/>
  <c r="V342" i="2"/>
  <c r="V341" i="2"/>
  <c r="X341" i="2" s="1"/>
  <c r="V340" i="2"/>
  <c r="X340" i="2" s="1"/>
  <c r="V339" i="2"/>
  <c r="V338" i="2"/>
  <c r="V337" i="2"/>
  <c r="V336" i="2"/>
  <c r="V335" i="2"/>
  <c r="V334" i="2"/>
  <c r="V333" i="2"/>
  <c r="V332" i="2"/>
  <c r="X332" i="2" s="1"/>
  <c r="V331" i="2"/>
  <c r="X331" i="2" s="1"/>
  <c r="V330" i="2"/>
  <c r="X330" i="2" s="1"/>
  <c r="V329" i="2"/>
  <c r="X329" i="2" s="1"/>
  <c r="V328" i="2"/>
  <c r="V327" i="2"/>
  <c r="V326" i="2"/>
  <c r="V325" i="2"/>
  <c r="V324" i="2"/>
  <c r="V323" i="2"/>
  <c r="V322" i="2"/>
  <c r="V321" i="2"/>
  <c r="V320" i="2"/>
  <c r="X320" i="2" s="1"/>
  <c r="V319" i="2"/>
  <c r="V318" i="2"/>
  <c r="X318" i="2" s="1"/>
  <c r="V317" i="2"/>
  <c r="V316" i="2"/>
  <c r="V315" i="2"/>
  <c r="V314" i="2"/>
  <c r="V313" i="2"/>
  <c r="V312" i="2"/>
  <c r="V311" i="2"/>
  <c r="V310" i="2"/>
  <c r="V309" i="2"/>
  <c r="V308" i="2"/>
  <c r="V307" i="2"/>
  <c r="V306" i="2"/>
  <c r="X306" i="2" s="1"/>
  <c r="V305" i="2"/>
  <c r="V304" i="2"/>
  <c r="V303" i="2"/>
  <c r="V302" i="2"/>
  <c r="V301" i="2"/>
  <c r="X301" i="2" s="1"/>
  <c r="V300" i="2"/>
  <c r="V299" i="2"/>
  <c r="V298" i="2"/>
  <c r="V297" i="2"/>
  <c r="V296" i="2"/>
  <c r="V295" i="2"/>
  <c r="V294" i="2"/>
  <c r="V293" i="2"/>
  <c r="V292" i="2"/>
  <c r="X292" i="2" s="1"/>
  <c r="V291" i="2"/>
  <c r="V290" i="2"/>
  <c r="V289" i="2"/>
  <c r="V288" i="2"/>
  <c r="V287" i="2"/>
  <c r="X287" i="2" s="1"/>
  <c r="V286" i="2"/>
  <c r="V285" i="2"/>
  <c r="V284" i="2"/>
  <c r="X284" i="2" s="1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X245" i="2" s="1"/>
  <c r="V244" i="2"/>
  <c r="X244" i="2" s="1"/>
  <c r="V243" i="2"/>
  <c r="V242" i="2"/>
  <c r="X242" i="2" s="1"/>
  <c r="V241" i="2"/>
  <c r="X241" i="2" s="1"/>
  <c r="V240" i="2"/>
  <c r="V239" i="2"/>
  <c r="X239" i="2" s="1"/>
  <c r="V238" i="2"/>
  <c r="V237" i="2"/>
  <c r="X237" i="2" s="1"/>
  <c r="V236" i="2"/>
  <c r="V235" i="2"/>
  <c r="V234" i="2"/>
  <c r="V233" i="2"/>
  <c r="V232" i="2"/>
  <c r="V231" i="2"/>
  <c r="X231" i="2" s="1"/>
  <c r="V230" i="2"/>
  <c r="V229" i="2"/>
  <c r="V228" i="2"/>
  <c r="V227" i="2"/>
  <c r="X227" i="2" s="1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X208" i="2" s="1"/>
  <c r="V207" i="2"/>
  <c r="V206" i="2"/>
  <c r="V205" i="2"/>
  <c r="V204" i="2"/>
  <c r="V203" i="2"/>
  <c r="V202" i="2"/>
  <c r="V201" i="2"/>
  <c r="V200" i="2"/>
  <c r="V199" i="2"/>
  <c r="V198" i="2"/>
  <c r="V197" i="2"/>
  <c r="V196" i="2"/>
  <c r="X196" i="2" s="1"/>
  <c r="V195" i="2"/>
  <c r="V194" i="2"/>
  <c r="V193" i="2"/>
  <c r="V192" i="2"/>
  <c r="V191" i="2"/>
  <c r="V190" i="2"/>
  <c r="V189" i="2"/>
  <c r="X189" i="2" s="1"/>
  <c r="V188" i="2"/>
  <c r="X188" i="2" s="1"/>
  <c r="V187" i="2"/>
  <c r="V186" i="2"/>
  <c r="V185" i="2"/>
  <c r="V184" i="2"/>
  <c r="V183" i="2"/>
  <c r="V182" i="2"/>
  <c r="V181" i="2"/>
  <c r="V180" i="2"/>
  <c r="V179" i="2"/>
  <c r="X179" i="2" s="1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X162" i="2" s="1"/>
  <c r="V161" i="2"/>
  <c r="V160" i="2"/>
  <c r="V159" i="2"/>
  <c r="V158" i="2"/>
  <c r="V157" i="2"/>
  <c r="V156" i="2"/>
  <c r="V155" i="2"/>
  <c r="V154" i="2"/>
  <c r="V153" i="2"/>
  <c r="V152" i="2"/>
  <c r="X152" i="2" s="1"/>
  <c r="V151" i="2"/>
  <c r="V150" i="2"/>
  <c r="X150" i="2" s="1"/>
  <c r="V149" i="2"/>
  <c r="V148" i="2"/>
  <c r="V147" i="2"/>
  <c r="V146" i="2"/>
  <c r="V145" i="2"/>
  <c r="V144" i="2"/>
  <c r="V143" i="2"/>
  <c r="X143" i="2" s="1"/>
  <c r="V142" i="2"/>
  <c r="V141" i="2"/>
  <c r="V140" i="2"/>
  <c r="X140" i="2" s="1"/>
  <c r="V139" i="2"/>
  <c r="V138" i="2"/>
  <c r="X138" i="2" s="1"/>
  <c r="V137" i="2"/>
  <c r="V136" i="2"/>
  <c r="V135" i="2"/>
  <c r="V134" i="2"/>
  <c r="V133" i="2"/>
  <c r="V132" i="2"/>
  <c r="V131" i="2"/>
  <c r="X131" i="2" s="1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X103" i="2" s="1"/>
  <c r="V102" i="2"/>
  <c r="X102" i="2" s="1"/>
  <c r="V101" i="2"/>
  <c r="V100" i="2"/>
  <c r="V99" i="2"/>
  <c r="V98" i="2"/>
  <c r="V97" i="2"/>
  <c r="V96" i="2"/>
  <c r="V95" i="2"/>
  <c r="X95" i="2" s="1"/>
  <c r="V94" i="2"/>
  <c r="V93" i="2"/>
  <c r="V92" i="2"/>
  <c r="V91" i="2"/>
  <c r="X91" i="2" s="1"/>
  <c r="V90" i="2"/>
  <c r="V89" i="2"/>
  <c r="V88" i="2"/>
  <c r="V87" i="2"/>
  <c r="V86" i="2"/>
  <c r="V85" i="2"/>
  <c r="V84" i="2"/>
  <c r="X84" i="2" s="1"/>
  <c r="V83" i="2"/>
  <c r="X83" i="2" s="1"/>
  <c r="V82" i="2"/>
  <c r="V81" i="2"/>
  <c r="V80" i="2"/>
  <c r="V79" i="2"/>
  <c r="V78" i="2"/>
  <c r="V77" i="2"/>
  <c r="X77" i="2" s="1"/>
  <c r="V76" i="2"/>
  <c r="V75" i="2"/>
  <c r="V74" i="2"/>
  <c r="V73" i="2"/>
  <c r="V72" i="2"/>
  <c r="V71" i="2"/>
  <c r="V70" i="2"/>
  <c r="V69" i="2"/>
  <c r="V68" i="2"/>
  <c r="X68" i="2" s="1"/>
  <c r="V67" i="2"/>
  <c r="V66" i="2"/>
  <c r="X66" i="2" s="1"/>
  <c r="V65" i="2"/>
  <c r="V64" i="2"/>
  <c r="X64" i="2" s="1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X47" i="2" s="1"/>
  <c r="V46" i="2"/>
  <c r="V45" i="2"/>
  <c r="V44" i="2"/>
  <c r="V43" i="2"/>
  <c r="V42" i="2"/>
  <c r="V41" i="2"/>
  <c r="X41" i="2" s="1"/>
  <c r="V40" i="2"/>
  <c r="X40" i="2" s="1"/>
  <c r="V39" i="2"/>
  <c r="V38" i="2"/>
  <c r="V37" i="2"/>
  <c r="V36" i="2"/>
  <c r="V35" i="2"/>
  <c r="V34" i="2"/>
  <c r="V33" i="2"/>
  <c r="V32" i="2"/>
  <c r="V31" i="2"/>
  <c r="X31" i="2" s="1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X16" i="2" s="1"/>
  <c r="V15" i="2"/>
  <c r="V14" i="2"/>
  <c r="V13" i="2"/>
  <c r="V12" i="2"/>
  <c r="V11" i="2"/>
  <c r="V10" i="2"/>
  <c r="V9" i="2"/>
  <c r="V8" i="2"/>
  <c r="V6" i="2"/>
  <c r="V4" i="2"/>
  <c r="V3" i="2"/>
  <c r="X3" i="2" s="1"/>
  <c r="V2" i="2"/>
  <c r="V7" i="2"/>
  <c r="X7" i="2"/>
  <c r="X8" i="2"/>
  <c r="X9" i="2"/>
  <c r="X22" i="2"/>
  <c r="X32" i="2"/>
  <c r="X33" i="2"/>
  <c r="X34" i="2"/>
  <c r="X44" i="2"/>
  <c r="X45" i="2"/>
  <c r="X46" i="2"/>
  <c r="X57" i="2"/>
  <c r="X58" i="2"/>
  <c r="X62" i="2"/>
  <c r="X69" i="2"/>
  <c r="X70" i="2"/>
  <c r="X78" i="2"/>
  <c r="X80" i="2"/>
  <c r="X81" i="2"/>
  <c r="X85" i="2"/>
  <c r="X90" i="2"/>
  <c r="X94" i="2"/>
  <c r="X104" i="2"/>
  <c r="X105" i="2"/>
  <c r="X106" i="2"/>
  <c r="X116" i="2"/>
  <c r="X117" i="2"/>
  <c r="X118" i="2"/>
  <c r="X128" i="2"/>
  <c r="X129" i="2"/>
  <c r="X130" i="2"/>
  <c r="X141" i="2"/>
  <c r="X153" i="2"/>
  <c r="X154" i="2"/>
  <c r="X174" i="2"/>
  <c r="X176" i="2"/>
  <c r="X177" i="2"/>
  <c r="X184" i="2"/>
  <c r="X186" i="2"/>
  <c r="X201" i="2"/>
  <c r="X202" i="2"/>
  <c r="X212" i="2"/>
  <c r="X213" i="2"/>
  <c r="X214" i="2"/>
  <c r="X224" i="2"/>
  <c r="X225" i="2"/>
  <c r="X226" i="2"/>
  <c r="X230" i="2"/>
  <c r="X236" i="2"/>
  <c r="X238" i="2"/>
  <c r="X248" i="2"/>
  <c r="X249" i="2"/>
  <c r="X250" i="2"/>
  <c r="X258" i="2"/>
  <c r="X262" i="2"/>
  <c r="X272" i="2"/>
  <c r="X273" i="2"/>
  <c r="X275" i="2"/>
  <c r="X285" i="2"/>
  <c r="X286" i="2"/>
  <c r="X296" i="2"/>
  <c r="X297" i="2"/>
  <c r="X298" i="2"/>
  <c r="X308" i="2"/>
  <c r="X309" i="2"/>
  <c r="X322" i="2"/>
  <c r="X323" i="2"/>
  <c r="X333" i="2"/>
  <c r="X342" i="2"/>
  <c r="X343" i="2"/>
  <c r="X345" i="2"/>
  <c r="X346" i="2"/>
  <c r="X356" i="2"/>
  <c r="X357" i="2"/>
  <c r="X358" i="2"/>
  <c r="X370" i="2"/>
  <c r="X380" i="2"/>
  <c r="X381" i="2"/>
  <c r="X382" i="2"/>
  <c r="X404" i="2"/>
  <c r="X405" i="2"/>
  <c r="X416" i="2"/>
  <c r="X417" i="2"/>
  <c r="X418" i="2"/>
  <c r="X429" i="2"/>
  <c r="X430" i="2"/>
  <c r="X442" i="2"/>
  <c r="X452" i="2"/>
  <c r="X453" i="2"/>
  <c r="X454" i="2"/>
  <c r="X462" i="2"/>
  <c r="X464" i="2"/>
  <c r="X478" i="2"/>
  <c r="X488" i="2"/>
  <c r="X489" i="2"/>
  <c r="X490" i="2"/>
  <c r="X500" i="2"/>
  <c r="X501" i="2"/>
  <c r="X502" i="2"/>
  <c r="X513" i="2"/>
  <c r="X514" i="2"/>
  <c r="X524" i="2"/>
  <c r="X525" i="2"/>
  <c r="X536" i="2"/>
  <c r="X538" i="2"/>
  <c r="X532" i="2"/>
  <c r="X512" i="2"/>
  <c r="X508" i="2"/>
  <c r="X496" i="2"/>
  <c r="X441" i="2"/>
  <c r="X368" i="2"/>
  <c r="X328" i="2"/>
  <c r="X304" i="2"/>
  <c r="X283" i="2"/>
  <c r="X261" i="2"/>
  <c r="X260" i="2"/>
  <c r="X256" i="2"/>
  <c r="X190" i="2"/>
  <c r="X148" i="2"/>
  <c r="X136" i="2"/>
  <c r="X88" i="2"/>
  <c r="X76" i="2"/>
  <c r="X20" i="2"/>
  <c r="AF538" i="2"/>
  <c r="AF537" i="2"/>
  <c r="AF536" i="2"/>
  <c r="AF535" i="2"/>
  <c r="AF534" i="2"/>
  <c r="AF533" i="2"/>
  <c r="AF532" i="2"/>
  <c r="AF531" i="2"/>
  <c r="AF530" i="2"/>
  <c r="AF529" i="2"/>
  <c r="AF528" i="2"/>
  <c r="AF527" i="2"/>
  <c r="AF526" i="2"/>
  <c r="AF525" i="2"/>
  <c r="AF524" i="2"/>
  <c r="AF523" i="2"/>
  <c r="AF522" i="2"/>
  <c r="AF521" i="2"/>
  <c r="AF520" i="2"/>
  <c r="AF519" i="2"/>
  <c r="AF518" i="2"/>
  <c r="AF517" i="2"/>
  <c r="AF516" i="2"/>
  <c r="AF515" i="2"/>
  <c r="AF514" i="2"/>
  <c r="AF513" i="2"/>
  <c r="AF512" i="2"/>
  <c r="AF511" i="2"/>
  <c r="AF510" i="2"/>
  <c r="AF509" i="2"/>
  <c r="AF508" i="2"/>
  <c r="AF507" i="2"/>
  <c r="AF506" i="2"/>
  <c r="AF505" i="2"/>
  <c r="AF504" i="2"/>
  <c r="AF503" i="2"/>
  <c r="AF502" i="2"/>
  <c r="AF501" i="2"/>
  <c r="AF500" i="2"/>
  <c r="AF499" i="2"/>
  <c r="AF498" i="2"/>
  <c r="AF497" i="2"/>
  <c r="AF496" i="2"/>
  <c r="AF495" i="2"/>
  <c r="AF494" i="2"/>
  <c r="AF493" i="2"/>
  <c r="AF492" i="2"/>
  <c r="AF491" i="2"/>
  <c r="AF490" i="2"/>
  <c r="AF489" i="2"/>
  <c r="AF488" i="2"/>
  <c r="AF487" i="2"/>
  <c r="AF486" i="2"/>
  <c r="AF485" i="2"/>
  <c r="AF484" i="2"/>
  <c r="AF483" i="2"/>
  <c r="AF482" i="2"/>
  <c r="AF481" i="2"/>
  <c r="AF480" i="2"/>
  <c r="AF479" i="2"/>
  <c r="AF478" i="2"/>
  <c r="AF477" i="2"/>
  <c r="AF476" i="2"/>
  <c r="AF475" i="2"/>
  <c r="AF474" i="2"/>
  <c r="AF473" i="2"/>
  <c r="AF472" i="2"/>
  <c r="AF471" i="2"/>
  <c r="AF470" i="2"/>
  <c r="AF469" i="2"/>
  <c r="AF468" i="2"/>
  <c r="AF467" i="2"/>
  <c r="AF466" i="2"/>
  <c r="AF465" i="2"/>
  <c r="AF464" i="2"/>
  <c r="AF463" i="2"/>
  <c r="AF462" i="2"/>
  <c r="AF461" i="2"/>
  <c r="AF460" i="2"/>
  <c r="AF459" i="2"/>
  <c r="AF458" i="2"/>
  <c r="AF457" i="2"/>
  <c r="AF456" i="2"/>
  <c r="AF455" i="2"/>
  <c r="AF454" i="2"/>
  <c r="AF453" i="2"/>
  <c r="AF452" i="2"/>
  <c r="AF451" i="2"/>
  <c r="AF450" i="2"/>
  <c r="AF449" i="2"/>
  <c r="AF448" i="2"/>
  <c r="AF447" i="2"/>
  <c r="AF446" i="2"/>
  <c r="AF445" i="2"/>
  <c r="AF444" i="2"/>
  <c r="AF443" i="2"/>
  <c r="AF442" i="2"/>
  <c r="AF441" i="2"/>
  <c r="AF440" i="2"/>
  <c r="AF439" i="2"/>
  <c r="AF438" i="2"/>
  <c r="AF437" i="2"/>
  <c r="AF436" i="2"/>
  <c r="AF435" i="2"/>
  <c r="AF434" i="2"/>
  <c r="AF433" i="2"/>
  <c r="AF432" i="2"/>
  <c r="AF431" i="2"/>
  <c r="AF430" i="2"/>
  <c r="AF429" i="2"/>
  <c r="AF428" i="2"/>
  <c r="AF427" i="2"/>
  <c r="AF426" i="2"/>
  <c r="AF425" i="2"/>
  <c r="AF424" i="2"/>
  <c r="AF423" i="2"/>
  <c r="AF422" i="2"/>
  <c r="AF421" i="2"/>
  <c r="AF420" i="2"/>
  <c r="AF419" i="2"/>
  <c r="AF418" i="2"/>
  <c r="AF417" i="2"/>
  <c r="AF416" i="2"/>
  <c r="AF415" i="2"/>
  <c r="AF414" i="2"/>
  <c r="AF413" i="2"/>
  <c r="AF412" i="2"/>
  <c r="AF411" i="2"/>
  <c r="AF410" i="2"/>
  <c r="AF409" i="2"/>
  <c r="AF408" i="2"/>
  <c r="AF407" i="2"/>
  <c r="AF406" i="2"/>
  <c r="AF405" i="2"/>
  <c r="AF404" i="2"/>
  <c r="AF403" i="2"/>
  <c r="AF402" i="2"/>
  <c r="AF401" i="2"/>
  <c r="AF400" i="2"/>
  <c r="AF399" i="2"/>
  <c r="AF398" i="2"/>
  <c r="AF397" i="2"/>
  <c r="AF396" i="2"/>
  <c r="AF395" i="2"/>
  <c r="AF394" i="2"/>
  <c r="AF393" i="2"/>
  <c r="AF392" i="2"/>
  <c r="AF391" i="2"/>
  <c r="AF390" i="2"/>
  <c r="AF389" i="2"/>
  <c r="AF388" i="2"/>
  <c r="AF387" i="2"/>
  <c r="AF386" i="2"/>
  <c r="AF385" i="2"/>
  <c r="AF384" i="2"/>
  <c r="AF383" i="2"/>
  <c r="AF382" i="2"/>
  <c r="AF381" i="2"/>
  <c r="AF380" i="2"/>
  <c r="AF379" i="2"/>
  <c r="AF378" i="2"/>
  <c r="AF377" i="2"/>
  <c r="X377" i="2" s="1"/>
  <c r="AF376" i="2"/>
  <c r="AF375" i="2"/>
  <c r="AF374" i="2"/>
  <c r="AF373" i="2"/>
  <c r="AF372" i="2"/>
  <c r="AF371" i="2"/>
  <c r="AF370" i="2"/>
  <c r="AF369" i="2"/>
  <c r="AF368" i="2"/>
  <c r="AF367" i="2"/>
  <c r="AF366" i="2"/>
  <c r="AF365" i="2"/>
  <c r="X365" i="2" s="1"/>
  <c r="AF364" i="2"/>
  <c r="AF363" i="2"/>
  <c r="AF362" i="2"/>
  <c r="AF361" i="2"/>
  <c r="AF360" i="2"/>
  <c r="AF359" i="2"/>
  <c r="AF358" i="2"/>
  <c r="AF357" i="2"/>
  <c r="AF356" i="2"/>
  <c r="AF355" i="2"/>
  <c r="AF354" i="2"/>
  <c r="AF353" i="2"/>
  <c r="X353" i="2" s="1"/>
  <c r="AF352" i="2"/>
  <c r="AF351" i="2"/>
  <c r="AF350" i="2"/>
  <c r="AF349" i="2"/>
  <c r="AF348" i="2"/>
  <c r="AF347" i="2"/>
  <c r="AF346" i="2"/>
  <c r="AF345" i="2"/>
  <c r="AF344" i="2"/>
  <c r="AF343" i="2"/>
  <c r="AF342" i="2"/>
  <c r="AF341" i="2"/>
  <c r="AF340" i="2"/>
  <c r="AF339" i="2"/>
  <c r="AF338" i="2"/>
  <c r="AF337" i="2"/>
  <c r="AF336" i="2"/>
  <c r="AF335" i="2"/>
  <c r="AF334" i="2"/>
  <c r="AF333" i="2"/>
  <c r="AF332" i="2"/>
  <c r="AF331" i="2"/>
  <c r="AF330" i="2"/>
  <c r="AF329" i="2"/>
  <c r="AF328" i="2"/>
  <c r="AF327" i="2"/>
  <c r="AF326" i="2"/>
  <c r="AF325" i="2"/>
  <c r="AF324" i="2"/>
  <c r="AF323" i="2"/>
  <c r="AF322" i="2"/>
  <c r="AF321" i="2"/>
  <c r="AF320" i="2"/>
  <c r="AF319" i="2"/>
  <c r="AF318" i="2"/>
  <c r="AF317" i="2"/>
  <c r="X317" i="2" s="1"/>
  <c r="AF316" i="2"/>
  <c r="AF315" i="2"/>
  <c r="AF314" i="2"/>
  <c r="AF313" i="2"/>
  <c r="AF312" i="2"/>
  <c r="AF311" i="2"/>
  <c r="AF310" i="2"/>
  <c r="AF309" i="2"/>
  <c r="AF308" i="2"/>
  <c r="AF307" i="2"/>
  <c r="AF306" i="2"/>
  <c r="AF305" i="2"/>
  <c r="AF304" i="2"/>
  <c r="AF303" i="2"/>
  <c r="AF302" i="2"/>
  <c r="AF301" i="2"/>
  <c r="AF300" i="2"/>
  <c r="AF299" i="2"/>
  <c r="AF298" i="2"/>
  <c r="AF297" i="2"/>
  <c r="AF296" i="2"/>
  <c r="AF295" i="2"/>
  <c r="AF294" i="2"/>
  <c r="AF293" i="2"/>
  <c r="AF292" i="2"/>
  <c r="AF291" i="2"/>
  <c r="AF290" i="2"/>
  <c r="AF289" i="2"/>
  <c r="AF288" i="2"/>
  <c r="AF287" i="2"/>
  <c r="AF286" i="2"/>
  <c r="AF285" i="2"/>
  <c r="AF284" i="2"/>
  <c r="AF283" i="2"/>
  <c r="AF282" i="2"/>
  <c r="AF281" i="2"/>
  <c r="X281" i="2" s="1"/>
  <c r="AF280" i="2"/>
  <c r="AF279" i="2"/>
  <c r="AF278" i="2"/>
  <c r="AF277" i="2"/>
  <c r="AF276" i="2"/>
  <c r="AF275" i="2"/>
  <c r="AF274" i="2"/>
  <c r="AF273" i="2"/>
  <c r="AF272" i="2"/>
  <c r="AF271" i="2"/>
  <c r="AF270" i="2"/>
  <c r="AF269" i="2"/>
  <c r="X269" i="2" s="1"/>
  <c r="AF268" i="2"/>
  <c r="AF267" i="2"/>
  <c r="AF266" i="2"/>
  <c r="AF265" i="2"/>
  <c r="AF264" i="2"/>
  <c r="AF263" i="2"/>
  <c r="AF262" i="2"/>
  <c r="AF261" i="2"/>
  <c r="AF260" i="2"/>
  <c r="AF259" i="2"/>
  <c r="AF258" i="2"/>
  <c r="AF257" i="2"/>
  <c r="X257" i="2" s="1"/>
  <c r="AF256" i="2"/>
  <c r="AF255" i="2"/>
  <c r="AF254" i="2"/>
  <c r="AF253" i="2"/>
  <c r="AF252" i="2"/>
  <c r="AF251" i="2"/>
  <c r="AF250" i="2"/>
  <c r="AF249" i="2"/>
  <c r="AF248" i="2"/>
  <c r="AF247" i="2"/>
  <c r="AF246" i="2"/>
  <c r="AF245" i="2"/>
  <c r="AF244" i="2"/>
  <c r="AF243" i="2"/>
  <c r="AF242" i="2"/>
  <c r="AF241" i="2"/>
  <c r="AF240" i="2"/>
  <c r="AF239" i="2"/>
  <c r="AF238" i="2"/>
  <c r="AF237" i="2"/>
  <c r="AF236" i="2"/>
  <c r="AF235" i="2"/>
  <c r="AF234" i="2"/>
  <c r="AF233" i="2"/>
  <c r="AF232" i="2"/>
  <c r="AF231" i="2"/>
  <c r="AF230" i="2"/>
  <c r="AF229" i="2"/>
  <c r="AF228" i="2"/>
  <c r="AF227" i="2"/>
  <c r="AF226" i="2"/>
  <c r="AF225" i="2"/>
  <c r="AF224" i="2"/>
  <c r="AF223" i="2"/>
  <c r="AF222" i="2"/>
  <c r="AF221" i="2"/>
  <c r="X221" i="2" s="1"/>
  <c r="AF220" i="2"/>
  <c r="AF219" i="2"/>
  <c r="AF218" i="2"/>
  <c r="AF217" i="2"/>
  <c r="AF216" i="2"/>
  <c r="AF215" i="2"/>
  <c r="AF214" i="2"/>
  <c r="AF213" i="2"/>
  <c r="AF212" i="2"/>
  <c r="AF211" i="2"/>
  <c r="AF210" i="2"/>
  <c r="AF209" i="2"/>
  <c r="X209" i="2" s="1"/>
  <c r="AF208" i="2"/>
  <c r="AF207" i="2"/>
  <c r="AF206" i="2"/>
  <c r="AF205" i="2"/>
  <c r="AF204" i="2"/>
  <c r="AF203" i="2"/>
  <c r="AF202" i="2"/>
  <c r="AF201" i="2"/>
  <c r="AF200" i="2"/>
  <c r="AF199" i="2"/>
  <c r="AF198" i="2"/>
  <c r="AF197" i="2"/>
  <c r="X197" i="2" s="1"/>
  <c r="AF196" i="2"/>
  <c r="AF195" i="2"/>
  <c r="AF194" i="2"/>
  <c r="AF193" i="2"/>
  <c r="AF192" i="2"/>
  <c r="AF191" i="2"/>
  <c r="AF190" i="2"/>
  <c r="AF189" i="2"/>
  <c r="AF188" i="2"/>
  <c r="AF187" i="2"/>
  <c r="AF186" i="2"/>
  <c r="AF185" i="2"/>
  <c r="X185" i="2" s="1"/>
  <c r="AF184" i="2"/>
  <c r="AF183" i="2"/>
  <c r="AF182" i="2"/>
  <c r="AF181" i="2"/>
  <c r="AF180" i="2"/>
  <c r="AF179" i="2"/>
  <c r="AF178" i="2"/>
  <c r="AF177" i="2"/>
  <c r="AF176" i="2"/>
  <c r="AF175" i="2"/>
  <c r="AF174" i="2"/>
  <c r="AF173" i="2"/>
  <c r="AF172" i="2"/>
  <c r="AF171" i="2"/>
  <c r="AF170" i="2"/>
  <c r="AF169" i="2"/>
  <c r="AF168" i="2"/>
  <c r="AF167" i="2"/>
  <c r="AF166" i="2"/>
  <c r="AF165" i="2"/>
  <c r="AF164" i="2"/>
  <c r="AF163" i="2"/>
  <c r="AF162" i="2"/>
  <c r="AF161" i="2"/>
  <c r="X161" i="2" s="1"/>
  <c r="AF160" i="2"/>
  <c r="AF159" i="2"/>
  <c r="AF158" i="2"/>
  <c r="AF157" i="2"/>
  <c r="AF156" i="2"/>
  <c r="AF155" i="2"/>
  <c r="AF154" i="2"/>
  <c r="AF153" i="2"/>
  <c r="AF152" i="2"/>
  <c r="AF151" i="2"/>
  <c r="AF150" i="2"/>
  <c r="AF149" i="2"/>
  <c r="X149" i="2" s="1"/>
  <c r="AF148" i="2"/>
  <c r="AF147" i="2"/>
  <c r="AF146" i="2"/>
  <c r="AF145" i="2"/>
  <c r="AF144" i="2"/>
  <c r="AF143" i="2"/>
  <c r="AF142" i="2"/>
  <c r="AF141" i="2"/>
  <c r="AF140" i="2"/>
  <c r="AF139" i="2"/>
  <c r="AF138" i="2"/>
  <c r="AF137" i="2"/>
  <c r="X137" i="2" s="1"/>
  <c r="AF136" i="2"/>
  <c r="AF135" i="2"/>
  <c r="AF134" i="2"/>
  <c r="AF133" i="2"/>
  <c r="AF132" i="2"/>
  <c r="AF131" i="2"/>
  <c r="AF130" i="2"/>
  <c r="AF129" i="2"/>
  <c r="AF128" i="2"/>
  <c r="AF127" i="2"/>
  <c r="AF126" i="2"/>
  <c r="AF125" i="2"/>
  <c r="X125" i="2" s="1"/>
  <c r="AF124" i="2"/>
  <c r="AF123" i="2"/>
  <c r="AF122" i="2"/>
  <c r="AF121" i="2"/>
  <c r="AF120" i="2"/>
  <c r="AF119" i="2"/>
  <c r="AF118" i="2"/>
  <c r="AF117" i="2"/>
  <c r="AF116" i="2"/>
  <c r="AF115" i="2"/>
  <c r="AF114" i="2"/>
  <c r="AF113" i="2"/>
  <c r="AF112" i="2"/>
  <c r="AF111" i="2"/>
  <c r="AF110" i="2"/>
  <c r="AF109" i="2"/>
  <c r="AF108" i="2"/>
  <c r="AF107" i="2"/>
  <c r="AF106" i="2"/>
  <c r="AF105" i="2"/>
  <c r="AF104" i="2"/>
  <c r="AF103" i="2"/>
  <c r="AF102" i="2"/>
  <c r="AF101" i="2"/>
  <c r="X101" i="2" s="1"/>
  <c r="AF100" i="2"/>
  <c r="AF99" i="2"/>
  <c r="AF98" i="2"/>
  <c r="AF97" i="2"/>
  <c r="AF96" i="2"/>
  <c r="AF95" i="2"/>
  <c r="AF94" i="2"/>
  <c r="AF93" i="2"/>
  <c r="AF92" i="2"/>
  <c r="AF91" i="2"/>
  <c r="AF90" i="2"/>
  <c r="AF89" i="2"/>
  <c r="X89" i="2" s="1"/>
  <c r="AF88" i="2"/>
  <c r="AF87" i="2"/>
  <c r="AF86" i="2"/>
  <c r="AF85" i="2"/>
  <c r="AF84" i="2"/>
  <c r="AF83" i="2"/>
  <c r="AF82" i="2"/>
  <c r="AF81" i="2"/>
  <c r="AF80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X65" i="2" s="1"/>
  <c r="AF64" i="2"/>
  <c r="AF63" i="2"/>
  <c r="AF62" i="2"/>
  <c r="AF61" i="2"/>
  <c r="AF60" i="2"/>
  <c r="AF59" i="2"/>
  <c r="AF58" i="2"/>
  <c r="AF57" i="2"/>
  <c r="AF56" i="2"/>
  <c r="AF55" i="2"/>
  <c r="AF54" i="2"/>
  <c r="AF53" i="2"/>
  <c r="X53" i="2" s="1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X29" i="2" s="1"/>
  <c r="AF28" i="2"/>
  <c r="AF27" i="2"/>
  <c r="AF26" i="2"/>
  <c r="AF25" i="2"/>
  <c r="AF24" i="2"/>
  <c r="AF23" i="2"/>
  <c r="AF22" i="2"/>
  <c r="AF21" i="2"/>
  <c r="AF20" i="2"/>
  <c r="AF19" i="2"/>
  <c r="AF18" i="2"/>
  <c r="AF17" i="2"/>
  <c r="X17" i="2" s="1"/>
  <c r="AF16" i="2"/>
  <c r="AF15" i="2"/>
  <c r="AF14" i="2"/>
  <c r="AF13" i="2"/>
  <c r="AF12" i="2"/>
  <c r="AF10" i="2"/>
  <c r="AF9" i="2"/>
  <c r="AF8" i="2"/>
  <c r="AF7" i="2"/>
  <c r="AF6" i="2"/>
  <c r="AF5" i="2"/>
  <c r="AF4" i="2"/>
  <c r="X4" i="2" s="1"/>
  <c r="AF3" i="2"/>
  <c r="AF2" i="2"/>
  <c r="AF11" i="2"/>
  <c r="X537" i="2"/>
  <c r="X526" i="2"/>
  <c r="X509" i="2"/>
  <c r="X497" i="2"/>
  <c r="X486" i="2"/>
  <c r="X485" i="2"/>
  <c r="X477" i="2"/>
  <c r="X476" i="2"/>
  <c r="X466" i="2"/>
  <c r="X426" i="2"/>
  <c r="X413" i="2"/>
  <c r="X394" i="2"/>
  <c r="X393" i="2"/>
  <c r="X392" i="2"/>
  <c r="X390" i="2"/>
  <c r="X389" i="2"/>
  <c r="X354" i="2"/>
  <c r="X334" i="2"/>
  <c r="X321" i="2"/>
  <c r="X310" i="2"/>
  <c r="X270" i="2"/>
  <c r="X198" i="2"/>
  <c r="X178" i="2"/>
  <c r="X166" i="2"/>
  <c r="X165" i="2"/>
  <c r="X164" i="2"/>
  <c r="X93" i="2"/>
  <c r="X92" i="2"/>
  <c r="X82" i="2"/>
  <c r="X56" i="2"/>
  <c r="X18" i="2"/>
  <c r="X5" i="2"/>
  <c r="X535" i="2"/>
  <c r="X533" i="2"/>
  <c r="X521" i="2"/>
  <c r="X305" i="2"/>
  <c r="X293" i="2"/>
  <c r="X233" i="2"/>
  <c r="X173" i="2"/>
  <c r="X172" i="2"/>
  <c r="X163" i="2"/>
  <c r="X113" i="2"/>
  <c r="X498" i="2"/>
  <c r="X440" i="2"/>
  <c r="X438" i="2"/>
  <c r="X414" i="2"/>
  <c r="X406" i="2"/>
  <c r="X402" i="2"/>
  <c r="X378" i="2"/>
  <c r="X366" i="2"/>
  <c r="X294" i="2"/>
  <c r="X282" i="2"/>
  <c r="X274" i="2"/>
  <c r="X246" i="2"/>
  <c r="X234" i="2"/>
  <c r="X222" i="2"/>
  <c r="X210" i="2"/>
  <c r="X200" i="2"/>
  <c r="X142" i="2"/>
  <c r="X126" i="2"/>
  <c r="X114" i="2"/>
  <c r="X54" i="2"/>
  <c r="X42" i="2"/>
  <c r="X30" i="2"/>
  <c r="X21" i="2"/>
  <c r="X6" i="2"/>
  <c r="AC524" i="2"/>
  <c r="AC511" i="2"/>
  <c r="AC509" i="2"/>
  <c r="AC499" i="2"/>
  <c r="AC497" i="2"/>
  <c r="AC496" i="2"/>
  <c r="AC488" i="2"/>
  <c r="AC487" i="2"/>
  <c r="AC485" i="2"/>
  <c r="AC481" i="2"/>
  <c r="AC476" i="2"/>
  <c r="AC475" i="2"/>
  <c r="AC473" i="2"/>
  <c r="AC469" i="2"/>
  <c r="AC463" i="2"/>
  <c r="AC461" i="2"/>
  <c r="AC457" i="2"/>
  <c r="AC441" i="2"/>
  <c r="AC440" i="2"/>
  <c r="AC439" i="2"/>
  <c r="AC437" i="2"/>
  <c r="AC433" i="2"/>
  <c r="AC427" i="2"/>
  <c r="AC416" i="2"/>
  <c r="AC412" i="2"/>
  <c r="AC404" i="2"/>
  <c r="AC403" i="2"/>
  <c r="AC401" i="2"/>
  <c r="AC400" i="2"/>
  <c r="AC391" i="2"/>
  <c r="AC385" i="2"/>
  <c r="AC376" i="2"/>
  <c r="AC373" i="2"/>
  <c r="AC367" i="2"/>
  <c r="AC365" i="2"/>
  <c r="AC356" i="2"/>
  <c r="AC355" i="2"/>
  <c r="AC353" i="2"/>
  <c r="AC352" i="2"/>
  <c r="AC343" i="2"/>
  <c r="AC337" i="2"/>
  <c r="AC333" i="2"/>
  <c r="AC332" i="2"/>
  <c r="AC331" i="2"/>
  <c r="AC319" i="2"/>
  <c r="AC313" i="2"/>
  <c r="AC309" i="2"/>
  <c r="AC308" i="2"/>
  <c r="AC301" i="2"/>
  <c r="AC297" i="2"/>
  <c r="AC296" i="2"/>
  <c r="AC283" i="2"/>
  <c r="AC281" i="2"/>
  <c r="AC280" i="2"/>
  <c r="AC279" i="2"/>
  <c r="AC273" i="2"/>
  <c r="AC272" i="2"/>
  <c r="AC271" i="2"/>
  <c r="AC269" i="2"/>
  <c r="AC260" i="2"/>
  <c r="AC256" i="2"/>
  <c r="AC253" i="2"/>
  <c r="AC247" i="2"/>
  <c r="AC245" i="2"/>
  <c r="AC236" i="2"/>
  <c r="AC231" i="2"/>
  <c r="AC230" i="2"/>
  <c r="AC229" i="2"/>
  <c r="AC217" i="2"/>
  <c r="AC212" i="2"/>
  <c r="AC211" i="2"/>
  <c r="AC199" i="2"/>
  <c r="AC197" i="2"/>
  <c r="AC193" i="2"/>
  <c r="AC187" i="2"/>
  <c r="AC175" i="2"/>
  <c r="AC173" i="2"/>
  <c r="AC169" i="2"/>
  <c r="AC164" i="2"/>
  <c r="AC152" i="2"/>
  <c r="AC151" i="2"/>
  <c r="AC149" i="2"/>
  <c r="AC145" i="2"/>
  <c r="AC128" i="2"/>
  <c r="AC127" i="2"/>
  <c r="AC115" i="2"/>
  <c r="AC113" i="2"/>
  <c r="AC112" i="2"/>
  <c r="AC111" i="2"/>
  <c r="AC110" i="2"/>
  <c r="AC109" i="2"/>
  <c r="AC99" i="2"/>
  <c r="AC92" i="2"/>
  <c r="AC81" i="2"/>
  <c r="AC80" i="2"/>
  <c r="AC67" i="2"/>
  <c r="AC65" i="2"/>
  <c r="AC55" i="2"/>
  <c r="AC53" i="2"/>
  <c r="AC44" i="2"/>
  <c r="AC43" i="2"/>
  <c r="AC41" i="2"/>
  <c r="AC40" i="2"/>
  <c r="AC31" i="2"/>
  <c r="AC20" i="2"/>
  <c r="AC9" i="2"/>
  <c r="AC8" i="2"/>
  <c r="AC7" i="2"/>
  <c r="AC5" i="2"/>
  <c r="AC2" i="2"/>
  <c r="AB524" i="2"/>
  <c r="AB522" i="2"/>
  <c r="AB521" i="2"/>
  <c r="AB517" i="2"/>
  <c r="AB514" i="2"/>
  <c r="AB505" i="2"/>
  <c r="AB501" i="2"/>
  <c r="AB500" i="2"/>
  <c r="AB493" i="2"/>
  <c r="AB488" i="2"/>
  <c r="AB481" i="2"/>
  <c r="AB476" i="2"/>
  <c r="AB474" i="2"/>
  <c r="AB473" i="2"/>
  <c r="AB464" i="2"/>
  <c r="AB462" i="2"/>
  <c r="AB457" i="2"/>
  <c r="AB452" i="2"/>
  <c r="AB442" i="2"/>
  <c r="AB438" i="2"/>
  <c r="AB437" i="2"/>
  <c r="AB436" i="2"/>
  <c r="AB421" i="2"/>
  <c r="AB416" i="2"/>
  <c r="AB414" i="2"/>
  <c r="AB406" i="2"/>
  <c r="AB405" i="2"/>
  <c r="AB404" i="2"/>
  <c r="AB397" i="2"/>
  <c r="AB388" i="2"/>
  <c r="AB382" i="2"/>
  <c r="AB381" i="2"/>
  <c r="AB380" i="2"/>
  <c r="AB378" i="2"/>
  <c r="AB368" i="2"/>
  <c r="AB366" i="2"/>
  <c r="AB358" i="2"/>
  <c r="AB357" i="2"/>
  <c r="AB356" i="2"/>
  <c r="AB349" i="2"/>
  <c r="AB344" i="2"/>
  <c r="AB342" i="2"/>
  <c r="AB337" i="2"/>
  <c r="AB329" i="2"/>
  <c r="AB328" i="2"/>
  <c r="AB325" i="2"/>
  <c r="AB320" i="2"/>
  <c r="AB318" i="2"/>
  <c r="AB317" i="2"/>
  <c r="AB316" i="2"/>
  <c r="AB312" i="2"/>
  <c r="AB301" i="2"/>
  <c r="AB292" i="2"/>
  <c r="AB289" i="2"/>
  <c r="AB286" i="2"/>
  <c r="AB285" i="2"/>
  <c r="AB284" i="2"/>
  <c r="AB272" i="2"/>
  <c r="AB266" i="2"/>
  <c r="AB265" i="2"/>
  <c r="AB262" i="2"/>
  <c r="AB253" i="2"/>
  <c r="AB248" i="2"/>
  <c r="AB241" i="2"/>
  <c r="AB236" i="2"/>
  <c r="AB234" i="2"/>
  <c r="AB233" i="2"/>
  <c r="AB232" i="2"/>
  <c r="AE232" i="2" s="1"/>
  <c r="AB231" i="2"/>
  <c r="AB224" i="2"/>
  <c r="AB222" i="2"/>
  <c r="AB209" i="2"/>
  <c r="AB208" i="2"/>
  <c r="AB200" i="2"/>
  <c r="AB195" i="2"/>
  <c r="AB194" i="2"/>
  <c r="AB193" i="2"/>
  <c r="AB192" i="2"/>
  <c r="AB188" i="2"/>
  <c r="AB185" i="2"/>
  <c r="AB176" i="2"/>
  <c r="AB172" i="2"/>
  <c r="AB169" i="2"/>
  <c r="AB159" i="2"/>
  <c r="AB157" i="2"/>
  <c r="AB142" i="2"/>
  <c r="AB141" i="2"/>
  <c r="AB140" i="2"/>
  <c r="AB136" i="2"/>
  <c r="AB121" i="2"/>
  <c r="AB116" i="2"/>
  <c r="AB114" i="2"/>
  <c r="AB113" i="2"/>
  <c r="AE113" i="2" s="1"/>
  <c r="AB110" i="2"/>
  <c r="AB109" i="2"/>
  <c r="AB105" i="2"/>
  <c r="AB97" i="2"/>
  <c r="AB92" i="2"/>
  <c r="AB81" i="2"/>
  <c r="AB80" i="2"/>
  <c r="AE80" i="2" s="1"/>
  <c r="AB65" i="2"/>
  <c r="AE65" i="2" s="1"/>
  <c r="AB64" i="2"/>
  <c r="AB63" i="2"/>
  <c r="AB61" i="2"/>
  <c r="AB49" i="2"/>
  <c r="AB45" i="2"/>
  <c r="AB44" i="2"/>
  <c r="AB43" i="2"/>
  <c r="AB40" i="2"/>
  <c r="AB37" i="2"/>
  <c r="AB32" i="2"/>
  <c r="AB31" i="2"/>
  <c r="AB25" i="2"/>
  <c r="AB20" i="2"/>
  <c r="AB19" i="2"/>
  <c r="AB10" i="2"/>
  <c r="AB9" i="2"/>
  <c r="AB8" i="2"/>
  <c r="AB7" i="2"/>
  <c r="AA532" i="2"/>
  <c r="AA531" i="2"/>
  <c r="AA530" i="2"/>
  <c r="AA529" i="2"/>
  <c r="AA523" i="2"/>
  <c r="AA511" i="2"/>
  <c r="AA510" i="2"/>
  <c r="AA509" i="2"/>
  <c r="AE509" i="2" s="1"/>
  <c r="AA508" i="2"/>
  <c r="AA505" i="2"/>
  <c r="AA499" i="2"/>
  <c r="AA496" i="2"/>
  <c r="AA487" i="2"/>
  <c r="AA486" i="2"/>
  <c r="AA481" i="2"/>
  <c r="AA475" i="2"/>
  <c r="AA473" i="2"/>
  <c r="AA472" i="2"/>
  <c r="AA471" i="2"/>
  <c r="AA470" i="2"/>
  <c r="AA454" i="2"/>
  <c r="AA447" i="2"/>
  <c r="AA445" i="2"/>
  <c r="AA442" i="2"/>
  <c r="AA440" i="2"/>
  <c r="AA439" i="2"/>
  <c r="AA433" i="2"/>
  <c r="AA430" i="2"/>
  <c r="AA429" i="2"/>
  <c r="AA428" i="2"/>
  <c r="AA427" i="2"/>
  <c r="AA424" i="2"/>
  <c r="AA416" i="2"/>
  <c r="AA415" i="2"/>
  <c r="AA409" i="2"/>
  <c r="AA406" i="2"/>
  <c r="AE406" i="2" s="1"/>
  <c r="AA405" i="2"/>
  <c r="AA404" i="2"/>
  <c r="AA403" i="2"/>
  <c r="AA398" i="2"/>
  <c r="AA397" i="2"/>
  <c r="AA392" i="2"/>
  <c r="AA391" i="2"/>
  <c r="AA388" i="2"/>
  <c r="AA382" i="2"/>
  <c r="AE382" i="2" s="1"/>
  <c r="AA381" i="2"/>
  <c r="AE381" i="2" s="1"/>
  <c r="AA376" i="2"/>
  <c r="AE376" i="2" s="1"/>
  <c r="AA375" i="2"/>
  <c r="AA373" i="2"/>
  <c r="AA368" i="2"/>
  <c r="AE368" i="2" s="1"/>
  <c r="AA367" i="2"/>
  <c r="AA361" i="2"/>
  <c r="AA358" i="2"/>
  <c r="AE358" i="2" s="1"/>
  <c r="AA356" i="2"/>
  <c r="AA355" i="2"/>
  <c r="AA345" i="2"/>
  <c r="AA344" i="2"/>
  <c r="AE344" i="2" s="1"/>
  <c r="AA343" i="2"/>
  <c r="AA340" i="2"/>
  <c r="AA337" i="2"/>
  <c r="AA332" i="2"/>
  <c r="AA331" i="2"/>
  <c r="AA325" i="2"/>
  <c r="AA320" i="2"/>
  <c r="AA319" i="2"/>
  <c r="AA316" i="2"/>
  <c r="AA313" i="2"/>
  <c r="AA304" i="2"/>
  <c r="AA301" i="2"/>
  <c r="AA296" i="2"/>
  <c r="AE296" i="2" s="1"/>
  <c r="AA295" i="2"/>
  <c r="AA289" i="2"/>
  <c r="AA285" i="2"/>
  <c r="AE285" i="2" s="1"/>
  <c r="AA284" i="2"/>
  <c r="AE284" i="2" s="1"/>
  <c r="AA283" i="2"/>
  <c r="AA274" i="2"/>
  <c r="AA273" i="2"/>
  <c r="AA272" i="2"/>
  <c r="AA271" i="2"/>
  <c r="AA260" i="2"/>
  <c r="AA259" i="2"/>
  <c r="AA256" i="2"/>
  <c r="AA255" i="2"/>
  <c r="AA254" i="2"/>
  <c r="AA253" i="2"/>
  <c r="AA248" i="2"/>
  <c r="AA247" i="2"/>
  <c r="AA241" i="2"/>
  <c r="AA238" i="2"/>
  <c r="AA237" i="2"/>
  <c r="AA232" i="2"/>
  <c r="AA231" i="2"/>
  <c r="AA230" i="2"/>
  <c r="AA224" i="2"/>
  <c r="AE224" i="2" s="1"/>
  <c r="AA223" i="2"/>
  <c r="AA217" i="2"/>
  <c r="AA214" i="2"/>
  <c r="AA212" i="2"/>
  <c r="AA211" i="2"/>
  <c r="AA208" i="2"/>
  <c r="AA200" i="2"/>
  <c r="AE200" i="2" s="1"/>
  <c r="AA199" i="2"/>
  <c r="AA196" i="2"/>
  <c r="AA193" i="2"/>
  <c r="AA188" i="2"/>
  <c r="AA187" i="2"/>
  <c r="AA181" i="2"/>
  <c r="AA176" i="2"/>
  <c r="AA175" i="2"/>
  <c r="AA172" i="2"/>
  <c r="AA171" i="2"/>
  <c r="AA170" i="2"/>
  <c r="AA169" i="2"/>
  <c r="AA160" i="2"/>
  <c r="AA157" i="2"/>
  <c r="AA154" i="2"/>
  <c r="AA153" i="2"/>
  <c r="AA152" i="2"/>
  <c r="AE152" i="2" s="1"/>
  <c r="AA151" i="2"/>
  <c r="AA145" i="2"/>
  <c r="AA140" i="2"/>
  <c r="AA139" i="2"/>
  <c r="AA136" i="2"/>
  <c r="AE136" i="2" s="1"/>
  <c r="AA130" i="2"/>
  <c r="AA129" i="2"/>
  <c r="AA128" i="2"/>
  <c r="AE128" i="2" s="1"/>
  <c r="AA127" i="2"/>
  <c r="AA121" i="2"/>
  <c r="AA116" i="2"/>
  <c r="AE116" i="2" s="1"/>
  <c r="AA115" i="2"/>
  <c r="AA112" i="2"/>
  <c r="AA111" i="2"/>
  <c r="AA104" i="2"/>
  <c r="AA103" i="2"/>
  <c r="AA97" i="2"/>
  <c r="AA94" i="2"/>
  <c r="AA85" i="2"/>
  <c r="AA82" i="2"/>
  <c r="AA80" i="2"/>
  <c r="AA79" i="2"/>
  <c r="AA68" i="2"/>
  <c r="AA67" i="2"/>
  <c r="AA64" i="2"/>
  <c r="AA56" i="2"/>
  <c r="AE56" i="2" s="1"/>
  <c r="AA55" i="2"/>
  <c r="AA50" i="2"/>
  <c r="AA49" i="2"/>
  <c r="AA44" i="2"/>
  <c r="AA43" i="2"/>
  <c r="AA40" i="2"/>
  <c r="AA37" i="2"/>
  <c r="AA32" i="2"/>
  <c r="AA31" i="2"/>
  <c r="AA28" i="2"/>
  <c r="AA27" i="2"/>
  <c r="AA26" i="2"/>
  <c r="AA25" i="2"/>
  <c r="AA16" i="2"/>
  <c r="AA13" i="2"/>
  <c r="AA9" i="2"/>
  <c r="AA8" i="2"/>
  <c r="AA7" i="2"/>
  <c r="AE440" i="2"/>
  <c r="AE356" i="2"/>
  <c r="AE320" i="2"/>
  <c r="AE273" i="2"/>
  <c r="AE272" i="2"/>
  <c r="AE260" i="2"/>
  <c r="AE248" i="2"/>
  <c r="AE236" i="2"/>
  <c r="AE212" i="2"/>
  <c r="AE188" i="2"/>
  <c r="AE176" i="2"/>
  <c r="AE140" i="2"/>
  <c r="AE32" i="2"/>
  <c r="AE9" i="2"/>
  <c r="AD538" i="2"/>
  <c r="AD536" i="2"/>
  <c r="AD535" i="2"/>
  <c r="AD534" i="2"/>
  <c r="AD533" i="2"/>
  <c r="AD524" i="2"/>
  <c r="AD523" i="2"/>
  <c r="AD522" i="2"/>
  <c r="AD512" i="2"/>
  <c r="AD511" i="2"/>
  <c r="AD510" i="2"/>
  <c r="AD509" i="2"/>
  <c r="AD498" i="2"/>
  <c r="AD497" i="2"/>
  <c r="AD496" i="2"/>
  <c r="AD490" i="2"/>
  <c r="AD489" i="2"/>
  <c r="AD488" i="2"/>
  <c r="AD487" i="2"/>
  <c r="AD477" i="2"/>
  <c r="AD476" i="2"/>
  <c r="AD475" i="2"/>
  <c r="AD474" i="2"/>
  <c r="AD473" i="2"/>
  <c r="AD464" i="2"/>
  <c r="AD463" i="2"/>
  <c r="AD454" i="2"/>
  <c r="AD453" i="2"/>
  <c r="AD452" i="2"/>
  <c r="AD451" i="2"/>
  <c r="AD448" i="2"/>
  <c r="AD440" i="2"/>
  <c r="AD439" i="2"/>
  <c r="AD438" i="2"/>
  <c r="AD437" i="2"/>
  <c r="AD436" i="2"/>
  <c r="AD430" i="2"/>
  <c r="AD429" i="2"/>
  <c r="AD426" i="2"/>
  <c r="AD425" i="2"/>
  <c r="AD424" i="2"/>
  <c r="AD416" i="2"/>
  <c r="AD415" i="2"/>
  <c r="AD412" i="2"/>
  <c r="AD406" i="2"/>
  <c r="AD405" i="2"/>
  <c r="AD404" i="2"/>
  <c r="AD403" i="2"/>
  <c r="AD392" i="2"/>
  <c r="AD391" i="2"/>
  <c r="AD390" i="2"/>
  <c r="AD389" i="2"/>
  <c r="AD388" i="2"/>
  <c r="AD382" i="2"/>
  <c r="AD380" i="2"/>
  <c r="AD379" i="2"/>
  <c r="AD368" i="2"/>
  <c r="AD367" i="2"/>
  <c r="AD366" i="2"/>
  <c r="AD353" i="2"/>
  <c r="AD352" i="2"/>
  <c r="AD344" i="2"/>
  <c r="AD343" i="2"/>
  <c r="AD340" i="2"/>
  <c r="AD339" i="2"/>
  <c r="AD336" i="2"/>
  <c r="AD332" i="2"/>
  <c r="AD331" i="2"/>
  <c r="AD322" i="2"/>
  <c r="AD321" i="2"/>
  <c r="AD320" i="2"/>
  <c r="AD319" i="2"/>
  <c r="AD318" i="2"/>
  <c r="AD317" i="2"/>
  <c r="AD308" i="2"/>
  <c r="AD307" i="2"/>
  <c r="AD306" i="2"/>
  <c r="AD305" i="2"/>
  <c r="AD304" i="2"/>
  <c r="AD296" i="2"/>
  <c r="AD295" i="2"/>
  <c r="AD285" i="2"/>
  <c r="AD282" i="2"/>
  <c r="AD281" i="2"/>
  <c r="AD280" i="2"/>
  <c r="AD272" i="2"/>
  <c r="AD271" i="2"/>
  <c r="AD262" i="2"/>
  <c r="AD260" i="2"/>
  <c r="AD259" i="2"/>
  <c r="AD258" i="2"/>
  <c r="AD257" i="2"/>
  <c r="AD248" i="2"/>
  <c r="AD247" i="2"/>
  <c r="AD246" i="2"/>
  <c r="AD238" i="2"/>
  <c r="AD237" i="2"/>
  <c r="AD236" i="2"/>
  <c r="AD235" i="2"/>
  <c r="AD234" i="2"/>
  <c r="AD233" i="2"/>
  <c r="AD232" i="2"/>
  <c r="AD224" i="2"/>
  <c r="AD223" i="2"/>
  <c r="AD222" i="2"/>
  <c r="AD221" i="2"/>
  <c r="AD220" i="2"/>
  <c r="AD214" i="2"/>
  <c r="AD213" i="2"/>
  <c r="AD201" i="2"/>
  <c r="AD200" i="2"/>
  <c r="AD199" i="2"/>
  <c r="AD196" i="2"/>
  <c r="AD195" i="2"/>
  <c r="AD188" i="2"/>
  <c r="AD187" i="2"/>
  <c r="AD185" i="2"/>
  <c r="AD178" i="2"/>
  <c r="AD177" i="2"/>
  <c r="AD176" i="2"/>
  <c r="AD175" i="2"/>
  <c r="AD172" i="2"/>
  <c r="AD171" i="2"/>
  <c r="AD166" i="2"/>
  <c r="AD165" i="2"/>
  <c r="AD164" i="2"/>
  <c r="AD163" i="2"/>
  <c r="AD161" i="2"/>
  <c r="AD160" i="2"/>
  <c r="AD152" i="2"/>
  <c r="AD151" i="2"/>
  <c r="AD150" i="2"/>
  <c r="AD149" i="2"/>
  <c r="AD148" i="2"/>
  <c r="AD147" i="2"/>
  <c r="AD132" i="2"/>
  <c r="AD130" i="2"/>
  <c r="AD129" i="2"/>
  <c r="AD128" i="2"/>
  <c r="AD127" i="2"/>
  <c r="AD124" i="2"/>
  <c r="AD118" i="2"/>
  <c r="AD116" i="2"/>
  <c r="AD115" i="2"/>
  <c r="AD114" i="2"/>
  <c r="AD113" i="2"/>
  <c r="AD108" i="2"/>
  <c r="AD106" i="2"/>
  <c r="AD104" i="2"/>
  <c r="AD103" i="2"/>
  <c r="AD102" i="2"/>
  <c r="AD101" i="2"/>
  <c r="AD92" i="2"/>
  <c r="AD91" i="2"/>
  <c r="AD90" i="2"/>
  <c r="AD80" i="2"/>
  <c r="AD79" i="2"/>
  <c r="AD78" i="2"/>
  <c r="AD77" i="2"/>
  <c r="AD66" i="2"/>
  <c r="AD65" i="2"/>
  <c r="AD64" i="2"/>
  <c r="AD58" i="2"/>
  <c r="AD57" i="2"/>
  <c r="AD56" i="2"/>
  <c r="AD55" i="2"/>
  <c r="AD46" i="2"/>
  <c r="AD45" i="2"/>
  <c r="AD44" i="2"/>
  <c r="AD43" i="2"/>
  <c r="AD42" i="2"/>
  <c r="AD41" i="2"/>
  <c r="AD32" i="2"/>
  <c r="AD31" i="2"/>
  <c r="AD27" i="2"/>
  <c r="AD22" i="2"/>
  <c r="AD20" i="2"/>
  <c r="AD19" i="2"/>
  <c r="AD18" i="2"/>
  <c r="AD17" i="2"/>
  <c r="AD16" i="2"/>
  <c r="AD13" i="2"/>
  <c r="AD8" i="2"/>
  <c r="AD7" i="2"/>
  <c r="AD6" i="2"/>
  <c r="AD5" i="2"/>
  <c r="AD2" i="2"/>
  <c r="Z538" i="2"/>
  <c r="Z537" i="2"/>
  <c r="Z536" i="2"/>
  <c r="Z535" i="2"/>
  <c r="Z534" i="2"/>
  <c r="Z533" i="2"/>
  <c r="Z532" i="2"/>
  <c r="Z531" i="2"/>
  <c r="Z530" i="2"/>
  <c r="Z529" i="2"/>
  <c r="Z528" i="2"/>
  <c r="AA528" i="2" s="1"/>
  <c r="Z527" i="2"/>
  <c r="Z526" i="2"/>
  <c r="Z525" i="2"/>
  <c r="Z524" i="2"/>
  <c r="AA524" i="2" s="1"/>
  <c r="Z523" i="2"/>
  <c r="Z522" i="2"/>
  <c r="Z521" i="2"/>
  <c r="Z520" i="2"/>
  <c r="AC520" i="2" s="1"/>
  <c r="Z519" i="2"/>
  <c r="Z518" i="2"/>
  <c r="Z517" i="2"/>
  <c r="Z516" i="2"/>
  <c r="Z515" i="2"/>
  <c r="AA515" i="2" s="1"/>
  <c r="Z514" i="2"/>
  <c r="Z513" i="2"/>
  <c r="Z512" i="2"/>
  <c r="AC512" i="2" s="1"/>
  <c r="Z511" i="2"/>
  <c r="AB511" i="2" s="1"/>
  <c r="Z510" i="2"/>
  <c r="Z509" i="2"/>
  <c r="AB509" i="2" s="1"/>
  <c r="Z508" i="2"/>
  <c r="AD508" i="2" s="1"/>
  <c r="Z507" i="2"/>
  <c r="Z506" i="2"/>
  <c r="Z505" i="2"/>
  <c r="AD505" i="2" s="1"/>
  <c r="Z504" i="2"/>
  <c r="Z503" i="2"/>
  <c r="Z502" i="2"/>
  <c r="Z501" i="2"/>
  <c r="Z500" i="2"/>
  <c r="Z499" i="2"/>
  <c r="AB499" i="2" s="1"/>
  <c r="Z498" i="2"/>
  <c r="Z497" i="2"/>
  <c r="Z496" i="2"/>
  <c r="AB496" i="2" s="1"/>
  <c r="Z495" i="2"/>
  <c r="Z494" i="2"/>
  <c r="Z493" i="2"/>
  <c r="Z492" i="2"/>
  <c r="Z491" i="2"/>
  <c r="Z490" i="2"/>
  <c r="Z489" i="2"/>
  <c r="Z488" i="2"/>
  <c r="AA488" i="2" s="1"/>
  <c r="Z487" i="2"/>
  <c r="AB487" i="2" s="1"/>
  <c r="Z486" i="2"/>
  <c r="Z485" i="2"/>
  <c r="Z484" i="2"/>
  <c r="Z483" i="2"/>
  <c r="Z482" i="2"/>
  <c r="Z481" i="2"/>
  <c r="AD481" i="2" s="1"/>
  <c r="Z480" i="2"/>
  <c r="Z479" i="2"/>
  <c r="Z478" i="2"/>
  <c r="Z477" i="2"/>
  <c r="Z476" i="2"/>
  <c r="AA476" i="2" s="1"/>
  <c r="AE476" i="2" s="1"/>
  <c r="Z475" i="2"/>
  <c r="AB475" i="2" s="1"/>
  <c r="Z474" i="2"/>
  <c r="Z473" i="2"/>
  <c r="Z472" i="2"/>
  <c r="Z471" i="2"/>
  <c r="Z470" i="2"/>
  <c r="Z469" i="2"/>
  <c r="Z468" i="2"/>
  <c r="Z467" i="2"/>
  <c r="Z466" i="2"/>
  <c r="Z465" i="2"/>
  <c r="Z464" i="2"/>
  <c r="Z463" i="2"/>
  <c r="Z462" i="2"/>
  <c r="Z461" i="2"/>
  <c r="AB461" i="2" s="1"/>
  <c r="Z460" i="2"/>
  <c r="AC460" i="2" s="1"/>
  <c r="Z459" i="2"/>
  <c r="Z458" i="2"/>
  <c r="Z457" i="2"/>
  <c r="AD457" i="2" s="1"/>
  <c r="Z456" i="2"/>
  <c r="Z455" i="2"/>
  <c r="Z454" i="2"/>
  <c r="Z453" i="2"/>
  <c r="Z452" i="2"/>
  <c r="AA452" i="2" s="1"/>
  <c r="AE452" i="2" s="1"/>
  <c r="Z451" i="2"/>
  <c r="Z450" i="2"/>
  <c r="Z449" i="2"/>
  <c r="Z448" i="2"/>
  <c r="Z447" i="2"/>
  <c r="Z446" i="2"/>
  <c r="Z445" i="2"/>
  <c r="AC445" i="2" s="1"/>
  <c r="Z444" i="2"/>
  <c r="AC444" i="2" s="1"/>
  <c r="Z443" i="2"/>
  <c r="AD443" i="2" s="1"/>
  <c r="Z442" i="2"/>
  <c r="Z441" i="2"/>
  <c r="Z440" i="2"/>
  <c r="AB440" i="2" s="1"/>
  <c r="Z439" i="2"/>
  <c r="AB439" i="2" s="1"/>
  <c r="Z438" i="2"/>
  <c r="Z437" i="2"/>
  <c r="AA437" i="2" s="1"/>
  <c r="Z436" i="2"/>
  <c r="Z435" i="2"/>
  <c r="Z434" i="2"/>
  <c r="Z433" i="2"/>
  <c r="Z432" i="2"/>
  <c r="Z431" i="2"/>
  <c r="Z430" i="2"/>
  <c r="Z429" i="2"/>
  <c r="Z428" i="2"/>
  <c r="AD428" i="2" s="1"/>
  <c r="Z427" i="2"/>
  <c r="AB427" i="2" s="1"/>
  <c r="Z426" i="2"/>
  <c r="Z425" i="2"/>
  <c r="Z424" i="2"/>
  <c r="Z423" i="2"/>
  <c r="Z422" i="2"/>
  <c r="Z421" i="2"/>
  <c r="Z420" i="2"/>
  <c r="Z419" i="2"/>
  <c r="Z418" i="2"/>
  <c r="Z417" i="2"/>
  <c r="Z416" i="2"/>
  <c r="Z415" i="2"/>
  <c r="Z414" i="2"/>
  <c r="Z413" i="2"/>
  <c r="Z412" i="2"/>
  <c r="AB412" i="2" s="1"/>
  <c r="Z411" i="2"/>
  <c r="AA411" i="2" s="1"/>
  <c r="Z410" i="2"/>
  <c r="Z409" i="2"/>
  <c r="Z408" i="2"/>
  <c r="Z407" i="2"/>
  <c r="Z406" i="2"/>
  <c r="AC406" i="2" s="1"/>
  <c r="Z405" i="2"/>
  <c r="AC405" i="2" s="1"/>
  <c r="Z404" i="2"/>
  <c r="Z403" i="2"/>
  <c r="AB403" i="2" s="1"/>
  <c r="Z402" i="2"/>
  <c r="Z401" i="2"/>
  <c r="Z400" i="2"/>
  <c r="Z399" i="2"/>
  <c r="Z398" i="2"/>
  <c r="Z397" i="2"/>
  <c r="Z396" i="2"/>
  <c r="Z395" i="2"/>
  <c r="Z394" i="2"/>
  <c r="Z393" i="2"/>
  <c r="Z392" i="2"/>
  <c r="AC392" i="2" s="1"/>
  <c r="Z391" i="2"/>
  <c r="AB391" i="2" s="1"/>
  <c r="Z390" i="2"/>
  <c r="Z389" i="2"/>
  <c r="Z388" i="2"/>
  <c r="AC388" i="2" s="1"/>
  <c r="Z387" i="2"/>
  <c r="Z386" i="2"/>
  <c r="Z385" i="2"/>
  <c r="Z384" i="2"/>
  <c r="Z383" i="2"/>
  <c r="AB383" i="2" s="1"/>
  <c r="Z382" i="2"/>
  <c r="AC382" i="2" s="1"/>
  <c r="Z381" i="2"/>
  <c r="Z380" i="2"/>
  <c r="AC380" i="2" s="1"/>
  <c r="Z379" i="2"/>
  <c r="Z378" i="2"/>
  <c r="Z377" i="2"/>
  <c r="Z376" i="2"/>
  <c r="AB376" i="2" s="1"/>
  <c r="Z375" i="2"/>
  <c r="AC375" i="2" s="1"/>
  <c r="Z374" i="2"/>
  <c r="Z373" i="2"/>
  <c r="Z372" i="2"/>
  <c r="Z371" i="2"/>
  <c r="Z370" i="2"/>
  <c r="Z369" i="2"/>
  <c r="Z368" i="2"/>
  <c r="AC368" i="2" s="1"/>
  <c r="Z367" i="2"/>
  <c r="AB367" i="2" s="1"/>
  <c r="Z366" i="2"/>
  <c r="Z365" i="2"/>
  <c r="Z364" i="2"/>
  <c r="Z363" i="2"/>
  <c r="Z362" i="2"/>
  <c r="AA362" i="2" s="1"/>
  <c r="Z361" i="2"/>
  <c r="Z360" i="2"/>
  <c r="AB360" i="2" s="1"/>
  <c r="Z359" i="2"/>
  <c r="AB359" i="2" s="1"/>
  <c r="Z358" i="2"/>
  <c r="Z357" i="2"/>
  <c r="Z356" i="2"/>
  <c r="AD356" i="2" s="1"/>
  <c r="Z355" i="2"/>
  <c r="AB355" i="2" s="1"/>
  <c r="Z354" i="2"/>
  <c r="AD354" i="2" s="1"/>
  <c r="Z353" i="2"/>
  <c r="Z352" i="2"/>
  <c r="AB352" i="2" s="1"/>
  <c r="Z351" i="2"/>
  <c r="Z350" i="2"/>
  <c r="Z349" i="2"/>
  <c r="Z348" i="2"/>
  <c r="Z347" i="2"/>
  <c r="Z346" i="2"/>
  <c r="Z345" i="2"/>
  <c r="Z344" i="2"/>
  <c r="AC344" i="2" s="1"/>
  <c r="Z343" i="2"/>
  <c r="AB343" i="2" s="1"/>
  <c r="Z342" i="2"/>
  <c r="Z341" i="2"/>
  <c r="Z340" i="2"/>
  <c r="AC340" i="2" s="1"/>
  <c r="Z339" i="2"/>
  <c r="AB339" i="2" s="1"/>
  <c r="Z338" i="2"/>
  <c r="AA338" i="2" s="1"/>
  <c r="Z337" i="2"/>
  <c r="AD337" i="2" s="1"/>
  <c r="Z336" i="2"/>
  <c r="Z335" i="2"/>
  <c r="Z334" i="2"/>
  <c r="Z333" i="2"/>
  <c r="Z332" i="2"/>
  <c r="AB332" i="2" s="1"/>
  <c r="Z331" i="2"/>
  <c r="AB331" i="2" s="1"/>
  <c r="Z330" i="2"/>
  <c r="Z329" i="2"/>
  <c r="Z328" i="2"/>
  <c r="AA328" i="2" s="1"/>
  <c r="AE328" i="2" s="1"/>
  <c r="Z327" i="2"/>
  <c r="Z326" i="2"/>
  <c r="Z325" i="2"/>
  <c r="Z324" i="2"/>
  <c r="Z323" i="2"/>
  <c r="Z322" i="2"/>
  <c r="Z321" i="2"/>
  <c r="Z320" i="2"/>
  <c r="AC320" i="2" s="1"/>
  <c r="Z319" i="2"/>
  <c r="AB319" i="2" s="1"/>
  <c r="Z318" i="2"/>
  <c r="Z317" i="2"/>
  <c r="Z316" i="2"/>
  <c r="AC316" i="2" s="1"/>
  <c r="Z315" i="2"/>
  <c r="Z314" i="2"/>
  <c r="Z313" i="2"/>
  <c r="Z312" i="2"/>
  <c r="Z311" i="2"/>
  <c r="Z310" i="2"/>
  <c r="Z309" i="2"/>
  <c r="Z308" i="2"/>
  <c r="AB308" i="2" s="1"/>
  <c r="Z307" i="2"/>
  <c r="Z306" i="2"/>
  <c r="Z305" i="2"/>
  <c r="Z304" i="2"/>
  <c r="AC304" i="2" s="1"/>
  <c r="Z303" i="2"/>
  <c r="Z302" i="2"/>
  <c r="Z301" i="2"/>
  <c r="AD301" i="2" s="1"/>
  <c r="Z300" i="2"/>
  <c r="AB300" i="2" s="1"/>
  <c r="Z299" i="2"/>
  <c r="AA299" i="2" s="1"/>
  <c r="Z298" i="2"/>
  <c r="Z297" i="2"/>
  <c r="Z296" i="2"/>
  <c r="AB296" i="2" s="1"/>
  <c r="Z295" i="2"/>
  <c r="Z294" i="2"/>
  <c r="Z293" i="2"/>
  <c r="Z292" i="2"/>
  <c r="Z291" i="2"/>
  <c r="Z290" i="2"/>
  <c r="Z289" i="2"/>
  <c r="AD289" i="2" s="1"/>
  <c r="Z288" i="2"/>
  <c r="Z287" i="2"/>
  <c r="Z286" i="2"/>
  <c r="Z285" i="2"/>
  <c r="AC285" i="2" s="1"/>
  <c r="Z284" i="2"/>
  <c r="AD284" i="2" s="1"/>
  <c r="Z283" i="2"/>
  <c r="AB283" i="2" s="1"/>
  <c r="Z282" i="2"/>
  <c r="Z281" i="2"/>
  <c r="Z280" i="2"/>
  <c r="AA280" i="2" s="1"/>
  <c r="Z279" i="2"/>
  <c r="Z278" i="2"/>
  <c r="Z277" i="2"/>
  <c r="Z276" i="2"/>
  <c r="Z275" i="2"/>
  <c r="AA275" i="2" s="1"/>
  <c r="Z274" i="2"/>
  <c r="Z273" i="2"/>
  <c r="AB273" i="2" s="1"/>
  <c r="Z272" i="2"/>
  <c r="Z271" i="2"/>
  <c r="AB271" i="2" s="1"/>
  <c r="Z270" i="2"/>
  <c r="AB270" i="2" s="1"/>
  <c r="Z269" i="2"/>
  <c r="Z268" i="2"/>
  <c r="AA268" i="2" s="1"/>
  <c r="Z267" i="2"/>
  <c r="Z266" i="2"/>
  <c r="Z265" i="2"/>
  <c r="Z264" i="2"/>
  <c r="Z263" i="2"/>
  <c r="AB263" i="2" s="1"/>
  <c r="Z262" i="2"/>
  <c r="Z261" i="2"/>
  <c r="Z260" i="2"/>
  <c r="AB260" i="2" s="1"/>
  <c r="Z259" i="2"/>
  <c r="Z258" i="2"/>
  <c r="Z257" i="2"/>
  <c r="Z256" i="2"/>
  <c r="Z255" i="2"/>
  <c r="Z254" i="2"/>
  <c r="Z253" i="2"/>
  <c r="AD253" i="2" s="1"/>
  <c r="Z252" i="2"/>
  <c r="AC252" i="2" s="1"/>
  <c r="Z251" i="2"/>
  <c r="Z250" i="2"/>
  <c r="Z249" i="2"/>
  <c r="Z248" i="2"/>
  <c r="AC248" i="2" s="1"/>
  <c r="Z247" i="2"/>
  <c r="AB247" i="2" s="1"/>
  <c r="Z246" i="2"/>
  <c r="Z245" i="2"/>
  <c r="Z244" i="2"/>
  <c r="Z243" i="2"/>
  <c r="Z242" i="2"/>
  <c r="Z241" i="2"/>
  <c r="Z240" i="2"/>
  <c r="Z239" i="2"/>
  <c r="Z238" i="2"/>
  <c r="Z237" i="2"/>
  <c r="Z236" i="2"/>
  <c r="AA236" i="2" s="1"/>
  <c r="Z235" i="2"/>
  <c r="Z234" i="2"/>
  <c r="Z233" i="2"/>
  <c r="Z232" i="2"/>
  <c r="AC232" i="2" s="1"/>
  <c r="Z231" i="2"/>
  <c r="AD231" i="2" s="1"/>
  <c r="Z230" i="2"/>
  <c r="Z229" i="2"/>
  <c r="Z228" i="2"/>
  <c r="Z227" i="2"/>
  <c r="Z226" i="2"/>
  <c r="Z225" i="2"/>
  <c r="Z224" i="2"/>
  <c r="AC224" i="2" s="1"/>
  <c r="Z223" i="2"/>
  <c r="AB223" i="2" s="1"/>
  <c r="Z222" i="2"/>
  <c r="Z221" i="2"/>
  <c r="Z220" i="2"/>
  <c r="Z219" i="2"/>
  <c r="Z218" i="2"/>
  <c r="Z217" i="2"/>
  <c r="Z216" i="2"/>
  <c r="Z215" i="2"/>
  <c r="Z214" i="2"/>
  <c r="Z213" i="2"/>
  <c r="Z212" i="2"/>
  <c r="AB212" i="2" s="1"/>
  <c r="Z211" i="2"/>
  <c r="AB211" i="2" s="1"/>
  <c r="Z210" i="2"/>
  <c r="AB210" i="2" s="1"/>
  <c r="Z209" i="2"/>
  <c r="Z208" i="2"/>
  <c r="Z207" i="2"/>
  <c r="Z206" i="2"/>
  <c r="Z205" i="2"/>
  <c r="Z204" i="2"/>
  <c r="Z203" i="2"/>
  <c r="Z202" i="2"/>
  <c r="Z201" i="2"/>
  <c r="Z200" i="2"/>
  <c r="AC200" i="2" s="1"/>
  <c r="Z199" i="2"/>
  <c r="AB199" i="2" s="1"/>
  <c r="Z198" i="2"/>
  <c r="Z197" i="2"/>
  <c r="Z196" i="2"/>
  <c r="AB196" i="2" s="1"/>
  <c r="Z195" i="2"/>
  <c r="Z194" i="2"/>
  <c r="Z193" i="2"/>
  <c r="AD193" i="2" s="1"/>
  <c r="Z192" i="2"/>
  <c r="Z191" i="2"/>
  <c r="Z190" i="2"/>
  <c r="Z189" i="2"/>
  <c r="AA189" i="2" s="1"/>
  <c r="Z188" i="2"/>
  <c r="AC188" i="2" s="1"/>
  <c r="Z187" i="2"/>
  <c r="AB187" i="2" s="1"/>
  <c r="Z186" i="2"/>
  <c r="AB186" i="2" s="1"/>
  <c r="Z185" i="2"/>
  <c r="Z184" i="2"/>
  <c r="Z183" i="2"/>
  <c r="Z182" i="2"/>
  <c r="Z181" i="2"/>
  <c r="Z180" i="2"/>
  <c r="Z179" i="2"/>
  <c r="Z178" i="2"/>
  <c r="Z177" i="2"/>
  <c r="Z176" i="2"/>
  <c r="AC176" i="2" s="1"/>
  <c r="Z175" i="2"/>
  <c r="AB175" i="2" s="1"/>
  <c r="Z174" i="2"/>
  <c r="Z173" i="2"/>
  <c r="Z172" i="2"/>
  <c r="AC172" i="2" s="1"/>
  <c r="Z171" i="2"/>
  <c r="AC171" i="2" s="1"/>
  <c r="Z170" i="2"/>
  <c r="AD170" i="2" s="1"/>
  <c r="Z169" i="2"/>
  <c r="AD169" i="2" s="1"/>
  <c r="Z168" i="2"/>
  <c r="Z167" i="2"/>
  <c r="Z166" i="2"/>
  <c r="Z165" i="2"/>
  <c r="Z164" i="2"/>
  <c r="AB164" i="2" s="1"/>
  <c r="Z163" i="2"/>
  <c r="Z162" i="2"/>
  <c r="AD162" i="2" s="1"/>
  <c r="Z161" i="2"/>
  <c r="Z160" i="2"/>
  <c r="Z159" i="2"/>
  <c r="Z158" i="2"/>
  <c r="Z157" i="2"/>
  <c r="AD157" i="2" s="1"/>
  <c r="Z156" i="2"/>
  <c r="Z155" i="2"/>
  <c r="Z154" i="2"/>
  <c r="Z153" i="2"/>
  <c r="Z152" i="2"/>
  <c r="AB152" i="2" s="1"/>
  <c r="Z151" i="2"/>
  <c r="AB151" i="2" s="1"/>
  <c r="Z150" i="2"/>
  <c r="Z149" i="2"/>
  <c r="Z148" i="2"/>
  <c r="Z147" i="2"/>
  <c r="Z146" i="2"/>
  <c r="Z145" i="2"/>
  <c r="Z144" i="2"/>
  <c r="Z143" i="2"/>
  <c r="Z142" i="2"/>
  <c r="Z141" i="2"/>
  <c r="Z140" i="2"/>
  <c r="AD140" i="2" s="1"/>
  <c r="Z139" i="2"/>
  <c r="Z138" i="2"/>
  <c r="Z137" i="2"/>
  <c r="Z136" i="2"/>
  <c r="AC136" i="2" s="1"/>
  <c r="Z135" i="2"/>
  <c r="AD135" i="2" s="1"/>
  <c r="Z134" i="2"/>
  <c r="Z133" i="2"/>
  <c r="Z132" i="2"/>
  <c r="AB132" i="2" s="1"/>
  <c r="Z131" i="2"/>
  <c r="AD131" i="2" s="1"/>
  <c r="Z130" i="2"/>
  <c r="Z129" i="2"/>
  <c r="Z128" i="2"/>
  <c r="AB128" i="2" s="1"/>
  <c r="Z127" i="2"/>
  <c r="AB127" i="2" s="1"/>
  <c r="Z126" i="2"/>
  <c r="Z125" i="2"/>
  <c r="Z124" i="2"/>
  <c r="AC124" i="2" s="1"/>
  <c r="Z123" i="2"/>
  <c r="Z122" i="2"/>
  <c r="Z121" i="2"/>
  <c r="Z120" i="2"/>
  <c r="Z119" i="2"/>
  <c r="Z118" i="2"/>
  <c r="Z117" i="2"/>
  <c r="Z116" i="2"/>
  <c r="AC116" i="2" s="1"/>
  <c r="Z115" i="2"/>
  <c r="AB115" i="2" s="1"/>
  <c r="Z114" i="2"/>
  <c r="Z113" i="2"/>
  <c r="AA113" i="2" s="1"/>
  <c r="Z112" i="2"/>
  <c r="Z111" i="2"/>
  <c r="Z110" i="2"/>
  <c r="AD110" i="2" s="1"/>
  <c r="Z109" i="2"/>
  <c r="AD109" i="2" s="1"/>
  <c r="Z108" i="2"/>
  <c r="Z107" i="2"/>
  <c r="Z106" i="2"/>
  <c r="Z105" i="2"/>
  <c r="Z104" i="2"/>
  <c r="Z103" i="2"/>
  <c r="Z102" i="2"/>
  <c r="Z101" i="2"/>
  <c r="Z100" i="2"/>
  <c r="Z99" i="2"/>
  <c r="Z98" i="2"/>
  <c r="Z97" i="2"/>
  <c r="Z96" i="2"/>
  <c r="AB96" i="2" s="1"/>
  <c r="Z95" i="2"/>
  <c r="Z94" i="2"/>
  <c r="Z93" i="2"/>
  <c r="Z92" i="2"/>
  <c r="AA92" i="2" s="1"/>
  <c r="AE92" i="2" s="1"/>
  <c r="Z91" i="2"/>
  <c r="Z90" i="2"/>
  <c r="Z89" i="2"/>
  <c r="Z88" i="2"/>
  <c r="AC88" i="2" s="1"/>
  <c r="Z87" i="2"/>
  <c r="Z86" i="2"/>
  <c r="Z85" i="2"/>
  <c r="Z84" i="2"/>
  <c r="AB84" i="2" s="1"/>
  <c r="Z83" i="2"/>
  <c r="AB83" i="2" s="1"/>
  <c r="Z82" i="2"/>
  <c r="Z81" i="2"/>
  <c r="Z80" i="2"/>
  <c r="Z79" i="2"/>
  <c r="AB79" i="2" s="1"/>
  <c r="Z78" i="2"/>
  <c r="Z77" i="2"/>
  <c r="Z76" i="2"/>
  <c r="AD76" i="2" s="1"/>
  <c r="Z75" i="2"/>
  <c r="Z74" i="2"/>
  <c r="Z73" i="2"/>
  <c r="AC73" i="2" s="1"/>
  <c r="Z72" i="2"/>
  <c r="Z71" i="2"/>
  <c r="Z70" i="2"/>
  <c r="Z69" i="2"/>
  <c r="AA69" i="2" s="1"/>
  <c r="Z68" i="2"/>
  <c r="AC68" i="2" s="1"/>
  <c r="Z67" i="2"/>
  <c r="AB67" i="2" s="1"/>
  <c r="Z66" i="2"/>
  <c r="Z65" i="2"/>
  <c r="AA65" i="2" s="1"/>
  <c r="Z64" i="2"/>
  <c r="AC64" i="2" s="1"/>
  <c r="Z63" i="2"/>
  <c r="AC63" i="2" s="1"/>
  <c r="Z62" i="2"/>
  <c r="Z61" i="2"/>
  <c r="Z60" i="2"/>
  <c r="Z59" i="2"/>
  <c r="Z58" i="2"/>
  <c r="Z57" i="2"/>
  <c r="Z56" i="2"/>
  <c r="AB56" i="2" s="1"/>
  <c r="Z55" i="2"/>
  <c r="AB55" i="2" s="1"/>
  <c r="Z54" i="2"/>
  <c r="Z53" i="2"/>
  <c r="Z52" i="2"/>
  <c r="AA52" i="2" s="1"/>
  <c r="Z51" i="2"/>
  <c r="Z50" i="2"/>
  <c r="Z49" i="2"/>
  <c r="AD49" i="2" s="1"/>
  <c r="Z48" i="2"/>
  <c r="Z47" i="2"/>
  <c r="Z46" i="2"/>
  <c r="AC46" i="2" s="1"/>
  <c r="Z45" i="2"/>
  <c r="AC45" i="2" s="1"/>
  <c r="Z44" i="2"/>
  <c r="Z43" i="2"/>
  <c r="Z42" i="2"/>
  <c r="Z41" i="2"/>
  <c r="Z40" i="2"/>
  <c r="AD40" i="2" s="1"/>
  <c r="Z39" i="2"/>
  <c r="Z38" i="2"/>
  <c r="Z37" i="2"/>
  <c r="Z36" i="2"/>
  <c r="Z35" i="2"/>
  <c r="Z34" i="2"/>
  <c r="Z33" i="2"/>
  <c r="Z32" i="2"/>
  <c r="AC32" i="2" s="1"/>
  <c r="Z31" i="2"/>
  <c r="Z30" i="2"/>
  <c r="AD30" i="2" s="1"/>
  <c r="Z29" i="2"/>
  <c r="Z28" i="2"/>
  <c r="AB28" i="2" s="1"/>
  <c r="Z27" i="2"/>
  <c r="Z26" i="2"/>
  <c r="Z25" i="2"/>
  <c r="AD25" i="2" s="1"/>
  <c r="Z24" i="2"/>
  <c r="Z23" i="2"/>
  <c r="Z22" i="2"/>
  <c r="Z21" i="2"/>
  <c r="AB21" i="2" s="1"/>
  <c r="Z20" i="2"/>
  <c r="AA20" i="2" s="1"/>
  <c r="AE20" i="2" s="1"/>
  <c r="Z19" i="2"/>
  <c r="AC19" i="2" s="1"/>
  <c r="Z18" i="2"/>
  <c r="Z17" i="2"/>
  <c r="Z16" i="2"/>
  <c r="Z15" i="2"/>
  <c r="Z14" i="2"/>
  <c r="Z13" i="2"/>
  <c r="Z12" i="2"/>
  <c r="Z11" i="2"/>
  <c r="Z10" i="2"/>
  <c r="Z9" i="2"/>
  <c r="AD9" i="2" s="1"/>
  <c r="Z8" i="2"/>
  <c r="Z7" i="2"/>
  <c r="Z6" i="2"/>
  <c r="Z5" i="2"/>
  <c r="AA5" i="2" s="1"/>
  <c r="Z4" i="2"/>
  <c r="AB4" i="2" s="1"/>
  <c r="Z3" i="2"/>
  <c r="Z2" i="2"/>
  <c r="AB350" i="1"/>
  <c r="AB349" i="1"/>
  <c r="AB345" i="1"/>
  <c r="AB344" i="1"/>
  <c r="AB343" i="1"/>
  <c r="AB348" i="1"/>
  <c r="AB347" i="1"/>
  <c r="AB346" i="1"/>
  <c r="AB342" i="1"/>
  <c r="AB341" i="1"/>
  <c r="AB340" i="1"/>
  <c r="AB339" i="1"/>
  <c r="AB337" i="1"/>
  <c r="AB336" i="1"/>
  <c r="AB338" i="1"/>
  <c r="AB335" i="1"/>
  <c r="AB334" i="1"/>
  <c r="AB333" i="1"/>
  <c r="AB331" i="1"/>
  <c r="AB329" i="1"/>
  <c r="AB328" i="1"/>
  <c r="AB332" i="1"/>
  <c r="AB330" i="1"/>
  <c r="AB327" i="1"/>
  <c r="AB326" i="1"/>
  <c r="AB325" i="1"/>
  <c r="AB324" i="1"/>
  <c r="AB323" i="1"/>
  <c r="AB322" i="1"/>
  <c r="AB319" i="1"/>
  <c r="AB318" i="1"/>
  <c r="AB316" i="1"/>
  <c r="AB315" i="1"/>
  <c r="AB314" i="1"/>
  <c r="AB321" i="1"/>
  <c r="AB313" i="1"/>
  <c r="AB320" i="1"/>
  <c r="AB312" i="1"/>
  <c r="AB311" i="1"/>
  <c r="AB310" i="1"/>
  <c r="AB309" i="1"/>
  <c r="AB306" i="1"/>
  <c r="AB305" i="1"/>
  <c r="AB304" i="1"/>
  <c r="AB303" i="1"/>
  <c r="AB302" i="1"/>
  <c r="AB301" i="1"/>
  <c r="AB300" i="1"/>
  <c r="AB299" i="1"/>
  <c r="AB298" i="1"/>
  <c r="AB297" i="1"/>
  <c r="AB296" i="1"/>
  <c r="AB308" i="1"/>
  <c r="AB295" i="1"/>
  <c r="AB292" i="1"/>
  <c r="AB291" i="1"/>
  <c r="AB290" i="1"/>
  <c r="AB289" i="1"/>
  <c r="AB288" i="1"/>
  <c r="AB286" i="1"/>
  <c r="AB285" i="1"/>
  <c r="AB294" i="1"/>
  <c r="AB293" i="1"/>
  <c r="AB282" i="1"/>
  <c r="AB281" i="1"/>
  <c r="AB279" i="1"/>
  <c r="AB284" i="1"/>
  <c r="AB278" i="1"/>
  <c r="AB277" i="1"/>
  <c r="AB276" i="1"/>
  <c r="AB275" i="1"/>
  <c r="AB274" i="1"/>
  <c r="AB273" i="1"/>
  <c r="AB271" i="1"/>
  <c r="AB270" i="1"/>
  <c r="AB269" i="1"/>
  <c r="AB268" i="1"/>
  <c r="AB267" i="1"/>
  <c r="AB266" i="1"/>
  <c r="AB272" i="1"/>
  <c r="AB265" i="1"/>
  <c r="AB264" i="1"/>
  <c r="AB263" i="1"/>
  <c r="AB262" i="1"/>
  <c r="AB260" i="1"/>
  <c r="AB259" i="1"/>
  <c r="AB257" i="1"/>
  <c r="AB256" i="1"/>
  <c r="AB255" i="1"/>
  <c r="AB254" i="1"/>
  <c r="AB253" i="1"/>
  <c r="AB252" i="1"/>
  <c r="AB251" i="1"/>
  <c r="AB250" i="1"/>
  <c r="AB261" i="1"/>
  <c r="AB249" i="1"/>
  <c r="AB247" i="1"/>
  <c r="AB246" i="1"/>
  <c r="AB245" i="1"/>
  <c r="AB243" i="1"/>
  <c r="AB258" i="1"/>
  <c r="AB242" i="1"/>
  <c r="AB241" i="1"/>
  <c r="AB240" i="1"/>
  <c r="AB239" i="1"/>
  <c r="AB238" i="1"/>
  <c r="AB237" i="1"/>
  <c r="AB236" i="1"/>
  <c r="AB235" i="1"/>
  <c r="AB234" i="1"/>
  <c r="AB248" i="1"/>
  <c r="AB244" i="1"/>
  <c r="AB230" i="1"/>
  <c r="AB227" i="1"/>
  <c r="AB226" i="1"/>
  <c r="AB225" i="1"/>
  <c r="AB224" i="1"/>
  <c r="AB223" i="1"/>
  <c r="AB222" i="1"/>
  <c r="AB221" i="1"/>
  <c r="AB220" i="1"/>
  <c r="AB219" i="1"/>
  <c r="AB218" i="1"/>
  <c r="AB217" i="1"/>
  <c r="AB233" i="1"/>
  <c r="AB231" i="1"/>
  <c r="AB216" i="1"/>
  <c r="AB229" i="1"/>
  <c r="AB214" i="1"/>
  <c r="AB212" i="1"/>
  <c r="AB211" i="1"/>
  <c r="AB210" i="1"/>
  <c r="AB209" i="1"/>
  <c r="AB207" i="1"/>
  <c r="AB205" i="1"/>
  <c r="AB204" i="1"/>
  <c r="AB203" i="1"/>
  <c r="AB202" i="1"/>
  <c r="AB201" i="1"/>
  <c r="AB200" i="1"/>
  <c r="AB199" i="1"/>
  <c r="AB198" i="1"/>
  <c r="AB215" i="1"/>
  <c r="AB197" i="1"/>
  <c r="AB213" i="1"/>
  <c r="AB196" i="1"/>
  <c r="AB195" i="1"/>
  <c r="AB194" i="1"/>
  <c r="AB192" i="1"/>
  <c r="AB191" i="1"/>
  <c r="AB190" i="1"/>
  <c r="AB208" i="1"/>
  <c r="AB189" i="1"/>
  <c r="AB188" i="1"/>
  <c r="AB187" i="1"/>
  <c r="AB206" i="1"/>
  <c r="AB186" i="1"/>
  <c r="AB185" i="1"/>
  <c r="AB184" i="1"/>
  <c r="AB183" i="1"/>
  <c r="AB182" i="1"/>
  <c r="AB179" i="1"/>
  <c r="AB178" i="1"/>
  <c r="AB193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80" i="1"/>
  <c r="AB160" i="1"/>
  <c r="AB159" i="1"/>
  <c r="AB158" i="1"/>
  <c r="AB157" i="1"/>
  <c r="AB156" i="1"/>
  <c r="AB155" i="1"/>
  <c r="AB153" i="1"/>
  <c r="AB151" i="1"/>
  <c r="AB150" i="1"/>
  <c r="AB147" i="1"/>
  <c r="AB146" i="1"/>
  <c r="AB145" i="1"/>
  <c r="AB144" i="1"/>
  <c r="AB162" i="1"/>
  <c r="AB143" i="1"/>
  <c r="AB142" i="1"/>
  <c r="AB139" i="1"/>
  <c r="AB137" i="1"/>
  <c r="AB136" i="1"/>
  <c r="AB135" i="1"/>
  <c r="AB152" i="1"/>
  <c r="AB149" i="1"/>
  <c r="AB133" i="1"/>
  <c r="AB132" i="1"/>
  <c r="AB148" i="1"/>
  <c r="AB130" i="1"/>
  <c r="AB129" i="1"/>
  <c r="AB128" i="1"/>
  <c r="AB127" i="1"/>
  <c r="AB126" i="1"/>
  <c r="AB125" i="1"/>
  <c r="AB124" i="1"/>
  <c r="AB123" i="1"/>
  <c r="AB122" i="1"/>
  <c r="AB121" i="1"/>
  <c r="AB141" i="1"/>
  <c r="AB120" i="1"/>
  <c r="AB140" i="1"/>
  <c r="AB138" i="1"/>
  <c r="AB119" i="1"/>
  <c r="AB118" i="1"/>
  <c r="AB117" i="1"/>
  <c r="AB116" i="1"/>
  <c r="AB113" i="1"/>
  <c r="AB134" i="1"/>
  <c r="AB131" i="1"/>
  <c r="AB111" i="1"/>
  <c r="AB110" i="1"/>
  <c r="AB109" i="1"/>
  <c r="AB108" i="1"/>
  <c r="AB107" i="1"/>
  <c r="AB106" i="1"/>
  <c r="AB104" i="1"/>
  <c r="AB103" i="1"/>
  <c r="AB102" i="1"/>
  <c r="AB101" i="1"/>
  <c r="AB100" i="1"/>
  <c r="AB114" i="1"/>
  <c r="AB97" i="1"/>
  <c r="AB96" i="1"/>
  <c r="AB112" i="1"/>
  <c r="AB92" i="1"/>
  <c r="AB105" i="1"/>
  <c r="AB90" i="1"/>
  <c r="AB89" i="1"/>
  <c r="AB88" i="1"/>
  <c r="AB99" i="1"/>
  <c r="AB86" i="1"/>
  <c r="AB85" i="1"/>
  <c r="AB83" i="1"/>
  <c r="AB95" i="1"/>
  <c r="AB94" i="1"/>
  <c r="AB93" i="1"/>
  <c r="AB80" i="1"/>
  <c r="AB78" i="1"/>
  <c r="AB76" i="1"/>
  <c r="AB91" i="1"/>
  <c r="AB74" i="1"/>
  <c r="AB72" i="1"/>
  <c r="AB70" i="1"/>
  <c r="AB69" i="1"/>
  <c r="AB68" i="1"/>
  <c r="AB67" i="1"/>
  <c r="AB87" i="1"/>
  <c r="AB64" i="1"/>
  <c r="AB63" i="1"/>
  <c r="AB317" i="1"/>
  <c r="AB84" i="1"/>
  <c r="AB307" i="1"/>
  <c r="AB62" i="1"/>
  <c r="AB61" i="1"/>
  <c r="AB60" i="1"/>
  <c r="AB59" i="1"/>
  <c r="AB287" i="1"/>
  <c r="AB58" i="1"/>
  <c r="AB283" i="1"/>
  <c r="AB280" i="1"/>
  <c r="AB57" i="1"/>
  <c r="AB82" i="1"/>
  <c r="AB56" i="1"/>
  <c r="AB55" i="1"/>
  <c r="AB81" i="1"/>
  <c r="AB54" i="1"/>
  <c r="AB53" i="1"/>
  <c r="AB79" i="1"/>
  <c r="AB77" i="1"/>
  <c r="AB52" i="1"/>
  <c r="AB232" i="1"/>
  <c r="AB75" i="1"/>
  <c r="AB73" i="1"/>
  <c r="AB49" i="1"/>
  <c r="AB47" i="1"/>
  <c r="AB46" i="1"/>
  <c r="AB44" i="1"/>
  <c r="AB65" i="1"/>
  <c r="AB43" i="1"/>
  <c r="AB42" i="1"/>
  <c r="AB181" i="1"/>
  <c r="AB41" i="1"/>
  <c r="AB40" i="1"/>
  <c r="AB39" i="1"/>
  <c r="AB38" i="1"/>
  <c r="AB154" i="1"/>
  <c r="AB37" i="1"/>
  <c r="AB36" i="1"/>
  <c r="AB35" i="1"/>
  <c r="AB51" i="1"/>
  <c r="AB50" i="1"/>
  <c r="AB33" i="1"/>
  <c r="AB32" i="1"/>
  <c r="AB30" i="1"/>
  <c r="AB29" i="1"/>
  <c r="AB115" i="1"/>
  <c r="AB28" i="1"/>
  <c r="AB27" i="1"/>
  <c r="AB26" i="1"/>
  <c r="AB25" i="1"/>
  <c r="AB98" i="1"/>
  <c r="AB22" i="1"/>
  <c r="AB20" i="1"/>
  <c r="AB19" i="1"/>
  <c r="AB17" i="1"/>
  <c r="AB71" i="1"/>
  <c r="AB16" i="1"/>
  <c r="AB15" i="1"/>
  <c r="AB14" i="1"/>
  <c r="AB13" i="1"/>
  <c r="AB24" i="1"/>
  <c r="AB228" i="1"/>
  <c r="AB12" i="1"/>
  <c r="AB45" i="1"/>
  <c r="AB11" i="1"/>
  <c r="AB161" i="1"/>
  <c r="AB34" i="1"/>
  <c r="AB7" i="1"/>
  <c r="AB6" i="1"/>
  <c r="AB18" i="1"/>
  <c r="AB9" i="1"/>
  <c r="AB66" i="1"/>
  <c r="AB48" i="1"/>
  <c r="AB31" i="1"/>
  <c r="AB5" i="1"/>
  <c r="AB23" i="1"/>
  <c r="AB21" i="1"/>
  <c r="AB10" i="1"/>
  <c r="AB8" i="1"/>
  <c r="AB3" i="1"/>
  <c r="AB2" i="1"/>
  <c r="AB4" i="1"/>
  <c r="X10" i="2" l="1"/>
  <c r="X23" i="2"/>
  <c r="X35" i="2"/>
  <c r="X59" i="2"/>
  <c r="X71" i="2"/>
  <c r="X107" i="2"/>
  <c r="X119" i="2"/>
  <c r="X155" i="2"/>
  <c r="X167" i="2"/>
  <c r="X191" i="2"/>
  <c r="X203" i="2"/>
  <c r="X215" i="2"/>
  <c r="X251" i="2"/>
  <c r="X263" i="2"/>
  <c r="X299" i="2"/>
  <c r="X311" i="2"/>
  <c r="X335" i="2"/>
  <c r="X371" i="2"/>
  <c r="X395" i="2"/>
  <c r="X419" i="2"/>
  <c r="X431" i="2"/>
  <c r="X467" i="2"/>
  <c r="X515" i="2"/>
  <c r="X12" i="2"/>
  <c r="X24" i="2"/>
  <c r="X36" i="2"/>
  <c r="X48" i="2"/>
  <c r="X60" i="2"/>
  <c r="X72" i="2"/>
  <c r="X96" i="2"/>
  <c r="X108" i="2"/>
  <c r="X120" i="2"/>
  <c r="X132" i="2"/>
  <c r="X144" i="2"/>
  <c r="X156" i="2"/>
  <c r="X168" i="2"/>
  <c r="X180" i="2"/>
  <c r="X192" i="2"/>
  <c r="X204" i="2"/>
  <c r="X216" i="2"/>
  <c r="X228" i="2"/>
  <c r="X240" i="2"/>
  <c r="X252" i="2"/>
  <c r="X264" i="2"/>
  <c r="X276" i="2"/>
  <c r="X288" i="2"/>
  <c r="X300" i="2"/>
  <c r="X312" i="2"/>
  <c r="X324" i="2"/>
  <c r="X336" i="2"/>
  <c r="X348" i="2"/>
  <c r="X360" i="2"/>
  <c r="X372" i="2"/>
  <c r="X384" i="2"/>
  <c r="X396" i="2"/>
  <c r="X408" i="2"/>
  <c r="X420" i="2"/>
  <c r="X432" i="2"/>
  <c r="X444" i="2"/>
  <c r="X456" i="2"/>
  <c r="X468" i="2"/>
  <c r="X480" i="2"/>
  <c r="X492" i="2"/>
  <c r="X504" i="2"/>
  <c r="X516" i="2"/>
  <c r="X528" i="2"/>
  <c r="X13" i="2"/>
  <c r="X25" i="2"/>
  <c r="X37" i="2"/>
  <c r="X49" i="2"/>
  <c r="X61" i="2"/>
  <c r="X73" i="2"/>
  <c r="X97" i="2"/>
  <c r="X109" i="2"/>
  <c r="X121" i="2"/>
  <c r="X133" i="2"/>
  <c r="X145" i="2"/>
  <c r="X157" i="2"/>
  <c r="X169" i="2"/>
  <c r="X181" i="2"/>
  <c r="X193" i="2"/>
  <c r="X205" i="2"/>
  <c r="X217" i="2"/>
  <c r="X229" i="2"/>
  <c r="X253" i="2"/>
  <c r="X265" i="2"/>
  <c r="X277" i="2"/>
  <c r="X289" i="2"/>
  <c r="X313" i="2"/>
  <c r="X325" i="2"/>
  <c r="X337" i="2"/>
  <c r="X349" i="2"/>
  <c r="X361" i="2"/>
  <c r="X373" i="2"/>
  <c r="X385" i="2"/>
  <c r="X397" i="2"/>
  <c r="X409" i="2"/>
  <c r="X421" i="2"/>
  <c r="X433" i="2"/>
  <c r="X445" i="2"/>
  <c r="X457" i="2"/>
  <c r="X469" i="2"/>
  <c r="X493" i="2"/>
  <c r="X505" i="2"/>
  <c r="X517" i="2"/>
  <c r="X529" i="2"/>
  <c r="X11" i="2"/>
  <c r="X14" i="2"/>
  <c r="X26" i="2"/>
  <c r="X38" i="2"/>
  <c r="X50" i="2"/>
  <c r="X74" i="2"/>
  <c r="X86" i="2"/>
  <c r="X98" i="2"/>
  <c r="X110" i="2"/>
  <c r="X122" i="2"/>
  <c r="X134" i="2"/>
  <c r="X146" i="2"/>
  <c r="X158" i="2"/>
  <c r="X170" i="2"/>
  <c r="X182" i="2"/>
  <c r="X194" i="2"/>
  <c r="X206" i="2"/>
  <c r="X218" i="2"/>
  <c r="X28" i="2"/>
  <c r="X52" i="2"/>
  <c r="X100" i="2"/>
  <c r="X112" i="2"/>
  <c r="X124" i="2"/>
  <c r="X160" i="2"/>
  <c r="X220" i="2"/>
  <c r="X232" i="2"/>
  <c r="X268" i="2"/>
  <c r="X280" i="2"/>
  <c r="X316" i="2"/>
  <c r="X352" i="2"/>
  <c r="X364" i="2"/>
  <c r="X376" i="2"/>
  <c r="X388" i="2"/>
  <c r="X412" i="2"/>
  <c r="X424" i="2"/>
  <c r="X436" i="2"/>
  <c r="X472" i="2"/>
  <c r="X484" i="2"/>
  <c r="X19" i="2"/>
  <c r="X43" i="2"/>
  <c r="X55" i="2"/>
  <c r="X67" i="2"/>
  <c r="X79" i="2"/>
  <c r="X115" i="2"/>
  <c r="X127" i="2"/>
  <c r="X139" i="2"/>
  <c r="X151" i="2"/>
  <c r="X175" i="2"/>
  <c r="X187" i="2"/>
  <c r="X199" i="2"/>
  <c r="X211" i="2"/>
  <c r="X223" i="2"/>
  <c r="X235" i="2"/>
  <c r="X247" i="2"/>
  <c r="X259" i="2"/>
  <c r="X271" i="2"/>
  <c r="X295" i="2"/>
  <c r="X307" i="2"/>
  <c r="X319" i="2"/>
  <c r="X355" i="2"/>
  <c r="X367" i="2"/>
  <c r="X379" i="2"/>
  <c r="X391" i="2"/>
  <c r="X403" i="2"/>
  <c r="X415" i="2"/>
  <c r="X427" i="2"/>
  <c r="X439" i="2"/>
  <c r="X451" i="2"/>
  <c r="X463" i="2"/>
  <c r="X475" i="2"/>
  <c r="X487" i="2"/>
  <c r="X499" i="2"/>
  <c r="X511" i="2"/>
  <c r="X523" i="2"/>
  <c r="X254" i="2"/>
  <c r="X266" i="2"/>
  <c r="X278" i="2"/>
  <c r="X290" i="2"/>
  <c r="X302" i="2"/>
  <c r="X314" i="2"/>
  <c r="X326" i="2"/>
  <c r="X338" i="2"/>
  <c r="X350" i="2"/>
  <c r="X362" i="2"/>
  <c r="X374" i="2"/>
  <c r="X386" i="2"/>
  <c r="X398" i="2"/>
  <c r="X410" i="2"/>
  <c r="X422" i="2"/>
  <c r="X434" i="2"/>
  <c r="X446" i="2"/>
  <c r="X458" i="2"/>
  <c r="X470" i="2"/>
  <c r="X482" i="2"/>
  <c r="X494" i="2"/>
  <c r="X506" i="2"/>
  <c r="X518" i="2"/>
  <c r="X530" i="2"/>
  <c r="X2" i="2"/>
  <c r="X15" i="2"/>
  <c r="X27" i="2"/>
  <c r="X39" i="2"/>
  <c r="X51" i="2"/>
  <c r="X63" i="2"/>
  <c r="X75" i="2"/>
  <c r="X87" i="2"/>
  <c r="X99" i="2"/>
  <c r="X111" i="2"/>
  <c r="X123" i="2"/>
  <c r="X135" i="2"/>
  <c r="X147" i="2"/>
  <c r="X159" i="2"/>
  <c r="X171" i="2"/>
  <c r="X183" i="2"/>
  <c r="X195" i="2"/>
  <c r="X207" i="2"/>
  <c r="X219" i="2"/>
  <c r="X243" i="2"/>
  <c r="X255" i="2"/>
  <c r="X267" i="2"/>
  <c r="X279" i="2"/>
  <c r="X291" i="2"/>
  <c r="X303" i="2"/>
  <c r="X315" i="2"/>
  <c r="X327" i="2"/>
  <c r="X339" i="2"/>
  <c r="X363" i="2"/>
  <c r="X375" i="2"/>
  <c r="X387" i="2"/>
  <c r="X399" i="2"/>
  <c r="X411" i="2"/>
  <c r="X423" i="2"/>
  <c r="X435" i="2"/>
  <c r="X447" i="2"/>
  <c r="X471" i="2"/>
  <c r="X483" i="2"/>
  <c r="X495" i="2"/>
  <c r="X507" i="2"/>
  <c r="X519" i="2"/>
  <c r="X531" i="2"/>
  <c r="AB35" i="2"/>
  <c r="AC35" i="2"/>
  <c r="AD35" i="2"/>
  <c r="AA35" i="2"/>
  <c r="AA419" i="2"/>
  <c r="AE419" i="2" s="1"/>
  <c r="AD419" i="2"/>
  <c r="AC419" i="2"/>
  <c r="AB419" i="2"/>
  <c r="AB60" i="2"/>
  <c r="AC60" i="2"/>
  <c r="AD38" i="2"/>
  <c r="AC38" i="2"/>
  <c r="AA38" i="2"/>
  <c r="AB279" i="2"/>
  <c r="AD279" i="2"/>
  <c r="AA279" i="2"/>
  <c r="AE279" i="2" s="1"/>
  <c r="AC443" i="2"/>
  <c r="AE238" i="2"/>
  <c r="AD81" i="2"/>
  <c r="AA81" i="2"/>
  <c r="AE81" i="2" s="1"/>
  <c r="AB165" i="2"/>
  <c r="AC165" i="2"/>
  <c r="AA165" i="2"/>
  <c r="AB237" i="2"/>
  <c r="AE237" i="2" s="1"/>
  <c r="AC237" i="2"/>
  <c r="AB297" i="2"/>
  <c r="AD297" i="2"/>
  <c r="AA297" i="2"/>
  <c r="AE297" i="2" s="1"/>
  <c r="AC357" i="2"/>
  <c r="AA357" i="2"/>
  <c r="AE357" i="2" s="1"/>
  <c r="AD357" i="2"/>
  <c r="AB417" i="2"/>
  <c r="AD417" i="2"/>
  <c r="AA417" i="2"/>
  <c r="AC417" i="2"/>
  <c r="AA501" i="2"/>
  <c r="AE501" i="2" s="1"/>
  <c r="AC501" i="2"/>
  <c r="AD501" i="2"/>
  <c r="AD360" i="2"/>
  <c r="AD444" i="2"/>
  <c r="AA45" i="2"/>
  <c r="AE45" i="2" s="1"/>
  <c r="AE104" i="2"/>
  <c r="AA132" i="2"/>
  <c r="AE132" i="2" s="1"/>
  <c r="AE392" i="2"/>
  <c r="AB46" i="2"/>
  <c r="AB299" i="2"/>
  <c r="AC84" i="2"/>
  <c r="AC132" i="2"/>
  <c r="AC300" i="2"/>
  <c r="AC515" i="2"/>
  <c r="AB11" i="2"/>
  <c r="AD11" i="2"/>
  <c r="AA11" i="2"/>
  <c r="AE11" i="2" s="1"/>
  <c r="AB23" i="2"/>
  <c r="AD23" i="2"/>
  <c r="AA23" i="2"/>
  <c r="AE23" i="2" s="1"/>
  <c r="AC23" i="2"/>
  <c r="AC47" i="2"/>
  <c r="AB47" i="2"/>
  <c r="AA47" i="2"/>
  <c r="AD47" i="2"/>
  <c r="AB59" i="2"/>
  <c r="AC59" i="2"/>
  <c r="AB71" i="2"/>
  <c r="AD71" i="2"/>
  <c r="AA71" i="2"/>
  <c r="AE71" i="2" s="1"/>
  <c r="AD95" i="2"/>
  <c r="AC95" i="2"/>
  <c r="AB107" i="2"/>
  <c r="AC107" i="2"/>
  <c r="AA107" i="2"/>
  <c r="AC119" i="2"/>
  <c r="AB119" i="2"/>
  <c r="AA119" i="2"/>
  <c r="AD119" i="2"/>
  <c r="AB143" i="2"/>
  <c r="AA143" i="2"/>
  <c r="AD143" i="2"/>
  <c r="AC155" i="2"/>
  <c r="AB155" i="2"/>
  <c r="AD155" i="2"/>
  <c r="AB167" i="2"/>
  <c r="AD167" i="2"/>
  <c r="AA167" i="2"/>
  <c r="AA179" i="2"/>
  <c r="AE179" i="2" s="1"/>
  <c r="AD179" i="2"/>
  <c r="AB179" i="2"/>
  <c r="AB191" i="2"/>
  <c r="AC191" i="2"/>
  <c r="AA191" i="2"/>
  <c r="AD191" i="2"/>
  <c r="AB203" i="2"/>
  <c r="AE203" i="2" s="1"/>
  <c r="AA203" i="2"/>
  <c r="AD203" i="2"/>
  <c r="AB215" i="2"/>
  <c r="AC215" i="2"/>
  <c r="AB227" i="2"/>
  <c r="AD227" i="2"/>
  <c r="AA227" i="2"/>
  <c r="AE227" i="2" s="1"/>
  <c r="AC227" i="2"/>
  <c r="AB239" i="2"/>
  <c r="AD239" i="2"/>
  <c r="AB251" i="2"/>
  <c r="AA251" i="2"/>
  <c r="AE251" i="2" s="1"/>
  <c r="AC251" i="2"/>
  <c r="AC263" i="2"/>
  <c r="AA263" i="2"/>
  <c r="AD263" i="2"/>
  <c r="AC275" i="2"/>
  <c r="AB275" i="2"/>
  <c r="AE275" i="2" s="1"/>
  <c r="AD275" i="2"/>
  <c r="AC287" i="2"/>
  <c r="AD287" i="2"/>
  <c r="AA287" i="2"/>
  <c r="AC311" i="2"/>
  <c r="AD311" i="2"/>
  <c r="AB311" i="2"/>
  <c r="AA311" i="2"/>
  <c r="AB323" i="2"/>
  <c r="AC323" i="2"/>
  <c r="AB335" i="2"/>
  <c r="AC335" i="2"/>
  <c r="AA335" i="2"/>
  <c r="AD335" i="2"/>
  <c r="AB347" i="2"/>
  <c r="AC347" i="2"/>
  <c r="AD347" i="2"/>
  <c r="AA347" i="2"/>
  <c r="AE347" i="2" s="1"/>
  <c r="AB371" i="2"/>
  <c r="AC371" i="2"/>
  <c r="AA371" i="2"/>
  <c r="AD383" i="2"/>
  <c r="AA383" i="2"/>
  <c r="AC383" i="2"/>
  <c r="AC395" i="2"/>
  <c r="AD395" i="2"/>
  <c r="AB395" i="2"/>
  <c r="AA395" i="2"/>
  <c r="AE395" i="2" s="1"/>
  <c r="AC407" i="2"/>
  <c r="AA407" i="2"/>
  <c r="AE407" i="2" s="1"/>
  <c r="AB407" i="2"/>
  <c r="AC431" i="2"/>
  <c r="AD431" i="2"/>
  <c r="AB431" i="2"/>
  <c r="AB455" i="2"/>
  <c r="AD455" i="2"/>
  <c r="AC455" i="2"/>
  <c r="AA455" i="2"/>
  <c r="AB467" i="2"/>
  <c r="AC467" i="2"/>
  <c r="AA467" i="2"/>
  <c r="AE467" i="2" s="1"/>
  <c r="AD467" i="2"/>
  <c r="AC479" i="2"/>
  <c r="AA479" i="2"/>
  <c r="AB479" i="2"/>
  <c r="AD479" i="2"/>
  <c r="AB491" i="2"/>
  <c r="AC491" i="2"/>
  <c r="AA491" i="2"/>
  <c r="AB503" i="2"/>
  <c r="AA503" i="2"/>
  <c r="AE503" i="2" s="1"/>
  <c r="AD503" i="2"/>
  <c r="AC503" i="2"/>
  <c r="AB527" i="2"/>
  <c r="AD527" i="2"/>
  <c r="AC527" i="2"/>
  <c r="AC143" i="2"/>
  <c r="AB12" i="2"/>
  <c r="AC12" i="2"/>
  <c r="AA12" i="2"/>
  <c r="AE12" i="2" s="1"/>
  <c r="AD12" i="2"/>
  <c r="AB24" i="2"/>
  <c r="AE24" i="2" s="1"/>
  <c r="AD24" i="2"/>
  <c r="AC24" i="2"/>
  <c r="AB36" i="2"/>
  <c r="AC36" i="2"/>
  <c r="AA36" i="2"/>
  <c r="AC48" i="2"/>
  <c r="AB48" i="2"/>
  <c r="AA48" i="2"/>
  <c r="AE48" i="2" s="1"/>
  <c r="AD48" i="2"/>
  <c r="AB72" i="2"/>
  <c r="AA72" i="2"/>
  <c r="AE72" i="2" s="1"/>
  <c r="AC72" i="2"/>
  <c r="AD72" i="2"/>
  <c r="AD96" i="2"/>
  <c r="AC96" i="2"/>
  <c r="AA96" i="2"/>
  <c r="AB108" i="2"/>
  <c r="AC108" i="2"/>
  <c r="AA108" i="2"/>
  <c r="AE108" i="2" s="1"/>
  <c r="AC120" i="2"/>
  <c r="AA120" i="2"/>
  <c r="AE120" i="2" s="1"/>
  <c r="AD120" i="2"/>
  <c r="AB120" i="2"/>
  <c r="AB144" i="2"/>
  <c r="AA144" i="2"/>
  <c r="AE144" i="2" s="1"/>
  <c r="AC156" i="2"/>
  <c r="AD156" i="2"/>
  <c r="AB156" i="2"/>
  <c r="AD168" i="2"/>
  <c r="AA168" i="2"/>
  <c r="AC180" i="2"/>
  <c r="AB180" i="2"/>
  <c r="AD180" i="2"/>
  <c r="AC192" i="2"/>
  <c r="AA192" i="2"/>
  <c r="AB204" i="2"/>
  <c r="AA204" i="2"/>
  <c r="AE204" i="2" s="1"/>
  <c r="AD204" i="2"/>
  <c r="AB216" i="2"/>
  <c r="AE216" i="2" s="1"/>
  <c r="AC216" i="2"/>
  <c r="AB228" i="2"/>
  <c r="AA228" i="2"/>
  <c r="AC228" i="2"/>
  <c r="AD228" i="2"/>
  <c r="AD240" i="2"/>
  <c r="AC240" i="2"/>
  <c r="AB240" i="2"/>
  <c r="AC264" i="2"/>
  <c r="AA264" i="2"/>
  <c r="AE264" i="2" s="1"/>
  <c r="AD264" i="2"/>
  <c r="AC276" i="2"/>
  <c r="AB276" i="2"/>
  <c r="AD276" i="2"/>
  <c r="AC288" i="2"/>
  <c r="AA288" i="2"/>
  <c r="AE288" i="2" s="1"/>
  <c r="AD288" i="2"/>
  <c r="AC312" i="2"/>
  <c r="AD312" i="2"/>
  <c r="AA312" i="2"/>
  <c r="AE312" i="2" s="1"/>
  <c r="AB324" i="2"/>
  <c r="AC324" i="2"/>
  <c r="AC336" i="2"/>
  <c r="AA336" i="2"/>
  <c r="AE336" i="2" s="1"/>
  <c r="AB336" i="2"/>
  <c r="AB348" i="2"/>
  <c r="AC348" i="2"/>
  <c r="AA348" i="2"/>
  <c r="AB372" i="2"/>
  <c r="AC372" i="2"/>
  <c r="AA372" i="2"/>
  <c r="AE372" i="2" s="1"/>
  <c r="AB384" i="2"/>
  <c r="AD384" i="2"/>
  <c r="AA384" i="2"/>
  <c r="AE384" i="2" s="1"/>
  <c r="AC384" i="2"/>
  <c r="AC396" i="2"/>
  <c r="AD396" i="2"/>
  <c r="AB396" i="2"/>
  <c r="AA396" i="2"/>
  <c r="AC408" i="2"/>
  <c r="AA408" i="2"/>
  <c r="AB408" i="2"/>
  <c r="AC420" i="2"/>
  <c r="AA420" i="2"/>
  <c r="AE420" i="2" s="1"/>
  <c r="AD420" i="2"/>
  <c r="AB420" i="2"/>
  <c r="AC432" i="2"/>
  <c r="AB432" i="2"/>
  <c r="AE432" i="2" s="1"/>
  <c r="AD432" i="2"/>
  <c r="AA432" i="2"/>
  <c r="AD456" i="2"/>
  <c r="AB456" i="2"/>
  <c r="AA456" i="2"/>
  <c r="AC456" i="2"/>
  <c r="AB468" i="2"/>
  <c r="AC468" i="2"/>
  <c r="AA468" i="2"/>
  <c r="AC480" i="2"/>
  <c r="AA480" i="2"/>
  <c r="AD480" i="2"/>
  <c r="AA492" i="2"/>
  <c r="AC492" i="2"/>
  <c r="AB492" i="2"/>
  <c r="AC504" i="2"/>
  <c r="AB504" i="2"/>
  <c r="AE504" i="2" s="1"/>
  <c r="AD504" i="2"/>
  <c r="AA516" i="2"/>
  <c r="AE516" i="2" s="1"/>
  <c r="AC516" i="2"/>
  <c r="AD528" i="2"/>
  <c r="AC528" i="2"/>
  <c r="AB528" i="2"/>
  <c r="AE528" i="2" s="1"/>
  <c r="AD83" i="2"/>
  <c r="AD144" i="2"/>
  <c r="AD251" i="2"/>
  <c r="AE429" i="2"/>
  <c r="AE316" i="2"/>
  <c r="AC144" i="2"/>
  <c r="AD84" i="2"/>
  <c r="AD252" i="2"/>
  <c r="AD371" i="2"/>
  <c r="AA83" i="2"/>
  <c r="AE83" i="2" s="1"/>
  <c r="AE404" i="2"/>
  <c r="AA504" i="2"/>
  <c r="AE317" i="2"/>
  <c r="AB443" i="2"/>
  <c r="AC179" i="2"/>
  <c r="AB2" i="2"/>
  <c r="AA2" i="2"/>
  <c r="AE2" i="2" s="1"/>
  <c r="AB14" i="2"/>
  <c r="AD14" i="2"/>
  <c r="AC14" i="2"/>
  <c r="AA14" i="2"/>
  <c r="AE14" i="2" s="1"/>
  <c r="AD26" i="2"/>
  <c r="AC26" i="2"/>
  <c r="AB26" i="2"/>
  <c r="AD50" i="2"/>
  <c r="AB50" i="2"/>
  <c r="AC50" i="2"/>
  <c r="AC62" i="2"/>
  <c r="AD62" i="2"/>
  <c r="AA62" i="2"/>
  <c r="AE62" i="2" s="1"/>
  <c r="AB62" i="2"/>
  <c r="AD74" i="2"/>
  <c r="AC74" i="2"/>
  <c r="AA74" i="2"/>
  <c r="AB86" i="2"/>
  <c r="AC86" i="2"/>
  <c r="AD86" i="2"/>
  <c r="AB98" i="2"/>
  <c r="AD98" i="2"/>
  <c r="AC98" i="2"/>
  <c r="AA98" i="2"/>
  <c r="AC122" i="2"/>
  <c r="AD122" i="2"/>
  <c r="AB122" i="2"/>
  <c r="AA122" i="2"/>
  <c r="AE122" i="2" s="1"/>
  <c r="AC134" i="2"/>
  <c r="AB134" i="2"/>
  <c r="AD134" i="2"/>
  <c r="AA134" i="2"/>
  <c r="AD146" i="2"/>
  <c r="AA146" i="2"/>
  <c r="AB146" i="2"/>
  <c r="AD158" i="2"/>
  <c r="AC158" i="2"/>
  <c r="AA158" i="2"/>
  <c r="AB158" i="2"/>
  <c r="AE158" i="2" s="1"/>
  <c r="AB182" i="2"/>
  <c r="AE182" i="2" s="1"/>
  <c r="AD182" i="2"/>
  <c r="AC182" i="2"/>
  <c r="AA182" i="2"/>
  <c r="AD194" i="2"/>
  <c r="AA194" i="2"/>
  <c r="AE194" i="2" s="1"/>
  <c r="AC194" i="2"/>
  <c r="AC206" i="2"/>
  <c r="AD206" i="2"/>
  <c r="AA206" i="2"/>
  <c r="AD218" i="2"/>
  <c r="AC218" i="2"/>
  <c r="AA218" i="2"/>
  <c r="AE218" i="2" s="1"/>
  <c r="AB230" i="2"/>
  <c r="AD230" i="2"/>
  <c r="AB242" i="2"/>
  <c r="AC242" i="2"/>
  <c r="AD242" i="2"/>
  <c r="AA242" i="2"/>
  <c r="AE242" i="2" s="1"/>
  <c r="AD254" i="2"/>
  <c r="AB254" i="2"/>
  <c r="AE254" i="2" s="1"/>
  <c r="AC254" i="2"/>
  <c r="AD266" i="2"/>
  <c r="AC266" i="2"/>
  <c r="AA266" i="2"/>
  <c r="AE266" i="2" s="1"/>
  <c r="AC278" i="2"/>
  <c r="AD278" i="2"/>
  <c r="AB278" i="2"/>
  <c r="AA278" i="2"/>
  <c r="AE278" i="2" s="1"/>
  <c r="AD290" i="2"/>
  <c r="AB290" i="2"/>
  <c r="AC290" i="2"/>
  <c r="AA290" i="2"/>
  <c r="AE290" i="2" s="1"/>
  <c r="AD302" i="2"/>
  <c r="AC302" i="2"/>
  <c r="AB302" i="2"/>
  <c r="AD314" i="2"/>
  <c r="AB314" i="2"/>
  <c r="AA314" i="2"/>
  <c r="AC314" i="2"/>
  <c r="AD326" i="2"/>
  <c r="AC326" i="2"/>
  <c r="AB326" i="2"/>
  <c r="AD338" i="2"/>
  <c r="AB338" i="2"/>
  <c r="AE338" i="2" s="1"/>
  <c r="AC350" i="2"/>
  <c r="AD350" i="2"/>
  <c r="AA350" i="2"/>
  <c r="AE350" i="2" s="1"/>
  <c r="AB350" i="2"/>
  <c r="AC362" i="2"/>
  <c r="AD362" i="2"/>
  <c r="AB362" i="2"/>
  <c r="AB374" i="2"/>
  <c r="AD374" i="2"/>
  <c r="AA374" i="2"/>
  <c r="AB386" i="2"/>
  <c r="AD386" i="2"/>
  <c r="AC386" i="2"/>
  <c r="AC398" i="2"/>
  <c r="AD398" i="2"/>
  <c r="AB398" i="2"/>
  <c r="AE398" i="2" s="1"/>
  <c r="AD410" i="2"/>
  <c r="AC410" i="2"/>
  <c r="AC422" i="2"/>
  <c r="AD422" i="2"/>
  <c r="AA422" i="2"/>
  <c r="AB422" i="2"/>
  <c r="AD434" i="2"/>
  <c r="AA434" i="2"/>
  <c r="AD446" i="2"/>
  <c r="AC446" i="2"/>
  <c r="AB446" i="2"/>
  <c r="AD458" i="2"/>
  <c r="AC458" i="2"/>
  <c r="AB458" i="2"/>
  <c r="AA458" i="2"/>
  <c r="AD470" i="2"/>
  <c r="AB470" i="2"/>
  <c r="AC470" i="2"/>
  <c r="AB482" i="2"/>
  <c r="AD482" i="2"/>
  <c r="AC482" i="2"/>
  <c r="AC494" i="2"/>
  <c r="AD494" i="2"/>
  <c r="AA494" i="2"/>
  <c r="AE494" i="2" s="1"/>
  <c r="AB494" i="2"/>
  <c r="AD506" i="2"/>
  <c r="AA506" i="2"/>
  <c r="AB506" i="2"/>
  <c r="AE506" i="2" s="1"/>
  <c r="AC518" i="2"/>
  <c r="AD518" i="2"/>
  <c r="AB518" i="2"/>
  <c r="AA518" i="2"/>
  <c r="AE518" i="2" s="1"/>
  <c r="AD530" i="2"/>
  <c r="AB530" i="2"/>
  <c r="AE530" i="2" s="1"/>
  <c r="AC530" i="2"/>
  <c r="AD59" i="2"/>
  <c r="AD372" i="2"/>
  <c r="AD515" i="2"/>
  <c r="AA84" i="2"/>
  <c r="AA323" i="2"/>
  <c r="AE323" i="2" s="1"/>
  <c r="AE345" i="2"/>
  <c r="AE405" i="2"/>
  <c r="AA431" i="2"/>
  <c r="AB444" i="2"/>
  <c r="AC146" i="2"/>
  <c r="AC3" i="2"/>
  <c r="AA3" i="2"/>
  <c r="AE3" i="2" s="1"/>
  <c r="AD3" i="2"/>
  <c r="AB3" i="2"/>
  <c r="AC15" i="2"/>
  <c r="AD15" i="2"/>
  <c r="AB27" i="2"/>
  <c r="AC27" i="2"/>
  <c r="AD39" i="2"/>
  <c r="AA39" i="2"/>
  <c r="AE39" i="2" s="1"/>
  <c r="AC51" i="2"/>
  <c r="AB51" i="2"/>
  <c r="AD51" i="2"/>
  <c r="AA51" i="2"/>
  <c r="AE51" i="2" s="1"/>
  <c r="AC75" i="2"/>
  <c r="AA75" i="2"/>
  <c r="AD75" i="2"/>
  <c r="AB87" i="2"/>
  <c r="AA87" i="2"/>
  <c r="AD87" i="2"/>
  <c r="AC87" i="2"/>
  <c r="AB99" i="2"/>
  <c r="AA99" i="2"/>
  <c r="AD99" i="2"/>
  <c r="AB111" i="2"/>
  <c r="AE111" i="2" s="1"/>
  <c r="AD111" i="2"/>
  <c r="AB123" i="2"/>
  <c r="AE123" i="2" s="1"/>
  <c r="AD123" i="2"/>
  <c r="AA123" i="2"/>
  <c r="AC123" i="2"/>
  <c r="AC147" i="2"/>
  <c r="AA147" i="2"/>
  <c r="AB147" i="2"/>
  <c r="AC159" i="2"/>
  <c r="AA159" i="2"/>
  <c r="AD159" i="2"/>
  <c r="AB183" i="2"/>
  <c r="AD183" i="2"/>
  <c r="AC183" i="2"/>
  <c r="AA183" i="2"/>
  <c r="AA195" i="2"/>
  <c r="AC195" i="2"/>
  <c r="AC207" i="2"/>
  <c r="AD207" i="2"/>
  <c r="AA207" i="2"/>
  <c r="AC219" i="2"/>
  <c r="AA219" i="2"/>
  <c r="AE219" i="2" s="1"/>
  <c r="AB219" i="2"/>
  <c r="AB243" i="2"/>
  <c r="AC243" i="2"/>
  <c r="AA243" i="2"/>
  <c r="AE243" i="2" s="1"/>
  <c r="AD243" i="2"/>
  <c r="AB255" i="2"/>
  <c r="AD255" i="2"/>
  <c r="AC255" i="2"/>
  <c r="AC267" i="2"/>
  <c r="AD267" i="2"/>
  <c r="AA267" i="2"/>
  <c r="AE267" i="2" s="1"/>
  <c r="AB267" i="2"/>
  <c r="AC291" i="2"/>
  <c r="AB291" i="2"/>
  <c r="AA291" i="2"/>
  <c r="AE291" i="2" s="1"/>
  <c r="AD291" i="2"/>
  <c r="AC303" i="2"/>
  <c r="AB303" i="2"/>
  <c r="AB315" i="2"/>
  <c r="AA315" i="2"/>
  <c r="AD315" i="2"/>
  <c r="AC315" i="2"/>
  <c r="AC327" i="2"/>
  <c r="AD327" i="2"/>
  <c r="AB327" i="2"/>
  <c r="AA327" i="2"/>
  <c r="AE327" i="2" s="1"/>
  <c r="AB351" i="2"/>
  <c r="AA351" i="2"/>
  <c r="AE351" i="2" s="1"/>
  <c r="AC363" i="2"/>
  <c r="AA363" i="2"/>
  <c r="AD363" i="2"/>
  <c r="AB363" i="2"/>
  <c r="AB375" i="2"/>
  <c r="AD375" i="2"/>
  <c r="AB387" i="2"/>
  <c r="AC387" i="2"/>
  <c r="AB399" i="2"/>
  <c r="AD399" i="2"/>
  <c r="AC399" i="2"/>
  <c r="AA399" i="2"/>
  <c r="AE399" i="2" s="1"/>
  <c r="AB423" i="2"/>
  <c r="AC423" i="2"/>
  <c r="AB435" i="2"/>
  <c r="AC435" i="2"/>
  <c r="AA435" i="2"/>
  <c r="AD435" i="2"/>
  <c r="AB447" i="2"/>
  <c r="AC447" i="2"/>
  <c r="AB459" i="2"/>
  <c r="AC459" i="2"/>
  <c r="AA459" i="2"/>
  <c r="AD459" i="2"/>
  <c r="AB471" i="2"/>
  <c r="AC471" i="2"/>
  <c r="AD471" i="2"/>
  <c r="AB483" i="2"/>
  <c r="AC483" i="2"/>
  <c r="AA483" i="2"/>
  <c r="AD483" i="2"/>
  <c r="AB495" i="2"/>
  <c r="AC495" i="2"/>
  <c r="AB507" i="2"/>
  <c r="AC507" i="2"/>
  <c r="AA507" i="2"/>
  <c r="AE507" i="2" s="1"/>
  <c r="AD507" i="2"/>
  <c r="AB519" i="2"/>
  <c r="AA519" i="2"/>
  <c r="AD519" i="2"/>
  <c r="AC519" i="2"/>
  <c r="AB531" i="2"/>
  <c r="AE531" i="2" s="1"/>
  <c r="AC531" i="2"/>
  <c r="AD531" i="2"/>
  <c r="AD36" i="2"/>
  <c r="AD60" i="2"/>
  <c r="AD516" i="2"/>
  <c r="AA59" i="2"/>
  <c r="AE59" i="2" s="1"/>
  <c r="AA324" i="2"/>
  <c r="AB38" i="2"/>
  <c r="AB74" i="2"/>
  <c r="AB168" i="2"/>
  <c r="AB410" i="2"/>
  <c r="AC359" i="2"/>
  <c r="AE4" i="2"/>
  <c r="AE280" i="2"/>
  <c r="AE496" i="2"/>
  <c r="AD63" i="2"/>
  <c r="AD348" i="2"/>
  <c r="AD407" i="2"/>
  <c r="AD491" i="2"/>
  <c r="AA60" i="2"/>
  <c r="AE60" i="2" s="1"/>
  <c r="AA86" i="2"/>
  <c r="AB39" i="2"/>
  <c r="AB75" i="2"/>
  <c r="AB206" i="2"/>
  <c r="AB411" i="2"/>
  <c r="AC239" i="2"/>
  <c r="AC360" i="2"/>
  <c r="AD299" i="2"/>
  <c r="AD351" i="2"/>
  <c r="AD408" i="2"/>
  <c r="AD492" i="2"/>
  <c r="AA63" i="2"/>
  <c r="AE153" i="2"/>
  <c r="AA180" i="2"/>
  <c r="AE180" i="2" s="1"/>
  <c r="AA239" i="2"/>
  <c r="AA300" i="2"/>
  <c r="AA326" i="2"/>
  <c r="AE326" i="2" s="1"/>
  <c r="AA386" i="2"/>
  <c r="AE386" i="2" s="1"/>
  <c r="AA410" i="2"/>
  <c r="AE410" i="2" s="1"/>
  <c r="AB170" i="2"/>
  <c r="AB207" i="2"/>
  <c r="AB287" i="2"/>
  <c r="AC11" i="2"/>
  <c r="AC71" i="2"/>
  <c r="AC411" i="2"/>
  <c r="AD215" i="2"/>
  <c r="AD300" i="2"/>
  <c r="AD387" i="2"/>
  <c r="AD411" i="2"/>
  <c r="AD468" i="2"/>
  <c r="AD495" i="2"/>
  <c r="AE40" i="2"/>
  <c r="AE64" i="2"/>
  <c r="AA95" i="2"/>
  <c r="AA240" i="2"/>
  <c r="AA359" i="2"/>
  <c r="AA387" i="2"/>
  <c r="AE442" i="2"/>
  <c r="AB15" i="2"/>
  <c r="AB131" i="2"/>
  <c r="AB171" i="2"/>
  <c r="AE171" i="2" s="1"/>
  <c r="AB252" i="2"/>
  <c r="AB288" i="2"/>
  <c r="AB515" i="2"/>
  <c r="AC203" i="2"/>
  <c r="AC506" i="2"/>
  <c r="AD216" i="2"/>
  <c r="AD303" i="2"/>
  <c r="AD323" i="2"/>
  <c r="AA155" i="2"/>
  <c r="AA215" i="2"/>
  <c r="AA302" i="2"/>
  <c r="AE302" i="2" s="1"/>
  <c r="AA360" i="2"/>
  <c r="AE360" i="2" s="1"/>
  <c r="AA443" i="2"/>
  <c r="AA482" i="2"/>
  <c r="AE172" i="2"/>
  <c r="AE473" i="2"/>
  <c r="AB516" i="2"/>
  <c r="AC167" i="2"/>
  <c r="AC204" i="2"/>
  <c r="AC338" i="2"/>
  <c r="AD219" i="2"/>
  <c r="AD324" i="2"/>
  <c r="AD359" i="2"/>
  <c r="AA15" i="2"/>
  <c r="AE15" i="2" s="1"/>
  <c r="AE44" i="2"/>
  <c r="AA131" i="2"/>
  <c r="AA156" i="2"/>
  <c r="AA216" i="2"/>
  <c r="AE274" i="2"/>
  <c r="AA303" i="2"/>
  <c r="AE303" i="2" s="1"/>
  <c r="AA423" i="2"/>
  <c r="AA444" i="2"/>
  <c r="AE444" i="2" s="1"/>
  <c r="AA527" i="2"/>
  <c r="AE527" i="2" s="1"/>
  <c r="AB95" i="2"/>
  <c r="AE95" i="2" s="1"/>
  <c r="AB135" i="2"/>
  <c r="AE135" i="2" s="1"/>
  <c r="AB218" i="2"/>
  <c r="AB434" i="2"/>
  <c r="AC39" i="2"/>
  <c r="AC83" i="2"/>
  <c r="AC131" i="2"/>
  <c r="AC168" i="2"/>
  <c r="AC299" i="2"/>
  <c r="AC339" i="2"/>
  <c r="AC374" i="2"/>
  <c r="AA21" i="2"/>
  <c r="AE21" i="2" s="1"/>
  <c r="AC21" i="2"/>
  <c r="AC33" i="2"/>
  <c r="AB33" i="2"/>
  <c r="AA33" i="2"/>
  <c r="AE33" i="2" s="1"/>
  <c r="AD33" i="2"/>
  <c r="AC57" i="2"/>
  <c r="AA57" i="2"/>
  <c r="AB57" i="2"/>
  <c r="AC69" i="2"/>
  <c r="AB69" i="2"/>
  <c r="AE69" i="2" s="1"/>
  <c r="AD69" i="2"/>
  <c r="AA93" i="2"/>
  <c r="AE93" i="2" s="1"/>
  <c r="AC93" i="2"/>
  <c r="AB93" i="2"/>
  <c r="AD93" i="2"/>
  <c r="AC105" i="2"/>
  <c r="AA105" i="2"/>
  <c r="AE105" i="2" s="1"/>
  <c r="AD105" i="2"/>
  <c r="AC117" i="2"/>
  <c r="AD117" i="2"/>
  <c r="AB117" i="2"/>
  <c r="AA117" i="2"/>
  <c r="AE117" i="2" s="1"/>
  <c r="AC129" i="2"/>
  <c r="AB129" i="2"/>
  <c r="AE129" i="2" s="1"/>
  <c r="AC141" i="2"/>
  <c r="AD141" i="2"/>
  <c r="AA141" i="2"/>
  <c r="AE141" i="2" s="1"/>
  <c r="AD153" i="2"/>
  <c r="AC153" i="2"/>
  <c r="AB153" i="2"/>
  <c r="AC177" i="2"/>
  <c r="AB177" i="2"/>
  <c r="AA177" i="2"/>
  <c r="AE177" i="2" s="1"/>
  <c r="AC189" i="2"/>
  <c r="AD189" i="2"/>
  <c r="AB189" i="2"/>
  <c r="AE189" i="2" s="1"/>
  <c r="AC201" i="2"/>
  <c r="AB201" i="2"/>
  <c r="AA201" i="2"/>
  <c r="AE201" i="2" s="1"/>
  <c r="AB213" i="2"/>
  <c r="AA213" i="2"/>
  <c r="AE213" i="2" s="1"/>
  <c r="AC225" i="2"/>
  <c r="AD225" i="2"/>
  <c r="AB225" i="2"/>
  <c r="AA225" i="2"/>
  <c r="AE225" i="2" s="1"/>
  <c r="AC249" i="2"/>
  <c r="AA249" i="2"/>
  <c r="AB249" i="2"/>
  <c r="AD249" i="2"/>
  <c r="AB261" i="2"/>
  <c r="AC261" i="2"/>
  <c r="AD261" i="2"/>
  <c r="AA261" i="2"/>
  <c r="AE261" i="2" s="1"/>
  <c r="AB309" i="2"/>
  <c r="AD309" i="2"/>
  <c r="AA309" i="2"/>
  <c r="AE309" i="2" s="1"/>
  <c r="AC321" i="2"/>
  <c r="AB321" i="2"/>
  <c r="AA321" i="2"/>
  <c r="AE321" i="2" s="1"/>
  <c r="AB333" i="2"/>
  <c r="AA333" i="2"/>
  <c r="AE333" i="2" s="1"/>
  <c r="AD333" i="2"/>
  <c r="AC345" i="2"/>
  <c r="AD345" i="2"/>
  <c r="AB369" i="2"/>
  <c r="AC369" i="2"/>
  <c r="AD369" i="2"/>
  <c r="AA369" i="2"/>
  <c r="AE369" i="2" s="1"/>
  <c r="AC381" i="2"/>
  <c r="AD381" i="2"/>
  <c r="AC393" i="2"/>
  <c r="AA393" i="2"/>
  <c r="AE393" i="2" s="1"/>
  <c r="AD393" i="2"/>
  <c r="AB393" i="2"/>
  <c r="AC429" i="2"/>
  <c r="AB429" i="2"/>
  <c r="AB441" i="2"/>
  <c r="AD441" i="2"/>
  <c r="AA441" i="2"/>
  <c r="AE441" i="2" s="1"/>
  <c r="AA453" i="2"/>
  <c r="AC453" i="2"/>
  <c r="AB453" i="2"/>
  <c r="AC465" i="2"/>
  <c r="AA465" i="2"/>
  <c r="AB465" i="2"/>
  <c r="AD465" i="2"/>
  <c r="AA477" i="2"/>
  <c r="AC477" i="2"/>
  <c r="AB477" i="2"/>
  <c r="AA489" i="2"/>
  <c r="AC489" i="2"/>
  <c r="AB489" i="2"/>
  <c r="AB513" i="2"/>
  <c r="AA513" i="2"/>
  <c r="AE513" i="2" s="1"/>
  <c r="AC513" i="2"/>
  <c r="AD513" i="2"/>
  <c r="AA525" i="2"/>
  <c r="AE525" i="2" s="1"/>
  <c r="AC525" i="2"/>
  <c r="AB525" i="2"/>
  <c r="AD525" i="2"/>
  <c r="AC537" i="2"/>
  <c r="AA537" i="2"/>
  <c r="AB537" i="2"/>
  <c r="AD537" i="2"/>
  <c r="AD273" i="2"/>
  <c r="AC10" i="2"/>
  <c r="AD10" i="2"/>
  <c r="AA10" i="2"/>
  <c r="AE10" i="2" s="1"/>
  <c r="AC22" i="2"/>
  <c r="AA22" i="2"/>
  <c r="AC34" i="2"/>
  <c r="AB34" i="2"/>
  <c r="AA34" i="2"/>
  <c r="AE34" i="2" s="1"/>
  <c r="AD34" i="2"/>
  <c r="AC58" i="2"/>
  <c r="AA58" i="2"/>
  <c r="AB58" i="2"/>
  <c r="AC70" i="2"/>
  <c r="AB70" i="2"/>
  <c r="AD70" i="2"/>
  <c r="AA70" i="2"/>
  <c r="AE70" i="2" s="1"/>
  <c r="AC82" i="2"/>
  <c r="AD82" i="2"/>
  <c r="AB82" i="2"/>
  <c r="AE82" i="2" s="1"/>
  <c r="AC94" i="2"/>
  <c r="AB94" i="2"/>
  <c r="AE94" i="2" s="1"/>
  <c r="AD94" i="2"/>
  <c r="AC106" i="2"/>
  <c r="AA106" i="2"/>
  <c r="AB106" i="2"/>
  <c r="AC118" i="2"/>
  <c r="AB118" i="2"/>
  <c r="AA118" i="2"/>
  <c r="AE118" i="2" s="1"/>
  <c r="AC130" i="2"/>
  <c r="AB130" i="2"/>
  <c r="AE130" i="2" s="1"/>
  <c r="AC142" i="2"/>
  <c r="AA142" i="2"/>
  <c r="AE142" i="2" s="1"/>
  <c r="AD142" i="2"/>
  <c r="AC154" i="2"/>
  <c r="AD154" i="2"/>
  <c r="AB154" i="2"/>
  <c r="AE154" i="2" s="1"/>
  <c r="AC166" i="2"/>
  <c r="AB166" i="2"/>
  <c r="AA166" i="2"/>
  <c r="AE166" i="2" s="1"/>
  <c r="AC178" i="2"/>
  <c r="AB178" i="2"/>
  <c r="AA178" i="2"/>
  <c r="AE178" i="2" s="1"/>
  <c r="AC190" i="2"/>
  <c r="AB190" i="2"/>
  <c r="AD190" i="2"/>
  <c r="AC202" i="2"/>
  <c r="AB202" i="2"/>
  <c r="AD202" i="2"/>
  <c r="AA202" i="2"/>
  <c r="AE202" i="2" s="1"/>
  <c r="AC214" i="2"/>
  <c r="AB214" i="2"/>
  <c r="AE214" i="2" s="1"/>
  <c r="AC226" i="2"/>
  <c r="AD226" i="2"/>
  <c r="AB226" i="2"/>
  <c r="AA226" i="2"/>
  <c r="AE226" i="2" s="1"/>
  <c r="AC238" i="2"/>
  <c r="AB238" i="2"/>
  <c r="AC250" i="2"/>
  <c r="AA250" i="2"/>
  <c r="AB250" i="2"/>
  <c r="AD250" i="2"/>
  <c r="AC262" i="2"/>
  <c r="AA262" i="2"/>
  <c r="AE262" i="2" s="1"/>
  <c r="AC274" i="2"/>
  <c r="AB274" i="2"/>
  <c r="AC286" i="2"/>
  <c r="AA286" i="2"/>
  <c r="AE286" i="2" s="1"/>
  <c r="AD286" i="2"/>
  <c r="AC298" i="2"/>
  <c r="AB298" i="2"/>
  <c r="AD298" i="2"/>
  <c r="AA298" i="2"/>
  <c r="AE298" i="2" s="1"/>
  <c r="AC310" i="2"/>
  <c r="AD310" i="2"/>
  <c r="AB310" i="2"/>
  <c r="AA310" i="2"/>
  <c r="AE310" i="2" s="1"/>
  <c r="AC322" i="2"/>
  <c r="AB322" i="2"/>
  <c r="AA322" i="2"/>
  <c r="AE322" i="2" s="1"/>
  <c r="AC334" i="2"/>
  <c r="AB334" i="2"/>
  <c r="AA334" i="2"/>
  <c r="AE334" i="2" s="1"/>
  <c r="AD334" i="2"/>
  <c r="AC346" i="2"/>
  <c r="AD346" i="2"/>
  <c r="AB346" i="2"/>
  <c r="AA346" i="2"/>
  <c r="AE346" i="2" s="1"/>
  <c r="AC358" i="2"/>
  <c r="AD358" i="2"/>
  <c r="AC370" i="2"/>
  <c r="AB370" i="2"/>
  <c r="AD370" i="2"/>
  <c r="AA370" i="2"/>
  <c r="AE370" i="2" s="1"/>
  <c r="AC394" i="2"/>
  <c r="AA394" i="2"/>
  <c r="AB394" i="2"/>
  <c r="AD394" i="2"/>
  <c r="AC418" i="2"/>
  <c r="AB418" i="2"/>
  <c r="AA418" i="2"/>
  <c r="AE418" i="2" s="1"/>
  <c r="AD418" i="2"/>
  <c r="AC430" i="2"/>
  <c r="AB430" i="2"/>
  <c r="AE430" i="2" s="1"/>
  <c r="AC442" i="2"/>
  <c r="AD442" i="2"/>
  <c r="AC454" i="2"/>
  <c r="AB454" i="2"/>
  <c r="AE454" i="2" s="1"/>
  <c r="AC466" i="2"/>
  <c r="AB466" i="2"/>
  <c r="AD466" i="2"/>
  <c r="AA466" i="2"/>
  <c r="AE466" i="2" s="1"/>
  <c r="AC478" i="2"/>
  <c r="AA478" i="2"/>
  <c r="AB478" i="2"/>
  <c r="AD478" i="2"/>
  <c r="AC490" i="2"/>
  <c r="AB490" i="2"/>
  <c r="AA490" i="2"/>
  <c r="AE490" i="2" s="1"/>
  <c r="AC502" i="2"/>
  <c r="AB502" i="2"/>
  <c r="AA502" i="2"/>
  <c r="AE502" i="2" s="1"/>
  <c r="AD502" i="2"/>
  <c r="AC514" i="2"/>
  <c r="AD514" i="2"/>
  <c r="AA514" i="2"/>
  <c r="AE514" i="2" s="1"/>
  <c r="AC526" i="2"/>
  <c r="AB526" i="2"/>
  <c r="AA526" i="2"/>
  <c r="AE526" i="2" s="1"/>
  <c r="AD526" i="2"/>
  <c r="AC538" i="2"/>
  <c r="AA538" i="2"/>
  <c r="AB538" i="2"/>
  <c r="AD21" i="2"/>
  <c r="AD107" i="2"/>
  <c r="AD192" i="2"/>
  <c r="AD274" i="2"/>
  <c r="AD423" i="2"/>
  <c r="AD447" i="2"/>
  <c r="AA24" i="2"/>
  <c r="AA46" i="2"/>
  <c r="AE46" i="2" s="1"/>
  <c r="AA110" i="2"/>
  <c r="AA135" i="2"/>
  <c r="AA190" i="2"/>
  <c r="AE190" i="2" s="1"/>
  <c r="AA252" i="2"/>
  <c r="AA276" i="2"/>
  <c r="AA339" i="2"/>
  <c r="AE339" i="2" s="1"/>
  <c r="AA446" i="2"/>
  <c r="AA495" i="2"/>
  <c r="AE495" i="2" s="1"/>
  <c r="AB22" i="2"/>
  <c r="AB264" i="2"/>
  <c r="AB345" i="2"/>
  <c r="AB480" i="2"/>
  <c r="AC135" i="2"/>
  <c r="AC170" i="2"/>
  <c r="AC213" i="2"/>
  <c r="AC351" i="2"/>
  <c r="AC434" i="2"/>
  <c r="AE160" i="2"/>
  <c r="AE510" i="2"/>
  <c r="AE208" i="2"/>
  <c r="AE388" i="2"/>
  <c r="AE521" i="2"/>
  <c r="AA352" i="2"/>
  <c r="AE352" i="2" s="1"/>
  <c r="AA412" i="2"/>
  <c r="AE522" i="2"/>
  <c r="AC17" i="2"/>
  <c r="AA17" i="2"/>
  <c r="AB17" i="2"/>
  <c r="AE17" i="2" s="1"/>
  <c r="AA29" i="2"/>
  <c r="AB29" i="2"/>
  <c r="AE29" i="2" s="1"/>
  <c r="AB41" i="2"/>
  <c r="AA41" i="2"/>
  <c r="AA53" i="2"/>
  <c r="AD53" i="2"/>
  <c r="AB53" i="2"/>
  <c r="AE53" i="2" s="1"/>
  <c r="AA77" i="2"/>
  <c r="AC77" i="2"/>
  <c r="AB77" i="2"/>
  <c r="AE77" i="2" s="1"/>
  <c r="AC89" i="2"/>
  <c r="AA89" i="2"/>
  <c r="AB89" i="2"/>
  <c r="AE89" i="2" s="1"/>
  <c r="AD89" i="2"/>
  <c r="AC101" i="2"/>
  <c r="AA101" i="2"/>
  <c r="AB101" i="2"/>
  <c r="AE101" i="2" s="1"/>
  <c r="AB125" i="2"/>
  <c r="AA125" i="2"/>
  <c r="AD125" i="2"/>
  <c r="AB137" i="2"/>
  <c r="AC137" i="2"/>
  <c r="AA137" i="2"/>
  <c r="AE137" i="2" s="1"/>
  <c r="AD137" i="2"/>
  <c r="AB149" i="2"/>
  <c r="AA149" i="2"/>
  <c r="AC161" i="2"/>
  <c r="AA161" i="2"/>
  <c r="AB161" i="2"/>
  <c r="AA173" i="2"/>
  <c r="AB173" i="2"/>
  <c r="AE173" i="2" s="1"/>
  <c r="AD173" i="2"/>
  <c r="AA185" i="2"/>
  <c r="AE185" i="2" s="1"/>
  <c r="AC185" i="2"/>
  <c r="AB197" i="2"/>
  <c r="AA197" i="2"/>
  <c r="AD197" i="2"/>
  <c r="AA209" i="2"/>
  <c r="AE209" i="2" s="1"/>
  <c r="AD209" i="2"/>
  <c r="AC209" i="2"/>
  <c r="AA221" i="2"/>
  <c r="AB221" i="2"/>
  <c r="AE221" i="2" s="1"/>
  <c r="AC221" i="2"/>
  <c r="AC233" i="2"/>
  <c r="AA233" i="2"/>
  <c r="AE233" i="2" s="1"/>
  <c r="AB245" i="2"/>
  <c r="AA245" i="2"/>
  <c r="AD245" i="2"/>
  <c r="AC257" i="2"/>
  <c r="AA257" i="2"/>
  <c r="AB257" i="2"/>
  <c r="AE257" i="2" s="1"/>
  <c r="AB269" i="2"/>
  <c r="AA269" i="2"/>
  <c r="AD269" i="2"/>
  <c r="AB281" i="2"/>
  <c r="AA281" i="2"/>
  <c r="AE281" i="2" s="1"/>
  <c r="AC293" i="2"/>
  <c r="AA293" i="2"/>
  <c r="AB293" i="2"/>
  <c r="AE293" i="2" s="1"/>
  <c r="AD293" i="2"/>
  <c r="AC305" i="2"/>
  <c r="AB305" i="2"/>
  <c r="AA305" i="2"/>
  <c r="AE305" i="2" s="1"/>
  <c r="AA317" i="2"/>
  <c r="AC317" i="2"/>
  <c r="AA329" i="2"/>
  <c r="AE329" i="2" s="1"/>
  <c r="AD329" i="2"/>
  <c r="AA341" i="2"/>
  <c r="AD341" i="2"/>
  <c r="AC341" i="2"/>
  <c r="AB353" i="2"/>
  <c r="AA353" i="2"/>
  <c r="AE353" i="2" s="1"/>
  <c r="AA365" i="2"/>
  <c r="AD365" i="2"/>
  <c r="AC377" i="2"/>
  <c r="AA377" i="2"/>
  <c r="AB377" i="2"/>
  <c r="AA389" i="2"/>
  <c r="AB389" i="2"/>
  <c r="AB401" i="2"/>
  <c r="AA401" i="2"/>
  <c r="AE401" i="2" s="1"/>
  <c r="AD401" i="2"/>
  <c r="AB413" i="2"/>
  <c r="AC413" i="2"/>
  <c r="AA413" i="2"/>
  <c r="AE413" i="2" s="1"/>
  <c r="AD413" i="2"/>
  <c r="AB425" i="2"/>
  <c r="AE425" i="2" s="1"/>
  <c r="AA425" i="2"/>
  <c r="AE437" i="2"/>
  <c r="AC449" i="2"/>
  <c r="AB449" i="2"/>
  <c r="AA449" i="2"/>
  <c r="AD449" i="2"/>
  <c r="AB485" i="2"/>
  <c r="AA485" i="2"/>
  <c r="AE485" i="2" s="1"/>
  <c r="AD485" i="2"/>
  <c r="AB497" i="2"/>
  <c r="AA497" i="2"/>
  <c r="AC521" i="2"/>
  <c r="AA521" i="2"/>
  <c r="AD521" i="2"/>
  <c r="AC533" i="2"/>
  <c r="AA533" i="2"/>
  <c r="AB533" i="2"/>
  <c r="AD29" i="2"/>
  <c r="AD136" i="2"/>
  <c r="AD377" i="2"/>
  <c r="AD461" i="2"/>
  <c r="AA460" i="2"/>
  <c r="AE460" i="2" s="1"/>
  <c r="AB5" i="2"/>
  <c r="AE5" i="2" s="1"/>
  <c r="AB304" i="2"/>
  <c r="AE304" i="2" s="1"/>
  <c r="AC125" i="2"/>
  <c r="AC16" i="2"/>
  <c r="AB16" i="2"/>
  <c r="AE16" i="2" s="1"/>
  <c r="AB100" i="2"/>
  <c r="AE100" i="2" s="1"/>
  <c r="AC100" i="2"/>
  <c r="AC160" i="2"/>
  <c r="AB160" i="2"/>
  <c r="AB184" i="2"/>
  <c r="AD184" i="2"/>
  <c r="AC184" i="2"/>
  <c r="AC208" i="2"/>
  <c r="AD208" i="2"/>
  <c r="AC220" i="2"/>
  <c r="AA220" i="2"/>
  <c r="AB220" i="2"/>
  <c r="AE220" i="2" s="1"/>
  <c r="AB244" i="2"/>
  <c r="AC244" i="2"/>
  <c r="AA244" i="2"/>
  <c r="AD244" i="2"/>
  <c r="AB268" i="2"/>
  <c r="AE268" i="2" s="1"/>
  <c r="AC268" i="2"/>
  <c r="AC292" i="2"/>
  <c r="AA292" i="2"/>
  <c r="AE292" i="2" s="1"/>
  <c r="AC328" i="2"/>
  <c r="AD328" i="2"/>
  <c r="AC364" i="2"/>
  <c r="AA364" i="2"/>
  <c r="AD364" i="2"/>
  <c r="AB400" i="2"/>
  <c r="AD400" i="2"/>
  <c r="AA400" i="2"/>
  <c r="AC436" i="2"/>
  <c r="AA436" i="2"/>
  <c r="AE436" i="2" s="1"/>
  <c r="AB484" i="2"/>
  <c r="AC484" i="2"/>
  <c r="AA484" i="2"/>
  <c r="AE484" i="2" s="1"/>
  <c r="AD484" i="2"/>
  <c r="AB520" i="2"/>
  <c r="AA520" i="2"/>
  <c r="AD520" i="2"/>
  <c r="AD376" i="2"/>
  <c r="AC18" i="2"/>
  <c r="AA18" i="2"/>
  <c r="AB18" i="2"/>
  <c r="AC42" i="2"/>
  <c r="AB42" i="2"/>
  <c r="AA42" i="2"/>
  <c r="AE42" i="2" s="1"/>
  <c r="AC66" i="2"/>
  <c r="AA66" i="2"/>
  <c r="AB66" i="2"/>
  <c r="AC90" i="2"/>
  <c r="AA90" i="2"/>
  <c r="AB90" i="2"/>
  <c r="AC114" i="2"/>
  <c r="AA114" i="2"/>
  <c r="AE114" i="2" s="1"/>
  <c r="AC138" i="2"/>
  <c r="AB138" i="2"/>
  <c r="AA138" i="2"/>
  <c r="AE138" i="2" s="1"/>
  <c r="AD138" i="2"/>
  <c r="AC162" i="2"/>
  <c r="AA162" i="2"/>
  <c r="AB162" i="2"/>
  <c r="AC174" i="2"/>
  <c r="AA174" i="2"/>
  <c r="AB174" i="2"/>
  <c r="AD174" i="2"/>
  <c r="AC186" i="2"/>
  <c r="AA186" i="2"/>
  <c r="AE186" i="2" s="1"/>
  <c r="AC210" i="2"/>
  <c r="AA210" i="2"/>
  <c r="AE210" i="2" s="1"/>
  <c r="AC222" i="2"/>
  <c r="AA222" i="2"/>
  <c r="AE222" i="2" s="1"/>
  <c r="AC234" i="2"/>
  <c r="AA234" i="2"/>
  <c r="AE234" i="2" s="1"/>
  <c r="AC246" i="2"/>
  <c r="AA246" i="2"/>
  <c r="AC258" i="2"/>
  <c r="AA258" i="2"/>
  <c r="AB258" i="2"/>
  <c r="AC270" i="2"/>
  <c r="AA270" i="2"/>
  <c r="AE270" i="2" s="1"/>
  <c r="AD270" i="2"/>
  <c r="AC282" i="2"/>
  <c r="AB282" i="2"/>
  <c r="AA282" i="2"/>
  <c r="AC306" i="2"/>
  <c r="AB306" i="2"/>
  <c r="AA306" i="2"/>
  <c r="AE306" i="2" s="1"/>
  <c r="AC318" i="2"/>
  <c r="AA318" i="2"/>
  <c r="AE318" i="2" s="1"/>
  <c r="AC330" i="2"/>
  <c r="AA330" i="2"/>
  <c r="AB330" i="2"/>
  <c r="AD330" i="2"/>
  <c r="AC342" i="2"/>
  <c r="AA342" i="2"/>
  <c r="AE342" i="2" s="1"/>
  <c r="AD342" i="2"/>
  <c r="AC354" i="2"/>
  <c r="AB354" i="2"/>
  <c r="AA354" i="2"/>
  <c r="AE354" i="2" s="1"/>
  <c r="AC366" i="2"/>
  <c r="AA366" i="2"/>
  <c r="AE366" i="2" s="1"/>
  <c r="AC378" i="2"/>
  <c r="AA378" i="2"/>
  <c r="AE378" i="2" s="1"/>
  <c r="AC390" i="2"/>
  <c r="AA390" i="2"/>
  <c r="AB390" i="2"/>
  <c r="AC402" i="2"/>
  <c r="AB402" i="2"/>
  <c r="AA402" i="2"/>
  <c r="AE402" i="2" s="1"/>
  <c r="AC414" i="2"/>
  <c r="AA414" i="2"/>
  <c r="AE414" i="2" s="1"/>
  <c r="AD414" i="2"/>
  <c r="AC426" i="2"/>
  <c r="AB426" i="2"/>
  <c r="AA426" i="2"/>
  <c r="AE426" i="2" s="1"/>
  <c r="AC438" i="2"/>
  <c r="AA438" i="2"/>
  <c r="AE438" i="2" s="1"/>
  <c r="AC450" i="2"/>
  <c r="AB450" i="2"/>
  <c r="AE450" i="2" s="1"/>
  <c r="AA450" i="2"/>
  <c r="AD450" i="2"/>
  <c r="AC462" i="2"/>
  <c r="AA462" i="2"/>
  <c r="AE462" i="2" s="1"/>
  <c r="AC474" i="2"/>
  <c r="AA474" i="2"/>
  <c r="AE474" i="2" s="1"/>
  <c r="AC486" i="2"/>
  <c r="AB486" i="2"/>
  <c r="AE486" i="2" s="1"/>
  <c r="AD486" i="2"/>
  <c r="AC498" i="2"/>
  <c r="AB498" i="2"/>
  <c r="AA498" i="2"/>
  <c r="AC510" i="2"/>
  <c r="AB510" i="2"/>
  <c r="AC522" i="2"/>
  <c r="AA522" i="2"/>
  <c r="AC534" i="2"/>
  <c r="AA534" i="2"/>
  <c r="AB534" i="2"/>
  <c r="AD268" i="2"/>
  <c r="AD316" i="2"/>
  <c r="AD378" i="2"/>
  <c r="AD402" i="2"/>
  <c r="AD462" i="2"/>
  <c r="AA184" i="2"/>
  <c r="AE416" i="2"/>
  <c r="AA461" i="2"/>
  <c r="AE461" i="2" s="1"/>
  <c r="AB246" i="2"/>
  <c r="AB280" i="2"/>
  <c r="AB340" i="2"/>
  <c r="AE340" i="2" s="1"/>
  <c r="AB364" i="2"/>
  <c r="AE364" i="2" s="1"/>
  <c r="AB460" i="2"/>
  <c r="AC28" i="2"/>
  <c r="AC329" i="2"/>
  <c r="AC425" i="2"/>
  <c r="AC4" i="2"/>
  <c r="AA4" i="2"/>
  <c r="AD4" i="2"/>
  <c r="AE28" i="2"/>
  <c r="AC52" i="2"/>
  <c r="AB52" i="2"/>
  <c r="AE52" i="2" s="1"/>
  <c r="AD52" i="2"/>
  <c r="AC76" i="2"/>
  <c r="AA76" i="2"/>
  <c r="AB76" i="2"/>
  <c r="AE76" i="2" s="1"/>
  <c r="AB88" i="2"/>
  <c r="AA88" i="2"/>
  <c r="AD88" i="2"/>
  <c r="AB112" i="2"/>
  <c r="AE112" i="2" s="1"/>
  <c r="AD112" i="2"/>
  <c r="AB124" i="2"/>
  <c r="AA124" i="2"/>
  <c r="AC148" i="2"/>
  <c r="AB148" i="2"/>
  <c r="AA148" i="2"/>
  <c r="AE196" i="2"/>
  <c r="AB256" i="2"/>
  <c r="AE256" i="2" s="1"/>
  <c r="AD256" i="2"/>
  <c r="AE412" i="2"/>
  <c r="AB424" i="2"/>
  <c r="AE424" i="2" s="1"/>
  <c r="AC424" i="2"/>
  <c r="AC448" i="2"/>
  <c r="AB448" i="2"/>
  <c r="AA448" i="2"/>
  <c r="AC472" i="2"/>
  <c r="AB472" i="2"/>
  <c r="AE472" i="2" s="1"/>
  <c r="AD472" i="2"/>
  <c r="AC508" i="2"/>
  <c r="AB508" i="2"/>
  <c r="AE508" i="2" s="1"/>
  <c r="AC532" i="2"/>
  <c r="AB532" i="2"/>
  <c r="AE532" i="2" s="1"/>
  <c r="AD28" i="2"/>
  <c r="AD460" i="2"/>
  <c r="AC6" i="2"/>
  <c r="AA6" i="2"/>
  <c r="AB6" i="2"/>
  <c r="AE6" i="2" s="1"/>
  <c r="AC30" i="2"/>
  <c r="AA30" i="2"/>
  <c r="AB30" i="2"/>
  <c r="AE30" i="2" s="1"/>
  <c r="AC54" i="2"/>
  <c r="AA54" i="2"/>
  <c r="AD54" i="2"/>
  <c r="AB54" i="2"/>
  <c r="AE54" i="2" s="1"/>
  <c r="AC78" i="2"/>
  <c r="AA78" i="2"/>
  <c r="AB78" i="2"/>
  <c r="AE78" i="2" s="1"/>
  <c r="AC102" i="2"/>
  <c r="AA102" i="2"/>
  <c r="AB102" i="2"/>
  <c r="AE102" i="2" s="1"/>
  <c r="AC126" i="2"/>
  <c r="AA126" i="2"/>
  <c r="AD126" i="2"/>
  <c r="AB126" i="2"/>
  <c r="AE126" i="2" s="1"/>
  <c r="AC150" i="2"/>
  <c r="AB150" i="2"/>
  <c r="AA150" i="2"/>
  <c r="AE150" i="2" s="1"/>
  <c r="AC198" i="2"/>
  <c r="AA198" i="2"/>
  <c r="AD198" i="2"/>
  <c r="AB198" i="2"/>
  <c r="AC294" i="2"/>
  <c r="AB294" i="2"/>
  <c r="AA294" i="2"/>
  <c r="AE294" i="2" s="1"/>
  <c r="AD294" i="2"/>
  <c r="AD100" i="2"/>
  <c r="AD186" i="2"/>
  <c r="AD210" i="2"/>
  <c r="AD292" i="2"/>
  <c r="AD532" i="2"/>
  <c r="AA100" i="2"/>
  <c r="AB341" i="2"/>
  <c r="AB365" i="2"/>
  <c r="AC29" i="2"/>
  <c r="AC196" i="2"/>
  <c r="AC389" i="2"/>
  <c r="AE332" i="2"/>
  <c r="AC25" i="2"/>
  <c r="AC49" i="2"/>
  <c r="AC289" i="2"/>
  <c r="AB13" i="2"/>
  <c r="AE13" i="2" s="1"/>
  <c r="AC13" i="2"/>
  <c r="AD37" i="2"/>
  <c r="AC37" i="2"/>
  <c r="AC61" i="2"/>
  <c r="AD61" i="2"/>
  <c r="AA61" i="2"/>
  <c r="AB73" i="2"/>
  <c r="AD73" i="2"/>
  <c r="AB85" i="2"/>
  <c r="AE85" i="2" s="1"/>
  <c r="AC85" i="2"/>
  <c r="AD85" i="2"/>
  <c r="AD97" i="2"/>
  <c r="AC97" i="2"/>
  <c r="AC121" i="2"/>
  <c r="AD121" i="2"/>
  <c r="AC133" i="2"/>
  <c r="AB133" i="2"/>
  <c r="AD133" i="2"/>
  <c r="AA133" i="2"/>
  <c r="AE133" i="2" s="1"/>
  <c r="AD145" i="2"/>
  <c r="AB145" i="2"/>
  <c r="AB181" i="2"/>
  <c r="AE181" i="2" s="1"/>
  <c r="AD181" i="2"/>
  <c r="AC181" i="2"/>
  <c r="AC205" i="2"/>
  <c r="AD205" i="2"/>
  <c r="AA205" i="2"/>
  <c r="AB217" i="2"/>
  <c r="AE217" i="2" s="1"/>
  <c r="AD217" i="2"/>
  <c r="AB229" i="2"/>
  <c r="AD229" i="2"/>
  <c r="AC241" i="2"/>
  <c r="AD241" i="2"/>
  <c r="AD265" i="2"/>
  <c r="AC265" i="2"/>
  <c r="AC277" i="2"/>
  <c r="AD277" i="2"/>
  <c r="AB277" i="2"/>
  <c r="AA277" i="2"/>
  <c r="AD313" i="2"/>
  <c r="AB313" i="2"/>
  <c r="AD325" i="2"/>
  <c r="AC325" i="2"/>
  <c r="AC349" i="2"/>
  <c r="AD349" i="2"/>
  <c r="AA349" i="2"/>
  <c r="AB361" i="2"/>
  <c r="AE361" i="2" s="1"/>
  <c r="AC361" i="2"/>
  <c r="AD361" i="2"/>
  <c r="AB373" i="2"/>
  <c r="AD373" i="2"/>
  <c r="AB385" i="2"/>
  <c r="AD385" i="2"/>
  <c r="AC397" i="2"/>
  <c r="AD397" i="2"/>
  <c r="AD409" i="2"/>
  <c r="AB409" i="2"/>
  <c r="AE409" i="2" s="1"/>
  <c r="AC409" i="2"/>
  <c r="AC421" i="2"/>
  <c r="AD421" i="2"/>
  <c r="AA421" i="2"/>
  <c r="AB433" i="2"/>
  <c r="AD433" i="2"/>
  <c r="AD445" i="2"/>
  <c r="AB445" i="2"/>
  <c r="AB469" i="2"/>
  <c r="AD469" i="2"/>
  <c r="AA469" i="2"/>
  <c r="AC493" i="2"/>
  <c r="AA493" i="2"/>
  <c r="AE493" i="2" s="1"/>
  <c r="AD493" i="2"/>
  <c r="AC517" i="2"/>
  <c r="AD517" i="2"/>
  <c r="AA517" i="2"/>
  <c r="AD529" i="2"/>
  <c r="AB529" i="2"/>
  <c r="AE529" i="2" s="1"/>
  <c r="AA73" i="2"/>
  <c r="AE73" i="2" s="1"/>
  <c r="AA109" i="2"/>
  <c r="AA229" i="2"/>
  <c r="AA265" i="2"/>
  <c r="AE265" i="2" s="1"/>
  <c r="AA385" i="2"/>
  <c r="AE385" i="2" s="1"/>
  <c r="AA457" i="2"/>
  <c r="AE457" i="2" s="1"/>
  <c r="AE8" i="2"/>
  <c r="AB205" i="2"/>
  <c r="AE205" i="2" s="1"/>
  <c r="AC157" i="2"/>
  <c r="AC505" i="2"/>
  <c r="AC529" i="2"/>
  <c r="AB91" i="2"/>
  <c r="AC91" i="2"/>
  <c r="AB103" i="2"/>
  <c r="AE103" i="2" s="1"/>
  <c r="AC103" i="2"/>
  <c r="AB139" i="2"/>
  <c r="AE139" i="2" s="1"/>
  <c r="AC139" i="2"/>
  <c r="AB163" i="2"/>
  <c r="AE163" i="2" s="1"/>
  <c r="AC163" i="2"/>
  <c r="AB235" i="2"/>
  <c r="AC235" i="2"/>
  <c r="AB259" i="2"/>
  <c r="AC259" i="2"/>
  <c r="AB295" i="2"/>
  <c r="AC295" i="2"/>
  <c r="AB307" i="2"/>
  <c r="AC307" i="2"/>
  <c r="AB379" i="2"/>
  <c r="AC379" i="2"/>
  <c r="AB415" i="2"/>
  <c r="AE415" i="2" s="1"/>
  <c r="AC415" i="2"/>
  <c r="AB451" i="2"/>
  <c r="AC451" i="2"/>
  <c r="AB463" i="2"/>
  <c r="AA463" i="2"/>
  <c r="AB523" i="2"/>
  <c r="AC523" i="2"/>
  <c r="AB535" i="2"/>
  <c r="AC535" i="2"/>
  <c r="AA535" i="2"/>
  <c r="AE535" i="2" s="1"/>
  <c r="AD67" i="2"/>
  <c r="AD139" i="2"/>
  <c r="AD211" i="2"/>
  <c r="AD283" i="2"/>
  <c r="AD355" i="2"/>
  <c r="AD427" i="2"/>
  <c r="AD499" i="2"/>
  <c r="AA19" i="2"/>
  <c r="AA91" i="2"/>
  <c r="AA163" i="2"/>
  <c r="AA235" i="2"/>
  <c r="AA307" i="2"/>
  <c r="AE307" i="2" s="1"/>
  <c r="AA379" i="2"/>
  <c r="AA451" i="2"/>
  <c r="AE451" i="2" s="1"/>
  <c r="AB68" i="2"/>
  <c r="AE68" i="2" s="1"/>
  <c r="AB428" i="2"/>
  <c r="AE428" i="2" s="1"/>
  <c r="AC56" i="2"/>
  <c r="AC140" i="2"/>
  <c r="AC284" i="2"/>
  <c r="AC428" i="2"/>
  <c r="AC452" i="2"/>
  <c r="AC104" i="2"/>
  <c r="AB104" i="2"/>
  <c r="AC464" i="2"/>
  <c r="AA464" i="2"/>
  <c r="AE464" i="2" s="1"/>
  <c r="AE488" i="2"/>
  <c r="AA500" i="2"/>
  <c r="AE500" i="2" s="1"/>
  <c r="AC500" i="2"/>
  <c r="AB512" i="2"/>
  <c r="AA512" i="2"/>
  <c r="AE512" i="2" s="1"/>
  <c r="AE524" i="2"/>
  <c r="AC536" i="2"/>
  <c r="AA536" i="2"/>
  <c r="AB536" i="2"/>
  <c r="AD68" i="2"/>
  <c r="AD212" i="2"/>
  <c r="AD500" i="2"/>
  <c r="AA164" i="2"/>
  <c r="AE164" i="2" s="1"/>
  <c r="AA308" i="2"/>
  <c r="AE308" i="2" s="1"/>
  <c r="AA380" i="2"/>
  <c r="AE380" i="2" s="1"/>
  <c r="AB392" i="2"/>
  <c r="AC79" i="2"/>
  <c r="AC223" i="2"/>
  <c r="AE47" i="2"/>
  <c r="AE119" i="2"/>
  <c r="AE167" i="2"/>
  <c r="AE191" i="2"/>
  <c r="AE215" i="2"/>
  <c r="AE239" i="2"/>
  <c r="AE299" i="2"/>
  <c r="AE371" i="2"/>
  <c r="AE443" i="2"/>
  <c r="AE491" i="2"/>
  <c r="AE515" i="2"/>
  <c r="AE36" i="2"/>
  <c r="AE84" i="2"/>
  <c r="AE156" i="2"/>
  <c r="AE228" i="2"/>
  <c r="AE252" i="2"/>
  <c r="AE276" i="2"/>
  <c r="AE300" i="2"/>
  <c r="AE324" i="2"/>
  <c r="AE396" i="2"/>
  <c r="AE35" i="2"/>
  <c r="AE107" i="2"/>
  <c r="AE131" i="2"/>
  <c r="AE155" i="2"/>
  <c r="AE263" i="2"/>
  <c r="AE311" i="2"/>
  <c r="AE335" i="2"/>
  <c r="AE359" i="2"/>
  <c r="AE383" i="2"/>
  <c r="AE455" i="2"/>
  <c r="AE479" i="2"/>
  <c r="AE96" i="2"/>
  <c r="AE168" i="2"/>
  <c r="AE192" i="2"/>
  <c r="AE240" i="2"/>
  <c r="AE348" i="2"/>
  <c r="AE408" i="2"/>
  <c r="AE456" i="2"/>
  <c r="AE468" i="2"/>
  <c r="AE480" i="2"/>
  <c r="AE492" i="2"/>
  <c r="AE37" i="2"/>
  <c r="AE61" i="2"/>
  <c r="AE109" i="2"/>
  <c r="AE121" i="2"/>
  <c r="AE145" i="2"/>
  <c r="AE169" i="2"/>
  <c r="AE193" i="2"/>
  <c r="AE241" i="2"/>
  <c r="AE289" i="2"/>
  <c r="AE313" i="2"/>
  <c r="AE337" i="2"/>
  <c r="AE373" i="2"/>
  <c r="AE397" i="2"/>
  <c r="AE421" i="2"/>
  <c r="AE445" i="2"/>
  <c r="AE469" i="2"/>
  <c r="AE517" i="2"/>
  <c r="AE38" i="2"/>
  <c r="AE86" i="2"/>
  <c r="AE110" i="2"/>
  <c r="AE134" i="2"/>
  <c r="AE206" i="2"/>
  <c r="AE230" i="2"/>
  <c r="AE362" i="2"/>
  <c r="AE434" i="2"/>
  <c r="AE470" i="2"/>
  <c r="AE482" i="2"/>
  <c r="AE63" i="2"/>
  <c r="AE87" i="2"/>
  <c r="AE159" i="2"/>
  <c r="AE183" i="2"/>
  <c r="AE207" i="2"/>
  <c r="AE231" i="2"/>
  <c r="AE255" i="2"/>
  <c r="AE375" i="2"/>
  <c r="AE423" i="2"/>
  <c r="AE447" i="2"/>
  <c r="AE471" i="2"/>
  <c r="AE25" i="2"/>
  <c r="AE49" i="2"/>
  <c r="AE97" i="2"/>
  <c r="AE157" i="2"/>
  <c r="AE229" i="2"/>
  <c r="AE253" i="2"/>
  <c r="AE277" i="2"/>
  <c r="AE301" i="2"/>
  <c r="AE325" i="2"/>
  <c r="AE349" i="2"/>
  <c r="AE433" i="2"/>
  <c r="AE481" i="2"/>
  <c r="AE505" i="2"/>
  <c r="AE26" i="2"/>
  <c r="AE50" i="2"/>
  <c r="AE74" i="2"/>
  <c r="AE98" i="2"/>
  <c r="AE146" i="2"/>
  <c r="AE170" i="2"/>
  <c r="AE314" i="2"/>
  <c r="AE374" i="2"/>
  <c r="AE422" i="2"/>
  <c r="AE446" i="2"/>
  <c r="AE458" i="2"/>
  <c r="AE27" i="2"/>
  <c r="AE75" i="2"/>
  <c r="AE99" i="2"/>
  <c r="AE147" i="2"/>
  <c r="AE195" i="2"/>
  <c r="AE315" i="2"/>
  <c r="AE363" i="2"/>
  <c r="AE387" i="2"/>
  <c r="AE411" i="2"/>
  <c r="AE435" i="2"/>
  <c r="AE459" i="2"/>
  <c r="AE483" i="2"/>
  <c r="AE519" i="2"/>
  <c r="AE7" i="2"/>
  <c r="AE19" i="2"/>
  <c r="AE31" i="2"/>
  <c r="AE43" i="2"/>
  <c r="AE55" i="2"/>
  <c r="AE67" i="2"/>
  <c r="AE79" i="2"/>
  <c r="AE91" i="2"/>
  <c r="AE115" i="2"/>
  <c r="AE127" i="2"/>
  <c r="AE151" i="2"/>
  <c r="AE175" i="2"/>
  <c r="AE187" i="2"/>
  <c r="AE199" i="2"/>
  <c r="AE211" i="2"/>
  <c r="AE223" i="2"/>
  <c r="AE235" i="2"/>
  <c r="AE247" i="2"/>
  <c r="AE259" i="2"/>
  <c r="AE271" i="2"/>
  <c r="AE283" i="2"/>
  <c r="AE295" i="2"/>
  <c r="AE319" i="2"/>
  <c r="AE331" i="2"/>
  <c r="AE343" i="2"/>
  <c r="AE355" i="2"/>
  <c r="AE367" i="2"/>
  <c r="AE379" i="2"/>
  <c r="AE391" i="2"/>
  <c r="AE403" i="2"/>
  <c r="AE427" i="2"/>
  <c r="AE439" i="2"/>
  <c r="AE463" i="2"/>
  <c r="AE475" i="2"/>
  <c r="AE487" i="2"/>
  <c r="AE499" i="2"/>
  <c r="AE511" i="2"/>
  <c r="AE523" i="2"/>
  <c r="AG325" i="1"/>
  <c r="AG99" i="1"/>
  <c r="AG204" i="1"/>
  <c r="AG221" i="1"/>
  <c r="AG248" i="1"/>
  <c r="AG117" i="1"/>
  <c r="AG50" i="1"/>
  <c r="AG237" i="1"/>
  <c r="AG149" i="1"/>
  <c r="AG231" i="1"/>
  <c r="AG87" i="1"/>
  <c r="AG271" i="1"/>
  <c r="AG43" i="1"/>
  <c r="AG238" i="1"/>
  <c r="AG320" i="1"/>
  <c r="AG192" i="1"/>
  <c r="AG215" i="1"/>
  <c r="AG295" i="1"/>
  <c r="AG82" i="1"/>
  <c r="AG75" i="1"/>
  <c r="AG164" i="1"/>
  <c r="AG180" i="1"/>
  <c r="AG257" i="1"/>
  <c r="AG79" i="1"/>
  <c r="AG26" i="1"/>
  <c r="AG284" i="1"/>
  <c r="AG104" i="1"/>
  <c r="AG100" i="1"/>
  <c r="AG349" i="1"/>
  <c r="AG334" i="1"/>
  <c r="AG194" i="1"/>
  <c r="AG294" i="1"/>
  <c r="AG52" i="1"/>
  <c r="AG15" i="1"/>
  <c r="AG151" i="1"/>
  <c r="AG316" i="1"/>
  <c r="AG348" i="1"/>
  <c r="AG120" i="1"/>
  <c r="AG95" i="1"/>
  <c r="AG30" i="1"/>
  <c r="AG216" i="1"/>
  <c r="AG140" i="1"/>
  <c r="AG347" i="1"/>
  <c r="AG342" i="1"/>
  <c r="AG254" i="1"/>
  <c r="AG279" i="1"/>
  <c r="AG176" i="1"/>
  <c r="AG296" i="1"/>
  <c r="AG229" i="1"/>
  <c r="AG260" i="1"/>
  <c r="AG309" i="1"/>
  <c r="AG166" i="1"/>
  <c r="AG27" i="1"/>
  <c r="AG308" i="1"/>
  <c r="AG96" i="1"/>
  <c r="AG240" i="1"/>
  <c r="AG111" i="1"/>
  <c r="AG258" i="1"/>
  <c r="AG147" i="1"/>
  <c r="AG247" i="1"/>
  <c r="AG251" i="1"/>
  <c r="AG227" i="1"/>
  <c r="AG179" i="1"/>
  <c r="AG101" i="1"/>
  <c r="AG80" i="1"/>
  <c r="AG158" i="1"/>
  <c r="AG184" i="1"/>
  <c r="AG125" i="1"/>
  <c r="AG208" i="1"/>
  <c r="AG84" i="1"/>
  <c r="AG29" i="1"/>
  <c r="AG337" i="1"/>
  <c r="AG127" i="1"/>
  <c r="AG81" i="1"/>
  <c r="AG346" i="1"/>
  <c r="AG108" i="1"/>
  <c r="AG332" i="1"/>
  <c r="AG206" i="1"/>
  <c r="AG277" i="1"/>
  <c r="AG226" i="1"/>
  <c r="AG144" i="1"/>
  <c r="AG311" i="1"/>
  <c r="AG267" i="1"/>
  <c r="AG134" i="1"/>
  <c r="AG218" i="1"/>
  <c r="AG173" i="1"/>
  <c r="AG288" i="1"/>
  <c r="AG105" i="1"/>
  <c r="AG302" i="1"/>
  <c r="AG243" i="1"/>
  <c r="AG76" i="1"/>
  <c r="AG42" i="1"/>
  <c r="AG264" i="1"/>
  <c r="AG185" i="1"/>
  <c r="AG195" i="1"/>
  <c r="AG259" i="1"/>
  <c r="AG220" i="1"/>
  <c r="AG272" i="1"/>
  <c r="AG153" i="1"/>
  <c r="AG293" i="1"/>
  <c r="AG141" i="1"/>
  <c r="AG137" i="1"/>
  <c r="AG268" i="1"/>
  <c r="AG118" i="1"/>
  <c r="AG119" i="1"/>
  <c r="AG64" i="1"/>
  <c r="AG38" i="1"/>
  <c r="AG300" i="1"/>
  <c r="AG157" i="1"/>
  <c r="AG236" i="1"/>
  <c r="AG73" i="1"/>
  <c r="AG89" i="1"/>
  <c r="AG326" i="1"/>
  <c r="AG72" i="1"/>
  <c r="AG102" i="1"/>
  <c r="AG114" i="1"/>
  <c r="AG214" i="1"/>
  <c r="AG210" i="1"/>
  <c r="AG70" i="1"/>
  <c r="AG285" i="1"/>
  <c r="AG175" i="1"/>
  <c r="AG211" i="1"/>
  <c r="AG319" i="1"/>
  <c r="AG333" i="1"/>
  <c r="AG202" i="1"/>
  <c r="AG16" i="1"/>
  <c r="AG291" i="1"/>
  <c r="AG128" i="1"/>
  <c r="AG345" i="1"/>
  <c r="AG17" i="1"/>
  <c r="AG124" i="1"/>
  <c r="AG330" i="1"/>
  <c r="AG312" i="1"/>
  <c r="AG193" i="1"/>
  <c r="AG61" i="1"/>
  <c r="AG233" i="1"/>
  <c r="AG106" i="1"/>
  <c r="AG51" i="1"/>
  <c r="AG63" i="1"/>
  <c r="AG53" i="1"/>
  <c r="AG301" i="1"/>
  <c r="AG44" i="1"/>
  <c r="AG273" i="1"/>
  <c r="AG269" i="1"/>
  <c r="AG91" i="1"/>
  <c r="AG209" i="1"/>
  <c r="AG201" i="1"/>
  <c r="AG255" i="1"/>
  <c r="AG188" i="1"/>
  <c r="AG14" i="1"/>
  <c r="AG299" i="1"/>
  <c r="AG77" i="1"/>
  <c r="AG131" i="1"/>
  <c r="AG303" i="1"/>
  <c r="AG182" i="1"/>
  <c r="AG262" i="1"/>
  <c r="AG344" i="1"/>
  <c r="AG282" i="1"/>
  <c r="AG200" i="1"/>
  <c r="AG126" i="1"/>
  <c r="AG163" i="1"/>
  <c r="AG234" i="1"/>
  <c r="AG338" i="1"/>
  <c r="AG292" i="1"/>
  <c r="AG336" i="1"/>
  <c r="AG340" i="1"/>
  <c r="AG78" i="1"/>
  <c r="AG160" i="1"/>
  <c r="AG49" i="1"/>
  <c r="AG219" i="1"/>
  <c r="AG223" i="1"/>
  <c r="AG261" i="1"/>
  <c r="AG112" i="1"/>
  <c r="AG274" i="1"/>
  <c r="AG172" i="1"/>
  <c r="AG37" i="1"/>
  <c r="AG224" i="1"/>
  <c r="AG138" i="1"/>
  <c r="AG165" i="1"/>
  <c r="AG297" i="1"/>
  <c r="AG39" i="1"/>
  <c r="AG32" i="1"/>
  <c r="AG250" i="1"/>
  <c r="AG60" i="1"/>
  <c r="AG339" i="1"/>
  <c r="AG189" i="1"/>
  <c r="AG350" i="1"/>
  <c r="AG329" i="1"/>
  <c r="AG148" i="1"/>
  <c r="AG244" i="1"/>
  <c r="AG249" i="1"/>
  <c r="AG276" i="1"/>
  <c r="AG197" i="1"/>
  <c r="AG36" i="1"/>
  <c r="AG187" i="1"/>
  <c r="AG230" i="1"/>
  <c r="AG265" i="1"/>
  <c r="AG88" i="1"/>
  <c r="AG167" i="1"/>
  <c r="AG161" i="1"/>
  <c r="AG298" i="1"/>
  <c r="AG55" i="1"/>
  <c r="AG174" i="1"/>
  <c r="AG132" i="1"/>
  <c r="AG235" i="1"/>
  <c r="AG178" i="1"/>
  <c r="AG177" i="1"/>
  <c r="AG207" i="1"/>
  <c r="AG169" i="1"/>
  <c r="AG113" i="1"/>
  <c r="AG306" i="1"/>
  <c r="AG191" i="1"/>
  <c r="AG86" i="1"/>
  <c r="AG327" i="1"/>
  <c r="AG28" i="1"/>
  <c r="AG67" i="1"/>
  <c r="AG57" i="1"/>
  <c r="AG305" i="1"/>
  <c r="AG239" i="1"/>
  <c r="AG198" i="1"/>
  <c r="AG278" i="1"/>
  <c r="AG213" i="1"/>
  <c r="AG343" i="1"/>
  <c r="AG252" i="1"/>
  <c r="AG93" i="1"/>
  <c r="AG145" i="1"/>
  <c r="AG152" i="1"/>
  <c r="AG69" i="1"/>
  <c r="AG242" i="1"/>
  <c r="AG323" i="1"/>
  <c r="AG9" i="1"/>
  <c r="AG94" i="1"/>
  <c r="AG324" i="1"/>
  <c r="AG115" i="1"/>
  <c r="AG212" i="1"/>
  <c r="AG41" i="1"/>
  <c r="AG190" i="1"/>
  <c r="AG139" i="1"/>
  <c r="AG317" i="1"/>
  <c r="AG246" i="1"/>
  <c r="AG133" i="1"/>
  <c r="AG331" i="1"/>
  <c r="AG318" i="1"/>
  <c r="AG304" i="1"/>
  <c r="AG170" i="1"/>
  <c r="AG270" i="1"/>
  <c r="AG146" i="1"/>
  <c r="AG281" i="1"/>
  <c r="AG11" i="1"/>
  <c r="AG143" i="1"/>
  <c r="AG275" i="1"/>
  <c r="AG159" i="1"/>
  <c r="AG181" i="1"/>
  <c r="AG315" i="1"/>
  <c r="AG59" i="1"/>
  <c r="AG322" i="1"/>
  <c r="AG283" i="1"/>
  <c r="AG241" i="1"/>
  <c r="AG335" i="1"/>
  <c r="AG35" i="1"/>
  <c r="AG183" i="1"/>
  <c r="AG90" i="1"/>
  <c r="AG103" i="1"/>
  <c r="AG253" i="1"/>
  <c r="AG7" i="1"/>
  <c r="AG199" i="1"/>
  <c r="AG24" i="1"/>
  <c r="AG314" i="1"/>
  <c r="AG56" i="1"/>
  <c r="AG142" i="1"/>
  <c r="AG341" i="1"/>
  <c r="AG321" i="1"/>
  <c r="AG313" i="1"/>
  <c r="AG328" i="1"/>
  <c r="AG58" i="1"/>
  <c r="AG136" i="1"/>
  <c r="AG266" i="1"/>
  <c r="AG109" i="1"/>
  <c r="AG13" i="1"/>
  <c r="AG65" i="1"/>
  <c r="AG83" i="1"/>
  <c r="AG33" i="1"/>
  <c r="AG129" i="1"/>
  <c r="AG74" i="1"/>
  <c r="AG54" i="1"/>
  <c r="AG168" i="1"/>
  <c r="AG263" i="1"/>
  <c r="AG62" i="1"/>
  <c r="AG12" i="1"/>
  <c r="AG92" i="1"/>
  <c r="AG225" i="1"/>
  <c r="AG196" i="1"/>
  <c r="AG121" i="1"/>
  <c r="AG85" i="1"/>
  <c r="AG286" i="1"/>
  <c r="AG150" i="1"/>
  <c r="AG155" i="1"/>
  <c r="AG290" i="1"/>
  <c r="AG135" i="1"/>
  <c r="AG4" i="1"/>
  <c r="AG97" i="1"/>
  <c r="AG130" i="1"/>
  <c r="AG222" i="1"/>
  <c r="AG10" i="1"/>
  <c r="AG6" i="1"/>
  <c r="AG256" i="1"/>
  <c r="AG2" i="1"/>
  <c r="AG40" i="1"/>
  <c r="AG3" i="1"/>
  <c r="AG205" i="1"/>
  <c r="AG5" i="1"/>
  <c r="AG110" i="1"/>
  <c r="AG68" i="1"/>
  <c r="AG98" i="1"/>
  <c r="AG45" i="1"/>
  <c r="AG289" i="1"/>
  <c r="AG116" i="1"/>
  <c r="AG162" i="1"/>
  <c r="AG203" i="1"/>
  <c r="AG310" i="1"/>
  <c r="AG18" i="1"/>
  <c r="AG156" i="1"/>
  <c r="AG154" i="1"/>
  <c r="AG47" i="1"/>
  <c r="AG20" i="1"/>
  <c r="AG8" i="1"/>
  <c r="AG171" i="1"/>
  <c r="AG34" i="1"/>
  <c r="AG25" i="1"/>
  <c r="AG71" i="1"/>
  <c r="AG19" i="1"/>
  <c r="AG21" i="1"/>
  <c r="AG23" i="1"/>
  <c r="AG107" i="1"/>
  <c r="AG46" i="1"/>
  <c r="AG280" i="1"/>
  <c r="AG307" i="1"/>
  <c r="AG217" i="1"/>
  <c r="AG232" i="1"/>
  <c r="AG66" i="1"/>
  <c r="AG122" i="1"/>
  <c r="AG22" i="1"/>
  <c r="AG186" i="1"/>
  <c r="AG228" i="1"/>
  <c r="AG123" i="1"/>
  <c r="AG245" i="1"/>
  <c r="AG31" i="1"/>
  <c r="AG287" i="1"/>
  <c r="AG48" i="1"/>
  <c r="AE162" i="1"/>
  <c r="AF162" i="1" s="1"/>
  <c r="AC325" i="1"/>
  <c r="AD325" i="1" s="1"/>
  <c r="AC99" i="1"/>
  <c r="AE99" i="1" s="1"/>
  <c r="AC204" i="1"/>
  <c r="AD204" i="1" s="1"/>
  <c r="AC221" i="1"/>
  <c r="AC248" i="1"/>
  <c r="AE248" i="1" s="1"/>
  <c r="AC117" i="1"/>
  <c r="AE117" i="1" s="1"/>
  <c r="AC50" i="1"/>
  <c r="AE50" i="1" s="1"/>
  <c r="AC237" i="1"/>
  <c r="AD237" i="1" s="1"/>
  <c r="AC149" i="1"/>
  <c r="AD149" i="1" s="1"/>
  <c r="AC231" i="1"/>
  <c r="AD231" i="1" s="1"/>
  <c r="AC87" i="1"/>
  <c r="AE87" i="1" s="1"/>
  <c r="AC271" i="1"/>
  <c r="AC43" i="1"/>
  <c r="AC238" i="1"/>
  <c r="AE238" i="1" s="1"/>
  <c r="AC320" i="1"/>
  <c r="AE320" i="1" s="1"/>
  <c r="AC192" i="1"/>
  <c r="AD192" i="1" s="1"/>
  <c r="AC215" i="1"/>
  <c r="AD215" i="1" s="1"/>
  <c r="AC295" i="1"/>
  <c r="AE295" i="1" s="1"/>
  <c r="AC82" i="1"/>
  <c r="AE82" i="1" s="1"/>
  <c r="AC75" i="1"/>
  <c r="AE75" i="1" s="1"/>
  <c r="AC164" i="1"/>
  <c r="AC180" i="1"/>
  <c r="AC257" i="1"/>
  <c r="AD257" i="1" s="1"/>
  <c r="AC79" i="1"/>
  <c r="AD79" i="1" s="1"/>
  <c r="AC26" i="1"/>
  <c r="AD26" i="1" s="1"/>
  <c r="AC284" i="1"/>
  <c r="AC104" i="1"/>
  <c r="AD104" i="1" s="1"/>
  <c r="AC100" i="1"/>
  <c r="AD100" i="1" s="1"/>
  <c r="AC349" i="1"/>
  <c r="AC334" i="1"/>
  <c r="AD334" i="1" s="1"/>
  <c r="AC194" i="1"/>
  <c r="AE194" i="1" s="1"/>
  <c r="AC294" i="1"/>
  <c r="AE294" i="1" s="1"/>
  <c r="AC52" i="1"/>
  <c r="AC15" i="1"/>
  <c r="AD15" i="1" s="1"/>
  <c r="AC151" i="1"/>
  <c r="AD151" i="1" s="1"/>
  <c r="AC316" i="1"/>
  <c r="AE316" i="1" s="1"/>
  <c r="AC348" i="1"/>
  <c r="AE348" i="1" s="1"/>
  <c r="AC120" i="1"/>
  <c r="AE120" i="1" s="1"/>
  <c r="AC95" i="1"/>
  <c r="AE95" i="1" s="1"/>
  <c r="AC30" i="1"/>
  <c r="AE30" i="1" s="1"/>
  <c r="AC216" i="1"/>
  <c r="AD216" i="1" s="1"/>
  <c r="AC140" i="1"/>
  <c r="AD140" i="1" s="1"/>
  <c r="AC347" i="1"/>
  <c r="AD347" i="1" s="1"/>
  <c r="AC342" i="1"/>
  <c r="AD342" i="1" s="1"/>
  <c r="AC254" i="1"/>
  <c r="AE254" i="1" s="1"/>
  <c r="AC279" i="1"/>
  <c r="AC176" i="1"/>
  <c r="AE176" i="1" s="1"/>
  <c r="AC296" i="1"/>
  <c r="AE296" i="1" s="1"/>
  <c r="AC229" i="1"/>
  <c r="AE229" i="1" s="1"/>
  <c r="AC260" i="1"/>
  <c r="AE260" i="1" s="1"/>
  <c r="AC309" i="1"/>
  <c r="AE309" i="1" s="1"/>
  <c r="AC166" i="1"/>
  <c r="AE166" i="1" s="1"/>
  <c r="AC27" i="1"/>
  <c r="AE27" i="1" s="1"/>
  <c r="AC308" i="1"/>
  <c r="AD308" i="1" s="1"/>
  <c r="AC96" i="1"/>
  <c r="AD96" i="1" s="1"/>
  <c r="AC240" i="1"/>
  <c r="AC111" i="1"/>
  <c r="AC258" i="1"/>
  <c r="AE258" i="1" s="1"/>
  <c r="AC147" i="1"/>
  <c r="AE147" i="1" s="1"/>
  <c r="AC247" i="1"/>
  <c r="AD247" i="1" s="1"/>
  <c r="AC251" i="1"/>
  <c r="AE251" i="1" s="1"/>
  <c r="AC227" i="1"/>
  <c r="AE227" i="1" s="1"/>
  <c r="AC179" i="1"/>
  <c r="AE179" i="1" s="1"/>
  <c r="AC101" i="1"/>
  <c r="AD101" i="1" s="1"/>
  <c r="AC80" i="1"/>
  <c r="AD80" i="1" s="1"/>
  <c r="AC158" i="1"/>
  <c r="AE158" i="1" s="1"/>
  <c r="AC184" i="1"/>
  <c r="AE184" i="1" s="1"/>
  <c r="AC125" i="1"/>
  <c r="AC208" i="1"/>
  <c r="AC84" i="1"/>
  <c r="AD84" i="1" s="1"/>
  <c r="AC29" i="1"/>
  <c r="AE29" i="1" s="1"/>
  <c r="AC337" i="1"/>
  <c r="AC127" i="1"/>
  <c r="AD127" i="1" s="1"/>
  <c r="AC81" i="1"/>
  <c r="AD81" i="1" s="1"/>
  <c r="AC346" i="1"/>
  <c r="AE346" i="1" s="1"/>
  <c r="AC108" i="1"/>
  <c r="AE108" i="1" s="1"/>
  <c r="AC332" i="1"/>
  <c r="AE332" i="1" s="1"/>
  <c r="AC206" i="1"/>
  <c r="AD206" i="1" s="1"/>
  <c r="AC277" i="1"/>
  <c r="AD277" i="1" s="1"/>
  <c r="AC226" i="1"/>
  <c r="AD226" i="1" s="1"/>
  <c r="AC144" i="1"/>
  <c r="AC311" i="1"/>
  <c r="AE311" i="1" s="1"/>
  <c r="AC267" i="1"/>
  <c r="AE267" i="1" s="1"/>
  <c r="AC134" i="1"/>
  <c r="AE134" i="1" s="1"/>
  <c r="AC218" i="1"/>
  <c r="AD218" i="1" s="1"/>
  <c r="AC173" i="1"/>
  <c r="AC288" i="1"/>
  <c r="AC105" i="1"/>
  <c r="AC302" i="1"/>
  <c r="AD302" i="1" s="1"/>
  <c r="AC243" i="1"/>
  <c r="AE243" i="1" s="1"/>
  <c r="AC76" i="1"/>
  <c r="AD76" i="1" s="1"/>
  <c r="AC42" i="1"/>
  <c r="AD42" i="1" s="1"/>
  <c r="AC264" i="1"/>
  <c r="AC185" i="1"/>
  <c r="AE185" i="1" s="1"/>
  <c r="AC195" i="1"/>
  <c r="AE195" i="1" s="1"/>
  <c r="AC259" i="1"/>
  <c r="AE259" i="1" s="1"/>
  <c r="AC220" i="1"/>
  <c r="AE220" i="1" s="1"/>
  <c r="AC272" i="1"/>
  <c r="AE272" i="1" s="1"/>
  <c r="AC153" i="1"/>
  <c r="AD153" i="1" s="1"/>
  <c r="AC293" i="1"/>
  <c r="AD293" i="1" s="1"/>
  <c r="AC141" i="1"/>
  <c r="AD141" i="1" s="1"/>
  <c r="AC137" i="1"/>
  <c r="AD137" i="1" s="1"/>
  <c r="AC268" i="1"/>
  <c r="AD268" i="1" s="1"/>
  <c r="AC118" i="1"/>
  <c r="AC119" i="1"/>
  <c r="AD119" i="1" s="1"/>
  <c r="AC64" i="1"/>
  <c r="AE64" i="1" s="1"/>
  <c r="AC38" i="1"/>
  <c r="AE38" i="1" s="1"/>
  <c r="AC300" i="1"/>
  <c r="AE300" i="1" s="1"/>
  <c r="AC157" i="1"/>
  <c r="AE157" i="1" s="1"/>
  <c r="AC236" i="1"/>
  <c r="AE236" i="1" s="1"/>
  <c r="AC73" i="1"/>
  <c r="AE73" i="1" s="1"/>
  <c r="AC89" i="1"/>
  <c r="AE89" i="1" s="1"/>
  <c r="AC326" i="1"/>
  <c r="AE326" i="1" s="1"/>
  <c r="AC72" i="1"/>
  <c r="AE72" i="1" s="1"/>
  <c r="AC102" i="1"/>
  <c r="AC114" i="1"/>
  <c r="AC214" i="1"/>
  <c r="AE214" i="1" s="1"/>
  <c r="AC210" i="1"/>
  <c r="AE210" i="1" s="1"/>
  <c r="AC70" i="1"/>
  <c r="AE70" i="1" s="1"/>
  <c r="AC285" i="1"/>
  <c r="AE285" i="1" s="1"/>
  <c r="AC175" i="1"/>
  <c r="AE175" i="1" s="1"/>
  <c r="AC211" i="1"/>
  <c r="AE211" i="1" s="1"/>
  <c r="AC319" i="1"/>
  <c r="AE319" i="1" s="1"/>
  <c r="AC333" i="1"/>
  <c r="AE333" i="1" s="1"/>
  <c r="AC202" i="1"/>
  <c r="AE202" i="1" s="1"/>
  <c r="AC16" i="1"/>
  <c r="AE16" i="1" s="1"/>
  <c r="AC291" i="1"/>
  <c r="AD291" i="1" s="1"/>
  <c r="AC128" i="1"/>
  <c r="AD128" i="1" s="1"/>
  <c r="AC345" i="1"/>
  <c r="AC17" i="1"/>
  <c r="AD17" i="1" s="1"/>
  <c r="AC124" i="1"/>
  <c r="AE124" i="1" s="1"/>
  <c r="AC330" i="1"/>
  <c r="AC312" i="1"/>
  <c r="AE312" i="1" s="1"/>
  <c r="AC193" i="1"/>
  <c r="AE193" i="1" s="1"/>
  <c r="AC61" i="1"/>
  <c r="AD61" i="1" s="1"/>
  <c r="AC233" i="1"/>
  <c r="AE233" i="1" s="1"/>
  <c r="AC106" i="1"/>
  <c r="AE106" i="1" s="1"/>
  <c r="AC51" i="1"/>
  <c r="AD51" i="1" s="1"/>
  <c r="AC63" i="1"/>
  <c r="AE63" i="1" s="1"/>
  <c r="AC53" i="1"/>
  <c r="AC301" i="1"/>
  <c r="AC44" i="1"/>
  <c r="AD44" i="1" s="1"/>
  <c r="AC273" i="1"/>
  <c r="AE273" i="1" s="1"/>
  <c r="AC269" i="1"/>
  <c r="AC91" i="1"/>
  <c r="AD91" i="1" s="1"/>
  <c r="AC209" i="1"/>
  <c r="AD209" i="1" s="1"/>
  <c r="AC201" i="1"/>
  <c r="AE201" i="1" s="1"/>
  <c r="AC255" i="1"/>
  <c r="AE255" i="1" s="1"/>
  <c r="AC188" i="1"/>
  <c r="AE188" i="1" s="1"/>
  <c r="AC14" i="1"/>
  <c r="AD14" i="1" s="1"/>
  <c r="AC299" i="1"/>
  <c r="AC77" i="1"/>
  <c r="AC131" i="1"/>
  <c r="AC303" i="1"/>
  <c r="AE303" i="1" s="1"/>
  <c r="AC182" i="1"/>
  <c r="AE182" i="1" s="1"/>
  <c r="AC262" i="1"/>
  <c r="AE262" i="1" s="1"/>
  <c r="AC344" i="1"/>
  <c r="AE344" i="1" s="1"/>
  <c r="AC282" i="1"/>
  <c r="AC200" i="1"/>
  <c r="AD200" i="1" s="1"/>
  <c r="AC126" i="1"/>
  <c r="AD126" i="1" s="1"/>
  <c r="AC163" i="1"/>
  <c r="AD163" i="1" s="1"/>
  <c r="AC234" i="1"/>
  <c r="AD234" i="1" s="1"/>
  <c r="AC338" i="1"/>
  <c r="AD338" i="1" s="1"/>
  <c r="AC292" i="1"/>
  <c r="AD292" i="1" s="1"/>
  <c r="AC336" i="1"/>
  <c r="AC340" i="1"/>
  <c r="AE340" i="1" s="1"/>
  <c r="AC78" i="1"/>
  <c r="AE78" i="1" s="1"/>
  <c r="AC160" i="1"/>
  <c r="AE160" i="1" s="1"/>
  <c r="AC49" i="1"/>
  <c r="AE49" i="1" s="1"/>
  <c r="AC219" i="1"/>
  <c r="AE219" i="1" s="1"/>
  <c r="AC223" i="1"/>
  <c r="AD223" i="1" s="1"/>
  <c r="AC261" i="1"/>
  <c r="AC112" i="1"/>
  <c r="AC274" i="1"/>
  <c r="AD274" i="1" s="1"/>
  <c r="AC172" i="1"/>
  <c r="AD172" i="1" s="1"/>
  <c r="AC37" i="1"/>
  <c r="AD37" i="1" s="1"/>
  <c r="AC224" i="1"/>
  <c r="AC138" i="1"/>
  <c r="AE138" i="1" s="1"/>
  <c r="AC165" i="1"/>
  <c r="AE165" i="1" s="1"/>
  <c r="AC297" i="1"/>
  <c r="AD297" i="1" s="1"/>
  <c r="AC39" i="1"/>
  <c r="AD39" i="1" s="1"/>
  <c r="AC32" i="1"/>
  <c r="AE32" i="1" s="1"/>
  <c r="AC250" i="1"/>
  <c r="AE250" i="1" s="1"/>
  <c r="AC60" i="1"/>
  <c r="AE60" i="1" s="1"/>
  <c r="AC339" i="1"/>
  <c r="AE339" i="1" s="1"/>
  <c r="AC189" i="1"/>
  <c r="AE189" i="1" s="1"/>
  <c r="AC350" i="1"/>
  <c r="AD350" i="1" s="1"/>
  <c r="AC329" i="1"/>
  <c r="AC148" i="1"/>
  <c r="AD148" i="1" s="1"/>
  <c r="AC244" i="1"/>
  <c r="AE244" i="1" s="1"/>
  <c r="AC249" i="1"/>
  <c r="AE249" i="1" s="1"/>
  <c r="AC276" i="1"/>
  <c r="AE276" i="1" s="1"/>
  <c r="AC197" i="1"/>
  <c r="AE197" i="1" s="1"/>
  <c r="AC36" i="1"/>
  <c r="AD36" i="1" s="1"/>
  <c r="AC187" i="1"/>
  <c r="AE187" i="1" s="1"/>
  <c r="AC230" i="1"/>
  <c r="AE230" i="1" s="1"/>
  <c r="AC265" i="1"/>
  <c r="AD265" i="1" s="1"/>
  <c r="AC88" i="1"/>
  <c r="AE88" i="1" s="1"/>
  <c r="AC167" i="1"/>
  <c r="AC161" i="1"/>
  <c r="AD161" i="1" s="1"/>
  <c r="AC298" i="1"/>
  <c r="AC55" i="1"/>
  <c r="AE55" i="1" s="1"/>
  <c r="AC174" i="1"/>
  <c r="AE174" i="1" s="1"/>
  <c r="AC132" i="1"/>
  <c r="AC235" i="1"/>
  <c r="AE235" i="1" s="1"/>
  <c r="AC178" i="1"/>
  <c r="AD178" i="1" s="1"/>
  <c r="AC177" i="1"/>
  <c r="AD177" i="1" s="1"/>
  <c r="AC207" i="1"/>
  <c r="AE207" i="1" s="1"/>
  <c r="AC169" i="1"/>
  <c r="AE169" i="1" s="1"/>
  <c r="AC113" i="1"/>
  <c r="AD113" i="1" s="1"/>
  <c r="AC306" i="1"/>
  <c r="AC191" i="1"/>
  <c r="AD191" i="1" s="1"/>
  <c r="AC86" i="1"/>
  <c r="AC327" i="1"/>
  <c r="AD327" i="1" s="1"/>
  <c r="AC28" i="1"/>
  <c r="AE28" i="1" s="1"/>
  <c r="AC67" i="1"/>
  <c r="AD67" i="1" s="1"/>
  <c r="AC57" i="1"/>
  <c r="AD57" i="1" s="1"/>
  <c r="AC305" i="1"/>
  <c r="AC239" i="1"/>
  <c r="AE239" i="1" s="1"/>
  <c r="AC198" i="1"/>
  <c r="AE198" i="1" s="1"/>
  <c r="AC278" i="1"/>
  <c r="AE278" i="1" s="1"/>
  <c r="AC213" i="1"/>
  <c r="AE213" i="1" s="1"/>
  <c r="AC343" i="1"/>
  <c r="AC252" i="1"/>
  <c r="AD252" i="1" s="1"/>
  <c r="AC93" i="1"/>
  <c r="AC145" i="1"/>
  <c r="AD145" i="1" s="1"/>
  <c r="AC152" i="1"/>
  <c r="AE152" i="1" s="1"/>
  <c r="AC69" i="1"/>
  <c r="AE69" i="1" s="1"/>
  <c r="AC242" i="1"/>
  <c r="AE242" i="1" s="1"/>
  <c r="AC323" i="1"/>
  <c r="AD323" i="1" s="1"/>
  <c r="AC9" i="1"/>
  <c r="AD9" i="1" s="1"/>
  <c r="AC94" i="1"/>
  <c r="AD94" i="1" s="1"/>
  <c r="AC324" i="1"/>
  <c r="AE324" i="1" s="1"/>
  <c r="AC115" i="1"/>
  <c r="AE115" i="1" s="1"/>
  <c r="AC212" i="1"/>
  <c r="AD212" i="1" s="1"/>
  <c r="AC41" i="1"/>
  <c r="AC190" i="1"/>
  <c r="AC139" i="1"/>
  <c r="AD139" i="1" s="1"/>
  <c r="AC317" i="1"/>
  <c r="AE317" i="1" s="1"/>
  <c r="AC246" i="1"/>
  <c r="AD246" i="1" s="1"/>
  <c r="AC133" i="1"/>
  <c r="AE133" i="1" s="1"/>
  <c r="AC331" i="1"/>
  <c r="AE331" i="1" s="1"/>
  <c r="AC318" i="1"/>
  <c r="AE318" i="1" s="1"/>
  <c r="AC304" i="1"/>
  <c r="AD304" i="1" s="1"/>
  <c r="AC170" i="1"/>
  <c r="AD170" i="1" s="1"/>
  <c r="AC270" i="1"/>
  <c r="AE270" i="1" s="1"/>
  <c r="AC146" i="1"/>
  <c r="AE146" i="1" s="1"/>
  <c r="AC281" i="1"/>
  <c r="AC11" i="1"/>
  <c r="AC143" i="1"/>
  <c r="AE143" i="1" s="1"/>
  <c r="AC275" i="1"/>
  <c r="AE275" i="1" s="1"/>
  <c r="AC159" i="1"/>
  <c r="AE159" i="1" s="1"/>
  <c r="AC181" i="1"/>
  <c r="AE181" i="1" s="1"/>
  <c r="AC315" i="1"/>
  <c r="AE315" i="1" s="1"/>
  <c r="AC59" i="1"/>
  <c r="AE59" i="1" s="1"/>
  <c r="AC322" i="1"/>
  <c r="AE322" i="1" s="1"/>
  <c r="AC283" i="1"/>
  <c r="AE283" i="1" s="1"/>
  <c r="AC241" i="1"/>
  <c r="AD241" i="1" s="1"/>
  <c r="AC335" i="1"/>
  <c r="AC35" i="1"/>
  <c r="AC183" i="1"/>
  <c r="AC90" i="1"/>
  <c r="AD90" i="1" s="1"/>
  <c r="AC103" i="1"/>
  <c r="AE103" i="1" s="1"/>
  <c r="AC253" i="1"/>
  <c r="AE253" i="1" s="1"/>
  <c r="AC7" i="1"/>
  <c r="AE7" i="1" s="1"/>
  <c r="AC199" i="1"/>
  <c r="AE199" i="1" s="1"/>
  <c r="AC24" i="1"/>
  <c r="AE24" i="1" s="1"/>
  <c r="AC314" i="1"/>
  <c r="AE314" i="1" s="1"/>
  <c r="AC56" i="1"/>
  <c r="AE56" i="1" s="1"/>
  <c r="AC142" i="1"/>
  <c r="AE142" i="1" s="1"/>
  <c r="AC341" i="1"/>
  <c r="AD341" i="1" s="1"/>
  <c r="AC321" i="1"/>
  <c r="AD321" i="1" s="1"/>
  <c r="AC313" i="1"/>
  <c r="AE313" i="1" s="1"/>
  <c r="AC328" i="1"/>
  <c r="AE328" i="1" s="1"/>
  <c r="AC58" i="1"/>
  <c r="AE58" i="1" s="1"/>
  <c r="AC136" i="1"/>
  <c r="AD136" i="1" s="1"/>
  <c r="AC266" i="1"/>
  <c r="AD266" i="1" s="1"/>
  <c r="AC109" i="1"/>
  <c r="AD109" i="1" s="1"/>
  <c r="AC13" i="1"/>
  <c r="AD13" i="1" s="1"/>
  <c r="AC65" i="1"/>
  <c r="AD65" i="1" s="1"/>
  <c r="AC83" i="1"/>
  <c r="AE83" i="1" s="1"/>
  <c r="AC33" i="1"/>
  <c r="AD33" i="1" s="1"/>
  <c r="AC129" i="1"/>
  <c r="AC74" i="1"/>
  <c r="AD74" i="1" s="1"/>
  <c r="AC54" i="1"/>
  <c r="AC168" i="1"/>
  <c r="AE168" i="1" s="1"/>
  <c r="AC263" i="1"/>
  <c r="AE263" i="1" s="1"/>
  <c r="AC62" i="1"/>
  <c r="AC12" i="1"/>
  <c r="AD12" i="1" s="1"/>
  <c r="AC92" i="1"/>
  <c r="AD92" i="1" s="1"/>
  <c r="AC225" i="1"/>
  <c r="AD225" i="1" s="1"/>
  <c r="AC196" i="1"/>
  <c r="AD196" i="1" s="1"/>
  <c r="AC121" i="1"/>
  <c r="AE121" i="1" s="1"/>
  <c r="AC85" i="1"/>
  <c r="AE85" i="1" s="1"/>
  <c r="AC286" i="1"/>
  <c r="AC150" i="1"/>
  <c r="AC155" i="1"/>
  <c r="AC290" i="1"/>
  <c r="AE290" i="1" s="1"/>
  <c r="AC135" i="1"/>
  <c r="AE135" i="1" s="1"/>
  <c r="AC4" i="1"/>
  <c r="AE4" i="1" s="1"/>
  <c r="AC97" i="1"/>
  <c r="AE97" i="1" s="1"/>
  <c r="AC130" i="1"/>
  <c r="AD130" i="1" s="1"/>
  <c r="AC222" i="1"/>
  <c r="AD222" i="1" s="1"/>
  <c r="AC10" i="1"/>
  <c r="AD10" i="1" s="1"/>
  <c r="AC6" i="1"/>
  <c r="AE6" i="1" s="1"/>
  <c r="AC256" i="1"/>
  <c r="AD256" i="1" s="1"/>
  <c r="AC2" i="1"/>
  <c r="AC40" i="1"/>
  <c r="AD40" i="1" s="1"/>
  <c r="AC3" i="1"/>
  <c r="AC205" i="1"/>
  <c r="AD205" i="1" s="1"/>
  <c r="AC5" i="1"/>
  <c r="AE5" i="1" s="1"/>
  <c r="AC110" i="1"/>
  <c r="AE110" i="1" s="1"/>
  <c r="AC68" i="1"/>
  <c r="AE68" i="1" s="1"/>
  <c r="AC98" i="1"/>
  <c r="AE98" i="1" s="1"/>
  <c r="AC45" i="1"/>
  <c r="AE45" i="1" s="1"/>
  <c r="AC289" i="1"/>
  <c r="AC116" i="1"/>
  <c r="AD116" i="1" s="1"/>
  <c r="AC162" i="1"/>
  <c r="AD162" i="1" s="1"/>
  <c r="AC203" i="1"/>
  <c r="AD203" i="1" s="1"/>
  <c r="AC310" i="1"/>
  <c r="AD310" i="1" s="1"/>
  <c r="AC18" i="1"/>
  <c r="AC156" i="1"/>
  <c r="AE156" i="1" s="1"/>
  <c r="AC154" i="1"/>
  <c r="AE154" i="1" s="1"/>
  <c r="AC47" i="1"/>
  <c r="AE47" i="1" s="1"/>
  <c r="AC20" i="1"/>
  <c r="AE20" i="1" s="1"/>
  <c r="AC8" i="1"/>
  <c r="AE8" i="1" s="1"/>
  <c r="AC171" i="1"/>
  <c r="AE171" i="1" s="1"/>
  <c r="AC34" i="1"/>
  <c r="AD34" i="1" s="1"/>
  <c r="AC25" i="1"/>
  <c r="AE25" i="1" s="1"/>
  <c r="AC71" i="1"/>
  <c r="AD71" i="1" s="1"/>
  <c r="AC19" i="1"/>
  <c r="AC21" i="1"/>
  <c r="AD21" i="1" s="1"/>
  <c r="AC23" i="1"/>
  <c r="AC107" i="1"/>
  <c r="AD107" i="1" s="1"/>
  <c r="AC46" i="1"/>
  <c r="AE46" i="1" s="1"/>
  <c r="AC280" i="1"/>
  <c r="AE280" i="1" s="1"/>
  <c r="AC307" i="1"/>
  <c r="AE307" i="1" s="1"/>
  <c r="AC217" i="1"/>
  <c r="AE217" i="1" s="1"/>
  <c r="AC232" i="1"/>
  <c r="AE232" i="1" s="1"/>
  <c r="AC66" i="1"/>
  <c r="AE66" i="1" s="1"/>
  <c r="AC122" i="1"/>
  <c r="AE122" i="1" s="1"/>
  <c r="AC22" i="1"/>
  <c r="AD22" i="1" s="1"/>
  <c r="AC186" i="1"/>
  <c r="AD186" i="1" s="1"/>
  <c r="AC228" i="1"/>
  <c r="AC123" i="1"/>
  <c r="AD123" i="1" s="1"/>
  <c r="AC245" i="1"/>
  <c r="AD245" i="1" s="1"/>
  <c r="AC31" i="1"/>
  <c r="AE31" i="1" s="1"/>
  <c r="AC287" i="1"/>
  <c r="AD287" i="1" s="1"/>
  <c r="AC48" i="1"/>
  <c r="AD48" i="1" s="1"/>
  <c r="AE330" i="2" l="1"/>
  <c r="AE174" i="2"/>
  <c r="AE341" i="2"/>
  <c r="AE448" i="2"/>
  <c r="AE124" i="2"/>
  <c r="AE389" i="2"/>
  <c r="AE125" i="2"/>
  <c r="AE287" i="2"/>
  <c r="AE198" i="2"/>
  <c r="AE520" i="2"/>
  <c r="AE477" i="2"/>
  <c r="AE165" i="2"/>
  <c r="AE498" i="2"/>
  <c r="AE465" i="2"/>
  <c r="AE88" i="2"/>
  <c r="AE390" i="2"/>
  <c r="AE497" i="2"/>
  <c r="AE149" i="2"/>
  <c r="AE249" i="2"/>
  <c r="AE197" i="2"/>
  <c r="AE106" i="2"/>
  <c r="AE143" i="2"/>
  <c r="AE18" i="2"/>
  <c r="AE245" i="2"/>
  <c r="AE538" i="2"/>
  <c r="AE394" i="2"/>
  <c r="AE250" i="2"/>
  <c r="AE58" i="2"/>
  <c r="AE453" i="2"/>
  <c r="AE148" i="2"/>
  <c r="AE534" i="2"/>
  <c r="AE258" i="2"/>
  <c r="AE57" i="2"/>
  <c r="AE536" i="2"/>
  <c r="AE400" i="2"/>
  <c r="AE537" i="2"/>
  <c r="AE489" i="2"/>
  <c r="AE365" i="2"/>
  <c r="AE246" i="2"/>
  <c r="AE90" i="2"/>
  <c r="AE244" i="2"/>
  <c r="AE533" i="2"/>
  <c r="AE449" i="2"/>
  <c r="AE431" i="2"/>
  <c r="AE184" i="2"/>
  <c r="AE282" i="2"/>
  <c r="AE162" i="2"/>
  <c r="AE66" i="2"/>
  <c r="AE377" i="2"/>
  <c r="AE269" i="2"/>
  <c r="AE161" i="2"/>
  <c r="AE41" i="2"/>
  <c r="AE478" i="2"/>
  <c r="AE22" i="2"/>
  <c r="AE417" i="2"/>
  <c r="AD120" i="1"/>
  <c r="AF120" i="1" s="1"/>
  <c r="AH120" i="1" s="1"/>
  <c r="S120" i="1" s="1"/>
  <c r="U120" i="1" s="1"/>
  <c r="AD320" i="1"/>
  <c r="AF320" i="1" s="1"/>
  <c r="AH320" i="1" s="1"/>
  <c r="S320" i="1" s="1"/>
  <c r="U320" i="1" s="1"/>
  <c r="AD238" i="1"/>
  <c r="AF238" i="1" s="1"/>
  <c r="AE203" i="1"/>
  <c r="AF203" i="1" s="1"/>
  <c r="AH203" i="1" s="1"/>
  <c r="S203" i="1" s="1"/>
  <c r="U203" i="1" s="1"/>
  <c r="AE94" i="1"/>
  <c r="AF94" i="1" s="1"/>
  <c r="AH94" i="1" s="1"/>
  <c r="S94" i="1" s="1"/>
  <c r="AE234" i="1"/>
  <c r="AE9" i="1"/>
  <c r="AF9" i="1" s="1"/>
  <c r="AH9" i="1" s="1"/>
  <c r="S9" i="1" s="1"/>
  <c r="AE323" i="1"/>
  <c r="AF323" i="1" s="1"/>
  <c r="AH323" i="1" s="1"/>
  <c r="S323" i="1" s="1"/>
  <c r="U323" i="1" s="1"/>
  <c r="AE84" i="1"/>
  <c r="AE140" i="1"/>
  <c r="AD72" i="1"/>
  <c r="AF72" i="1" s="1"/>
  <c r="AH72" i="1" s="1"/>
  <c r="S72" i="1" s="1"/>
  <c r="AD56" i="1"/>
  <c r="AF56" i="1" s="1"/>
  <c r="AH56" i="1" s="1"/>
  <c r="S56" i="1" s="1"/>
  <c r="AD24" i="1"/>
  <c r="AF24" i="1" s="1"/>
  <c r="AH24" i="1" s="1"/>
  <c r="S24" i="1" s="1"/>
  <c r="V24" i="1" s="1"/>
  <c r="AD73" i="1"/>
  <c r="AF73" i="1" s="1"/>
  <c r="AH73" i="1" s="1"/>
  <c r="S73" i="1" s="1"/>
  <c r="U73" i="1" s="1"/>
  <c r="AD232" i="1"/>
  <c r="AF232" i="1" s="1"/>
  <c r="AH232" i="1" s="1"/>
  <c r="S232" i="1" s="1"/>
  <c r="U232" i="1" s="1"/>
  <c r="AD239" i="1"/>
  <c r="AF239" i="1" s="1"/>
  <c r="AH239" i="1" s="1"/>
  <c r="S239" i="1" s="1"/>
  <c r="U239" i="1" s="1"/>
  <c r="AD332" i="1"/>
  <c r="AF332" i="1" s="1"/>
  <c r="AH332" i="1" s="1"/>
  <c r="S332" i="1" s="1"/>
  <c r="AE196" i="1"/>
  <c r="AF196" i="1" s="1"/>
  <c r="AH196" i="1" s="1"/>
  <c r="S196" i="1" s="1"/>
  <c r="U196" i="1" s="1"/>
  <c r="AE200" i="1"/>
  <c r="AF200" i="1" s="1"/>
  <c r="AH200" i="1" s="1"/>
  <c r="S200" i="1" s="1"/>
  <c r="AF84" i="1"/>
  <c r="AH84" i="1" s="1"/>
  <c r="S84" i="1" s="1"/>
  <c r="V84" i="1" s="1"/>
  <c r="AD217" i="1"/>
  <c r="AF217" i="1" s="1"/>
  <c r="AH217" i="1" s="1"/>
  <c r="S217" i="1" s="1"/>
  <c r="U217" i="1" s="1"/>
  <c r="AD250" i="1"/>
  <c r="AF250" i="1" s="1"/>
  <c r="AH250" i="1" s="1"/>
  <c r="S250" i="1" s="1"/>
  <c r="U250" i="1" s="1"/>
  <c r="AD108" i="1"/>
  <c r="AF108" i="1" s="1"/>
  <c r="AH108" i="1" s="1"/>
  <c r="S108" i="1" s="1"/>
  <c r="V108" i="1" s="1"/>
  <c r="AE225" i="1"/>
  <c r="AF225" i="1" s="1"/>
  <c r="AH225" i="1" s="1"/>
  <c r="S225" i="1" s="1"/>
  <c r="U225" i="1" s="1"/>
  <c r="AE153" i="1"/>
  <c r="AF153" i="1" s="1"/>
  <c r="AH153" i="1" s="1"/>
  <c r="S153" i="1" s="1"/>
  <c r="AH238" i="1"/>
  <c r="S238" i="1" s="1"/>
  <c r="V238" i="1" s="1"/>
  <c r="AD59" i="1"/>
  <c r="AF59" i="1" s="1"/>
  <c r="AH59" i="1" s="1"/>
  <c r="S59" i="1" s="1"/>
  <c r="U59" i="1" s="1"/>
  <c r="AD236" i="1"/>
  <c r="AF236" i="1" s="1"/>
  <c r="AH236" i="1" s="1"/>
  <c r="S236" i="1" s="1"/>
  <c r="AE163" i="1"/>
  <c r="AF163" i="1" s="1"/>
  <c r="AH163" i="1" s="1"/>
  <c r="S163" i="1" s="1"/>
  <c r="V163" i="1" s="1"/>
  <c r="AD66" i="1"/>
  <c r="AF66" i="1" s="1"/>
  <c r="AH66" i="1" s="1"/>
  <c r="S66" i="1" s="1"/>
  <c r="V66" i="1" s="1"/>
  <c r="AD315" i="1"/>
  <c r="AF315" i="1" s="1"/>
  <c r="AH315" i="1" s="1"/>
  <c r="S315" i="1" s="1"/>
  <c r="AD272" i="1"/>
  <c r="AF272" i="1" s="1"/>
  <c r="AH272" i="1" s="1"/>
  <c r="S272" i="1" s="1"/>
  <c r="V272" i="1" s="1"/>
  <c r="AE116" i="1"/>
  <c r="AF116" i="1" s="1"/>
  <c r="AH116" i="1" s="1"/>
  <c r="S116" i="1" s="1"/>
  <c r="AE126" i="1"/>
  <c r="AF126" i="1" s="1"/>
  <c r="AH126" i="1" s="1"/>
  <c r="S126" i="1" s="1"/>
  <c r="V126" i="1" s="1"/>
  <c r="AD4" i="1"/>
  <c r="AF4" i="1" s="1"/>
  <c r="AH4" i="1" s="1"/>
  <c r="S4" i="1" s="1"/>
  <c r="AD219" i="1"/>
  <c r="AF219" i="1" s="1"/>
  <c r="AH219" i="1" s="1"/>
  <c r="S219" i="1" s="1"/>
  <c r="V219" i="1" s="1"/>
  <c r="AE92" i="1"/>
  <c r="AF92" i="1" s="1"/>
  <c r="AH92" i="1" s="1"/>
  <c r="S92" i="1" s="1"/>
  <c r="U92" i="1" s="1"/>
  <c r="AD135" i="1"/>
  <c r="AF135" i="1" s="1"/>
  <c r="AH135" i="1" s="1"/>
  <c r="S135" i="1" s="1"/>
  <c r="V135" i="1" s="1"/>
  <c r="AD182" i="1"/>
  <c r="AF182" i="1" s="1"/>
  <c r="AH182" i="1" s="1"/>
  <c r="S182" i="1" s="1"/>
  <c r="V182" i="1" s="1"/>
  <c r="AD176" i="1"/>
  <c r="AF176" i="1" s="1"/>
  <c r="AH176" i="1" s="1"/>
  <c r="S176" i="1" s="1"/>
  <c r="AE13" i="1"/>
  <c r="AF13" i="1" s="1"/>
  <c r="AH13" i="1" s="1"/>
  <c r="S13" i="1" s="1"/>
  <c r="U13" i="1" s="1"/>
  <c r="AD290" i="1"/>
  <c r="AD303" i="1"/>
  <c r="AF303" i="1" s="1"/>
  <c r="AH303" i="1" s="1"/>
  <c r="S303" i="1" s="1"/>
  <c r="U303" i="1" s="1"/>
  <c r="AD30" i="1"/>
  <c r="AF30" i="1" s="1"/>
  <c r="AH30" i="1" s="1"/>
  <c r="S30" i="1" s="1"/>
  <c r="AE246" i="1"/>
  <c r="AF246" i="1" s="1"/>
  <c r="AH246" i="1" s="1"/>
  <c r="S246" i="1" s="1"/>
  <c r="V246" i="1" s="1"/>
  <c r="AE204" i="1"/>
  <c r="AD314" i="1"/>
  <c r="AF314" i="1" s="1"/>
  <c r="AH314" i="1" s="1"/>
  <c r="S314" i="1" s="1"/>
  <c r="V314" i="1" s="1"/>
  <c r="AD326" i="1"/>
  <c r="AF326" i="1" s="1"/>
  <c r="AH326" i="1" s="1"/>
  <c r="S326" i="1" s="1"/>
  <c r="V326" i="1" s="1"/>
  <c r="AD89" i="1"/>
  <c r="AF89" i="1" s="1"/>
  <c r="AH89" i="1" s="1"/>
  <c r="S89" i="1" s="1"/>
  <c r="V89" i="1" s="1"/>
  <c r="AD199" i="1"/>
  <c r="AF199" i="1" s="1"/>
  <c r="AH199" i="1" s="1"/>
  <c r="S199" i="1" s="1"/>
  <c r="V199" i="1" s="1"/>
  <c r="AD346" i="1"/>
  <c r="AF346" i="1" s="1"/>
  <c r="AH346" i="1" s="1"/>
  <c r="S346" i="1" s="1"/>
  <c r="AD142" i="1"/>
  <c r="AF142" i="1" s="1"/>
  <c r="AH142" i="1" s="1"/>
  <c r="S142" i="1" s="1"/>
  <c r="AD193" i="1"/>
  <c r="AF193" i="1" s="1"/>
  <c r="AH193" i="1" s="1"/>
  <c r="S193" i="1" s="1"/>
  <c r="V193" i="1" s="1"/>
  <c r="AD95" i="1"/>
  <c r="AF95" i="1" s="1"/>
  <c r="AH95" i="1" s="1"/>
  <c r="S95" i="1" s="1"/>
  <c r="AE139" i="1"/>
  <c r="AF139" i="1" s="1"/>
  <c r="AH139" i="1" s="1"/>
  <c r="S139" i="1" s="1"/>
  <c r="AD197" i="1"/>
  <c r="AF197" i="1" s="1"/>
  <c r="AH197" i="1" s="1"/>
  <c r="S197" i="1" s="1"/>
  <c r="AE127" i="1"/>
  <c r="AF127" i="1" s="1"/>
  <c r="AH127" i="1" s="1"/>
  <c r="S127" i="1" s="1"/>
  <c r="AD276" i="1"/>
  <c r="AF276" i="1" s="1"/>
  <c r="AH276" i="1" s="1"/>
  <c r="S276" i="1" s="1"/>
  <c r="AD220" i="1"/>
  <c r="AF220" i="1" s="1"/>
  <c r="AH220" i="1" s="1"/>
  <c r="S220" i="1" s="1"/>
  <c r="AD181" i="1"/>
  <c r="AF181" i="1" s="1"/>
  <c r="AH181" i="1" s="1"/>
  <c r="S181" i="1" s="1"/>
  <c r="AD249" i="1"/>
  <c r="AF249" i="1" s="1"/>
  <c r="AH249" i="1" s="1"/>
  <c r="S249" i="1" s="1"/>
  <c r="U249" i="1" s="1"/>
  <c r="AD259" i="1"/>
  <c r="AF259" i="1" s="1"/>
  <c r="AH259" i="1" s="1"/>
  <c r="S259" i="1" s="1"/>
  <c r="AD263" i="1"/>
  <c r="AF263" i="1" s="1"/>
  <c r="AH263" i="1" s="1"/>
  <c r="S263" i="1" s="1"/>
  <c r="U263" i="1" s="1"/>
  <c r="AD244" i="1"/>
  <c r="AF244" i="1" s="1"/>
  <c r="AH244" i="1" s="1"/>
  <c r="S244" i="1" s="1"/>
  <c r="AE151" i="1"/>
  <c r="AF151" i="1" s="1"/>
  <c r="AH151" i="1" s="1"/>
  <c r="S151" i="1" s="1"/>
  <c r="AD348" i="1"/>
  <c r="AF348" i="1" s="1"/>
  <c r="AH348" i="1" s="1"/>
  <c r="S348" i="1" s="1"/>
  <c r="V348" i="1" s="1"/>
  <c r="AE15" i="1"/>
  <c r="AF15" i="1" s="1"/>
  <c r="AH15" i="1" s="1"/>
  <c r="S15" i="1" s="1"/>
  <c r="U15" i="1" s="1"/>
  <c r="AD267" i="1"/>
  <c r="AF267" i="1" s="1"/>
  <c r="AD307" i="1"/>
  <c r="AF307" i="1" s="1"/>
  <c r="AH307" i="1" s="1"/>
  <c r="S307" i="1" s="1"/>
  <c r="AD312" i="1"/>
  <c r="AF312" i="1" s="1"/>
  <c r="AH312" i="1" s="1"/>
  <c r="S312" i="1" s="1"/>
  <c r="V312" i="1" s="1"/>
  <c r="AF12" i="1"/>
  <c r="AH12" i="1" s="1"/>
  <c r="S12" i="1" s="1"/>
  <c r="U12" i="1" s="1"/>
  <c r="AD273" i="1"/>
  <c r="AF273" i="1" s="1"/>
  <c r="AH273" i="1" s="1"/>
  <c r="S273" i="1" s="1"/>
  <c r="V273" i="1" s="1"/>
  <c r="AD159" i="1"/>
  <c r="AF159" i="1" s="1"/>
  <c r="AH159" i="1" s="1"/>
  <c r="S159" i="1" s="1"/>
  <c r="AD195" i="1"/>
  <c r="AF195" i="1" s="1"/>
  <c r="AH195" i="1" s="1"/>
  <c r="S195" i="1" s="1"/>
  <c r="U195" i="1" s="1"/>
  <c r="AE205" i="1"/>
  <c r="AF205" i="1" s="1"/>
  <c r="AH205" i="1" s="1"/>
  <c r="S205" i="1" s="1"/>
  <c r="V205" i="1" s="1"/>
  <c r="AD317" i="1"/>
  <c r="AF317" i="1" s="1"/>
  <c r="AH317" i="1" s="1"/>
  <c r="S317" i="1" s="1"/>
  <c r="V317" i="1" s="1"/>
  <c r="AD185" i="1"/>
  <c r="AF185" i="1" s="1"/>
  <c r="AH185" i="1" s="1"/>
  <c r="S185" i="1" s="1"/>
  <c r="AD280" i="1"/>
  <c r="AF280" i="1" s="1"/>
  <c r="AH280" i="1" s="1"/>
  <c r="S280" i="1" s="1"/>
  <c r="AD165" i="1"/>
  <c r="AF165" i="1" s="1"/>
  <c r="AH165" i="1" s="1"/>
  <c r="S165" i="1" s="1"/>
  <c r="V165" i="1" s="1"/>
  <c r="AE145" i="1"/>
  <c r="AF145" i="1" s="1"/>
  <c r="AH145" i="1" s="1"/>
  <c r="S145" i="1" s="1"/>
  <c r="AE17" i="1"/>
  <c r="AF17" i="1" s="1"/>
  <c r="AH17" i="1" s="1"/>
  <c r="S17" i="1" s="1"/>
  <c r="AE79" i="1"/>
  <c r="AF79" i="1" s="1"/>
  <c r="AH79" i="1" s="1"/>
  <c r="S79" i="1" s="1"/>
  <c r="V79" i="1" s="1"/>
  <c r="AD46" i="1"/>
  <c r="AF46" i="1" s="1"/>
  <c r="AH46" i="1" s="1"/>
  <c r="S46" i="1" s="1"/>
  <c r="AD242" i="1"/>
  <c r="AF242" i="1" s="1"/>
  <c r="AH242" i="1" s="1"/>
  <c r="S242" i="1" s="1"/>
  <c r="AD138" i="1"/>
  <c r="AF138" i="1" s="1"/>
  <c r="AH138" i="1" s="1"/>
  <c r="S138" i="1" s="1"/>
  <c r="AD82" i="1"/>
  <c r="AF82" i="1" s="1"/>
  <c r="AH82" i="1" s="1"/>
  <c r="S82" i="1" s="1"/>
  <c r="AE67" i="1"/>
  <c r="AF67" i="1" s="1"/>
  <c r="AH67" i="1" s="1"/>
  <c r="S67" i="1" s="1"/>
  <c r="AE268" i="1"/>
  <c r="AF268" i="1" s="1"/>
  <c r="AH268" i="1" s="1"/>
  <c r="S268" i="1" s="1"/>
  <c r="U268" i="1" s="1"/>
  <c r="AF234" i="1"/>
  <c r="AH234" i="1" s="1"/>
  <c r="S234" i="1" s="1"/>
  <c r="AD20" i="1"/>
  <c r="AF20" i="1" s="1"/>
  <c r="AH20" i="1" s="1"/>
  <c r="S20" i="1" s="1"/>
  <c r="V20" i="1" s="1"/>
  <c r="AD69" i="1"/>
  <c r="AF69" i="1" s="1"/>
  <c r="AH69" i="1" s="1"/>
  <c r="S69" i="1" s="1"/>
  <c r="V69" i="1" s="1"/>
  <c r="AD295" i="1"/>
  <c r="AF295" i="1" s="1"/>
  <c r="AH295" i="1" s="1"/>
  <c r="S295" i="1" s="1"/>
  <c r="V295" i="1" s="1"/>
  <c r="AE12" i="1"/>
  <c r="AE327" i="1"/>
  <c r="AF327" i="1" s="1"/>
  <c r="AH327" i="1" s="1"/>
  <c r="S327" i="1" s="1"/>
  <c r="U327" i="1" s="1"/>
  <c r="AE137" i="1"/>
  <c r="AF137" i="1" s="1"/>
  <c r="AH137" i="1" s="1"/>
  <c r="S137" i="1" s="1"/>
  <c r="V137" i="1" s="1"/>
  <c r="AE325" i="1"/>
  <c r="AF325" i="1" s="1"/>
  <c r="AH325" i="1" s="1"/>
  <c r="S325" i="1" s="1"/>
  <c r="V325" i="1" s="1"/>
  <c r="AD47" i="1"/>
  <c r="AF47" i="1" s="1"/>
  <c r="AH47" i="1" s="1"/>
  <c r="S47" i="1" s="1"/>
  <c r="V47" i="1" s="1"/>
  <c r="AD49" i="1"/>
  <c r="AF49" i="1" s="1"/>
  <c r="AH49" i="1" s="1"/>
  <c r="S49" i="1" s="1"/>
  <c r="V49" i="1" s="1"/>
  <c r="AD154" i="1"/>
  <c r="AF154" i="1" s="1"/>
  <c r="AH154" i="1" s="1"/>
  <c r="S154" i="1" s="1"/>
  <c r="V154" i="1" s="1"/>
  <c r="AD103" i="1"/>
  <c r="AF103" i="1" s="1"/>
  <c r="AH103" i="1" s="1"/>
  <c r="S103" i="1" s="1"/>
  <c r="V103" i="1" s="1"/>
  <c r="AD28" i="1"/>
  <c r="AF28" i="1" s="1"/>
  <c r="AH28" i="1" s="1"/>
  <c r="S28" i="1" s="1"/>
  <c r="V28" i="1" s="1"/>
  <c r="AD78" i="1"/>
  <c r="AF78" i="1" s="1"/>
  <c r="AH78" i="1" s="1"/>
  <c r="S78" i="1" s="1"/>
  <c r="AD29" i="1"/>
  <c r="AF29" i="1" s="1"/>
  <c r="AH29" i="1" s="1"/>
  <c r="S29" i="1" s="1"/>
  <c r="AE39" i="1"/>
  <c r="AF39" i="1" s="1"/>
  <c r="AH39" i="1" s="1"/>
  <c r="S39" i="1" s="1"/>
  <c r="AD156" i="1"/>
  <c r="AF156" i="1" s="1"/>
  <c r="AH156" i="1" s="1"/>
  <c r="S156" i="1" s="1"/>
  <c r="AD283" i="1"/>
  <c r="AF283" i="1" s="1"/>
  <c r="AH283" i="1" s="1"/>
  <c r="S283" i="1" s="1"/>
  <c r="U283" i="1" s="1"/>
  <c r="AD340" i="1"/>
  <c r="AF340" i="1" s="1"/>
  <c r="AH340" i="1" s="1"/>
  <c r="S340" i="1" s="1"/>
  <c r="AD38" i="1"/>
  <c r="AF38" i="1" s="1"/>
  <c r="AH38" i="1" s="1"/>
  <c r="S38" i="1" s="1"/>
  <c r="V38" i="1" s="1"/>
  <c r="AE22" i="1"/>
  <c r="AF22" i="1" s="1"/>
  <c r="AH22" i="1" s="1"/>
  <c r="S22" i="1" s="1"/>
  <c r="U22" i="1" s="1"/>
  <c r="AE90" i="1"/>
  <c r="AF90" i="1" s="1"/>
  <c r="AH90" i="1" s="1"/>
  <c r="S90" i="1" s="1"/>
  <c r="U90" i="1" s="1"/>
  <c r="AE297" i="1"/>
  <c r="AF297" i="1" s="1"/>
  <c r="AH297" i="1" s="1"/>
  <c r="S297" i="1" s="1"/>
  <c r="AD322" i="1"/>
  <c r="AF322" i="1" s="1"/>
  <c r="AH322" i="1" s="1"/>
  <c r="S322" i="1" s="1"/>
  <c r="V322" i="1" s="1"/>
  <c r="AD235" i="1"/>
  <c r="AF235" i="1" s="1"/>
  <c r="AH235" i="1" s="1"/>
  <c r="S235" i="1" s="1"/>
  <c r="AD262" i="1"/>
  <c r="AF262" i="1" s="1"/>
  <c r="AH262" i="1" s="1"/>
  <c r="S262" i="1" s="1"/>
  <c r="V262" i="1" s="1"/>
  <c r="AD227" i="1"/>
  <c r="AF227" i="1" s="1"/>
  <c r="AH227" i="1" s="1"/>
  <c r="S227" i="1" s="1"/>
  <c r="U227" i="1" s="1"/>
  <c r="AE107" i="1"/>
  <c r="AF107" i="1" s="1"/>
  <c r="AH107" i="1" s="1"/>
  <c r="S107" i="1" s="1"/>
  <c r="AE338" i="1"/>
  <c r="AF338" i="1" s="1"/>
  <c r="AH338" i="1" s="1"/>
  <c r="S338" i="1" s="1"/>
  <c r="U338" i="1" s="1"/>
  <c r="AE81" i="1"/>
  <c r="AF81" i="1" s="1"/>
  <c r="AH81" i="1" s="1"/>
  <c r="S81" i="1" s="1"/>
  <c r="AD93" i="1"/>
  <c r="AE93" i="1"/>
  <c r="AE86" i="1"/>
  <c r="AD86" i="1"/>
  <c r="AE3" i="1"/>
  <c r="AD3" i="1"/>
  <c r="AF3" i="1" s="1"/>
  <c r="AH3" i="1" s="1"/>
  <c r="S3" i="1" s="1"/>
  <c r="U3" i="1" s="1"/>
  <c r="AD54" i="1"/>
  <c r="AE54" i="1"/>
  <c r="AE183" i="1"/>
  <c r="AD183" i="1"/>
  <c r="AF183" i="1" s="1"/>
  <c r="AH183" i="1" s="1"/>
  <c r="S183" i="1" s="1"/>
  <c r="U183" i="1" s="1"/>
  <c r="AD190" i="1"/>
  <c r="AE190" i="1"/>
  <c r="AD224" i="1"/>
  <c r="AE224" i="1"/>
  <c r="AE131" i="1"/>
  <c r="AD131" i="1"/>
  <c r="AE144" i="1"/>
  <c r="AD144" i="1"/>
  <c r="AF144" i="1" s="1"/>
  <c r="AH144" i="1" s="1"/>
  <c r="S144" i="1" s="1"/>
  <c r="U144" i="1" s="1"/>
  <c r="AE208" i="1"/>
  <c r="AD208" i="1"/>
  <c r="AE52" i="1"/>
  <c r="AD52" i="1"/>
  <c r="AF52" i="1" s="1"/>
  <c r="AH52" i="1" s="1"/>
  <c r="S52" i="1" s="1"/>
  <c r="AD313" i="1"/>
  <c r="AF313" i="1" s="1"/>
  <c r="AH313" i="1" s="1"/>
  <c r="S313" i="1" s="1"/>
  <c r="U313" i="1" s="1"/>
  <c r="AD19" i="1"/>
  <c r="AE19" i="1"/>
  <c r="AD2" i="1"/>
  <c r="AE2" i="1"/>
  <c r="AD343" i="1"/>
  <c r="AE343" i="1"/>
  <c r="AD167" i="1"/>
  <c r="AE167" i="1"/>
  <c r="AD299" i="1"/>
  <c r="AE299" i="1"/>
  <c r="AD214" i="1"/>
  <c r="AF214" i="1" s="1"/>
  <c r="AH214" i="1" s="1"/>
  <c r="S214" i="1" s="1"/>
  <c r="AH162" i="1"/>
  <c r="S162" i="1" s="1"/>
  <c r="V162" i="1" s="1"/>
  <c r="AE123" i="1"/>
  <c r="AF123" i="1" s="1"/>
  <c r="AH123" i="1" s="1"/>
  <c r="S123" i="1" s="1"/>
  <c r="AE119" i="1"/>
  <c r="AF119" i="1" s="1"/>
  <c r="AH119" i="1" s="1"/>
  <c r="S119" i="1" s="1"/>
  <c r="AE23" i="1"/>
  <c r="AD23" i="1"/>
  <c r="AE18" i="1"/>
  <c r="AD18" i="1"/>
  <c r="AD155" i="1"/>
  <c r="AE155" i="1"/>
  <c r="AD11" i="1"/>
  <c r="AE11" i="1"/>
  <c r="AF11" i="1" s="1"/>
  <c r="AH11" i="1" s="1"/>
  <c r="S11" i="1" s="1"/>
  <c r="U11" i="1" s="1"/>
  <c r="AE336" i="1"/>
  <c r="AD336" i="1"/>
  <c r="AD301" i="1"/>
  <c r="AE301" i="1"/>
  <c r="AE345" i="1"/>
  <c r="AD345" i="1"/>
  <c r="AD264" i="1"/>
  <c r="AE264" i="1"/>
  <c r="AD111" i="1"/>
  <c r="AE111" i="1"/>
  <c r="AE164" i="1"/>
  <c r="AD164" i="1"/>
  <c r="AF164" i="1" s="1"/>
  <c r="AH164" i="1" s="1"/>
  <c r="S164" i="1" s="1"/>
  <c r="U164" i="1" s="1"/>
  <c r="AD114" i="1"/>
  <c r="AE114" i="1"/>
  <c r="AD286" i="1"/>
  <c r="AE286" i="1"/>
  <c r="AD129" i="1"/>
  <c r="AE129" i="1"/>
  <c r="AD335" i="1"/>
  <c r="AE335" i="1"/>
  <c r="AD306" i="1"/>
  <c r="AE306" i="1"/>
  <c r="AD102" i="1"/>
  <c r="AE102" i="1"/>
  <c r="AE186" i="1"/>
  <c r="AF186" i="1" s="1"/>
  <c r="AH186" i="1" s="1"/>
  <c r="S186" i="1" s="1"/>
  <c r="AE341" i="1"/>
  <c r="AF341" i="1" s="1"/>
  <c r="AH341" i="1" s="1"/>
  <c r="S341" i="1" s="1"/>
  <c r="AE149" i="1"/>
  <c r="AF149" i="1" s="1"/>
  <c r="AH149" i="1" s="1"/>
  <c r="S149" i="1" s="1"/>
  <c r="AD298" i="1"/>
  <c r="AE298" i="1"/>
  <c r="AD240" i="1"/>
  <c r="AE240" i="1"/>
  <c r="AD254" i="1"/>
  <c r="AF254" i="1" s="1"/>
  <c r="AH254" i="1" s="1"/>
  <c r="S254" i="1" s="1"/>
  <c r="U254" i="1" s="1"/>
  <c r="AE148" i="1"/>
  <c r="AF148" i="1" s="1"/>
  <c r="AH148" i="1" s="1"/>
  <c r="S148" i="1" s="1"/>
  <c r="AE237" i="1"/>
  <c r="AF237" i="1" s="1"/>
  <c r="AH237" i="1" s="1"/>
  <c r="S237" i="1" s="1"/>
  <c r="V237" i="1" s="1"/>
  <c r="AD189" i="1"/>
  <c r="AF189" i="1" s="1"/>
  <c r="AH189" i="1" s="1"/>
  <c r="S189" i="1" s="1"/>
  <c r="AD188" i="1"/>
  <c r="AF188" i="1" s="1"/>
  <c r="AH188" i="1" s="1"/>
  <c r="S188" i="1" s="1"/>
  <c r="AD50" i="1"/>
  <c r="AF50" i="1" s="1"/>
  <c r="AH50" i="1" s="1"/>
  <c r="S50" i="1" s="1"/>
  <c r="AE100" i="1"/>
  <c r="AF100" i="1" s="1"/>
  <c r="AH100" i="1" s="1"/>
  <c r="S100" i="1" s="1"/>
  <c r="AD110" i="1"/>
  <c r="AF110" i="1" s="1"/>
  <c r="AH110" i="1" s="1"/>
  <c r="S110" i="1" s="1"/>
  <c r="V110" i="1" s="1"/>
  <c r="AD7" i="1"/>
  <c r="AF7" i="1" s="1"/>
  <c r="AH7" i="1" s="1"/>
  <c r="S7" i="1" s="1"/>
  <c r="U7" i="1" s="1"/>
  <c r="AD275" i="1"/>
  <c r="AF275" i="1" s="1"/>
  <c r="AH275" i="1" s="1"/>
  <c r="S275" i="1" s="1"/>
  <c r="V275" i="1" s="1"/>
  <c r="AD152" i="1"/>
  <c r="AF152" i="1" s="1"/>
  <c r="AH152" i="1" s="1"/>
  <c r="S152" i="1" s="1"/>
  <c r="V152" i="1" s="1"/>
  <c r="AD339" i="1"/>
  <c r="AF339" i="1" s="1"/>
  <c r="AH339" i="1" s="1"/>
  <c r="S339" i="1" s="1"/>
  <c r="AD160" i="1"/>
  <c r="AF160" i="1" s="1"/>
  <c r="AH160" i="1" s="1"/>
  <c r="S160" i="1" s="1"/>
  <c r="V160" i="1" s="1"/>
  <c r="AD255" i="1"/>
  <c r="AF255" i="1" s="1"/>
  <c r="AH255" i="1" s="1"/>
  <c r="S255" i="1" s="1"/>
  <c r="AD319" i="1"/>
  <c r="AF319" i="1" s="1"/>
  <c r="AH319" i="1" s="1"/>
  <c r="S319" i="1" s="1"/>
  <c r="AD157" i="1"/>
  <c r="AD158" i="1"/>
  <c r="AF158" i="1" s="1"/>
  <c r="AH158" i="1" s="1"/>
  <c r="S158" i="1" s="1"/>
  <c r="AD316" i="1"/>
  <c r="AF316" i="1" s="1"/>
  <c r="AH316" i="1" s="1"/>
  <c r="S316" i="1" s="1"/>
  <c r="V316" i="1" s="1"/>
  <c r="AD117" i="1"/>
  <c r="AF117" i="1" s="1"/>
  <c r="AH117" i="1" s="1"/>
  <c r="S117" i="1" s="1"/>
  <c r="V117" i="1" s="1"/>
  <c r="AE71" i="1"/>
  <c r="AF71" i="1" s="1"/>
  <c r="AH71" i="1" s="1"/>
  <c r="S71" i="1" s="1"/>
  <c r="AE256" i="1"/>
  <c r="AF256" i="1" s="1"/>
  <c r="AH256" i="1" s="1"/>
  <c r="S256" i="1" s="1"/>
  <c r="AE33" i="1"/>
  <c r="AF33" i="1" s="1"/>
  <c r="AH33" i="1" s="1"/>
  <c r="S33" i="1" s="1"/>
  <c r="AE14" i="1"/>
  <c r="AF14" i="1" s="1"/>
  <c r="AH14" i="1" s="1"/>
  <c r="S14" i="1" s="1"/>
  <c r="AE76" i="1"/>
  <c r="AF76" i="1" s="1"/>
  <c r="AH76" i="1" s="1"/>
  <c r="S76" i="1" s="1"/>
  <c r="AE104" i="1"/>
  <c r="AF104" i="1" s="1"/>
  <c r="AH104" i="1" s="1"/>
  <c r="S104" i="1" s="1"/>
  <c r="AF290" i="1"/>
  <c r="AH290" i="1" s="1"/>
  <c r="S290" i="1" s="1"/>
  <c r="U290" i="1" s="1"/>
  <c r="AD5" i="1"/>
  <c r="AF5" i="1" s="1"/>
  <c r="AH5" i="1" s="1"/>
  <c r="S5" i="1" s="1"/>
  <c r="U5" i="1" s="1"/>
  <c r="AD253" i="1"/>
  <c r="AF253" i="1" s="1"/>
  <c r="AH253" i="1" s="1"/>
  <c r="S253" i="1" s="1"/>
  <c r="V253" i="1" s="1"/>
  <c r="AD143" i="1"/>
  <c r="AF143" i="1" s="1"/>
  <c r="AH143" i="1" s="1"/>
  <c r="S143" i="1" s="1"/>
  <c r="AD88" i="1"/>
  <c r="AF88" i="1" s="1"/>
  <c r="AH88" i="1" s="1"/>
  <c r="S88" i="1" s="1"/>
  <c r="AD60" i="1"/>
  <c r="AF60" i="1" s="1"/>
  <c r="AH60" i="1" s="1"/>
  <c r="S60" i="1" s="1"/>
  <c r="AD201" i="1"/>
  <c r="AF201" i="1" s="1"/>
  <c r="AH201" i="1" s="1"/>
  <c r="S201" i="1" s="1"/>
  <c r="AD211" i="1"/>
  <c r="AF211" i="1" s="1"/>
  <c r="AH211" i="1" s="1"/>
  <c r="S211" i="1" s="1"/>
  <c r="U211" i="1" s="1"/>
  <c r="AD300" i="1"/>
  <c r="AF300" i="1" s="1"/>
  <c r="AH300" i="1" s="1"/>
  <c r="S300" i="1" s="1"/>
  <c r="V300" i="1" s="1"/>
  <c r="AD243" i="1"/>
  <c r="AF243" i="1" s="1"/>
  <c r="AH243" i="1" s="1"/>
  <c r="S243" i="1" s="1"/>
  <c r="AD179" i="1"/>
  <c r="AF179" i="1" s="1"/>
  <c r="AH179" i="1" s="1"/>
  <c r="S179" i="1" s="1"/>
  <c r="AD99" i="1"/>
  <c r="AF99" i="1" s="1"/>
  <c r="AH99" i="1" s="1"/>
  <c r="S99" i="1" s="1"/>
  <c r="V99" i="1" s="1"/>
  <c r="AE34" i="1"/>
  <c r="AF34" i="1" s="1"/>
  <c r="AH34" i="1" s="1"/>
  <c r="S34" i="1" s="1"/>
  <c r="V34" i="1" s="1"/>
  <c r="AE65" i="1"/>
  <c r="AF65" i="1" s="1"/>
  <c r="AH65" i="1" s="1"/>
  <c r="S65" i="1" s="1"/>
  <c r="AE44" i="1"/>
  <c r="AF44" i="1" s="1"/>
  <c r="AH44" i="1" s="1"/>
  <c r="S44" i="1" s="1"/>
  <c r="AE26" i="1"/>
  <c r="AF26" i="1" s="1"/>
  <c r="AH26" i="1" s="1"/>
  <c r="S26" i="1" s="1"/>
  <c r="V26" i="1" s="1"/>
  <c r="AE291" i="1"/>
  <c r="AF291" i="1" s="1"/>
  <c r="AH291" i="1" s="1"/>
  <c r="S291" i="1" s="1"/>
  <c r="AD202" i="1"/>
  <c r="AF202" i="1" s="1"/>
  <c r="AH202" i="1" s="1"/>
  <c r="S202" i="1" s="1"/>
  <c r="AD333" i="1"/>
  <c r="AF333" i="1" s="1"/>
  <c r="AH333" i="1" s="1"/>
  <c r="S333" i="1" s="1"/>
  <c r="AD175" i="1"/>
  <c r="AF175" i="1" s="1"/>
  <c r="AH175" i="1" s="1"/>
  <c r="S175" i="1" s="1"/>
  <c r="AH267" i="1"/>
  <c r="S267" i="1" s="1"/>
  <c r="AE265" i="1"/>
  <c r="AF265" i="1" s="1"/>
  <c r="AH265" i="1" s="1"/>
  <c r="S265" i="1" s="1"/>
  <c r="AE218" i="1"/>
  <c r="AF218" i="1" s="1"/>
  <c r="AH218" i="1" s="1"/>
  <c r="S218" i="1" s="1"/>
  <c r="V218" i="1" s="1"/>
  <c r="AE96" i="1"/>
  <c r="AF96" i="1" s="1"/>
  <c r="AH96" i="1" s="1"/>
  <c r="S96" i="1" s="1"/>
  <c r="AD168" i="1"/>
  <c r="AF168" i="1" s="1"/>
  <c r="AH168" i="1" s="1"/>
  <c r="S168" i="1" s="1"/>
  <c r="U168" i="1" s="1"/>
  <c r="AD270" i="1"/>
  <c r="AF270" i="1" s="1"/>
  <c r="AH270" i="1" s="1"/>
  <c r="S270" i="1" s="1"/>
  <c r="AD213" i="1"/>
  <c r="AF213" i="1" s="1"/>
  <c r="AH213" i="1" s="1"/>
  <c r="S213" i="1" s="1"/>
  <c r="V213" i="1" s="1"/>
  <c r="AD230" i="1"/>
  <c r="AF230" i="1" s="1"/>
  <c r="AH230" i="1" s="1"/>
  <c r="S230" i="1" s="1"/>
  <c r="V230" i="1" s="1"/>
  <c r="AD32" i="1"/>
  <c r="AF32" i="1" s="1"/>
  <c r="AH32" i="1" s="1"/>
  <c r="S32" i="1" s="1"/>
  <c r="V32" i="1" s="1"/>
  <c r="AD285" i="1"/>
  <c r="AF285" i="1" s="1"/>
  <c r="AH285" i="1" s="1"/>
  <c r="S285" i="1" s="1"/>
  <c r="AD64" i="1"/>
  <c r="AF64" i="1" s="1"/>
  <c r="AH64" i="1" s="1"/>
  <c r="S64" i="1" s="1"/>
  <c r="AD311" i="1"/>
  <c r="AF311" i="1" s="1"/>
  <c r="AH311" i="1" s="1"/>
  <c r="S311" i="1" s="1"/>
  <c r="V311" i="1" s="1"/>
  <c r="AD251" i="1"/>
  <c r="AF251" i="1" s="1"/>
  <c r="AH251" i="1" s="1"/>
  <c r="S251" i="1" s="1"/>
  <c r="AD194" i="1"/>
  <c r="AF194" i="1" s="1"/>
  <c r="AH194" i="1" s="1"/>
  <c r="S194" i="1" s="1"/>
  <c r="AE48" i="1"/>
  <c r="AF48" i="1" s="1"/>
  <c r="AH48" i="1" s="1"/>
  <c r="S48" i="1" s="1"/>
  <c r="AE109" i="1"/>
  <c r="AF109" i="1" s="1"/>
  <c r="AH109" i="1" s="1"/>
  <c r="S109" i="1" s="1"/>
  <c r="AE36" i="1"/>
  <c r="AF36" i="1" s="1"/>
  <c r="AH36" i="1" s="1"/>
  <c r="S36" i="1" s="1"/>
  <c r="AE274" i="1"/>
  <c r="AF274" i="1" s="1"/>
  <c r="AH274" i="1" s="1"/>
  <c r="S274" i="1" s="1"/>
  <c r="AE51" i="1"/>
  <c r="AF51" i="1" s="1"/>
  <c r="AH51" i="1" s="1"/>
  <c r="S51" i="1" s="1"/>
  <c r="AE277" i="1"/>
  <c r="AF277" i="1" s="1"/>
  <c r="AH277" i="1" s="1"/>
  <c r="S277" i="1" s="1"/>
  <c r="AE308" i="1"/>
  <c r="AF308" i="1" s="1"/>
  <c r="AH308" i="1" s="1"/>
  <c r="S308" i="1" s="1"/>
  <c r="AE257" i="1"/>
  <c r="AF257" i="1" s="1"/>
  <c r="AH257" i="1" s="1"/>
  <c r="S257" i="1" s="1"/>
  <c r="AF140" i="1"/>
  <c r="AH140" i="1" s="1"/>
  <c r="S140" i="1" s="1"/>
  <c r="V140" i="1" s="1"/>
  <c r="AD115" i="1"/>
  <c r="AF115" i="1" s="1"/>
  <c r="AH115" i="1" s="1"/>
  <c r="S115" i="1" s="1"/>
  <c r="AD16" i="1"/>
  <c r="AF16" i="1" s="1"/>
  <c r="AH16" i="1" s="1"/>
  <c r="S16" i="1" s="1"/>
  <c r="V16" i="1" s="1"/>
  <c r="AD85" i="1"/>
  <c r="AF85" i="1" s="1"/>
  <c r="AH85" i="1" s="1"/>
  <c r="S85" i="1" s="1"/>
  <c r="V85" i="1" s="1"/>
  <c r="AE241" i="1"/>
  <c r="AF241" i="1" s="1"/>
  <c r="AH241" i="1" s="1"/>
  <c r="S241" i="1" s="1"/>
  <c r="AE113" i="1"/>
  <c r="AF113" i="1" s="1"/>
  <c r="AH113" i="1" s="1"/>
  <c r="S113" i="1" s="1"/>
  <c r="AE334" i="1"/>
  <c r="AF334" i="1" s="1"/>
  <c r="AH334" i="1" s="1"/>
  <c r="S334" i="1" s="1"/>
  <c r="AD121" i="1"/>
  <c r="AF121" i="1" s="1"/>
  <c r="AH121" i="1" s="1"/>
  <c r="S121" i="1" s="1"/>
  <c r="V121" i="1" s="1"/>
  <c r="AE172" i="1"/>
  <c r="AF172" i="1" s="1"/>
  <c r="AH172" i="1" s="1"/>
  <c r="S172" i="1" s="1"/>
  <c r="AD171" i="1"/>
  <c r="AF171" i="1" s="1"/>
  <c r="AH171" i="1" s="1"/>
  <c r="S171" i="1" s="1"/>
  <c r="U171" i="1" s="1"/>
  <c r="AD133" i="1"/>
  <c r="AF133" i="1" s="1"/>
  <c r="AH133" i="1" s="1"/>
  <c r="S133" i="1" s="1"/>
  <c r="V133" i="1" s="1"/>
  <c r="AD278" i="1"/>
  <c r="AF278" i="1" s="1"/>
  <c r="AH278" i="1" s="1"/>
  <c r="S278" i="1" s="1"/>
  <c r="U278" i="1" s="1"/>
  <c r="AD187" i="1"/>
  <c r="AF187" i="1" s="1"/>
  <c r="AH187" i="1" s="1"/>
  <c r="S187" i="1" s="1"/>
  <c r="AD70" i="1"/>
  <c r="AF70" i="1" s="1"/>
  <c r="AH70" i="1" s="1"/>
  <c r="S70" i="1" s="1"/>
  <c r="AE287" i="1"/>
  <c r="AF287" i="1" s="1"/>
  <c r="AH287" i="1" s="1"/>
  <c r="S287" i="1" s="1"/>
  <c r="V287" i="1" s="1"/>
  <c r="AE266" i="1"/>
  <c r="AF266" i="1" s="1"/>
  <c r="AH266" i="1" s="1"/>
  <c r="S266" i="1" s="1"/>
  <c r="V266" i="1" s="1"/>
  <c r="AE61" i="1"/>
  <c r="AF61" i="1" s="1"/>
  <c r="AH61" i="1" s="1"/>
  <c r="S61" i="1" s="1"/>
  <c r="AE206" i="1"/>
  <c r="AF206" i="1" s="1"/>
  <c r="AH206" i="1" s="1"/>
  <c r="S206" i="1" s="1"/>
  <c r="AE350" i="1"/>
  <c r="AF350" i="1" s="1"/>
  <c r="AH350" i="1" s="1"/>
  <c r="S350" i="1" s="1"/>
  <c r="AD122" i="1"/>
  <c r="AF122" i="1" s="1"/>
  <c r="AH122" i="1" s="1"/>
  <c r="S122" i="1" s="1"/>
  <c r="AD8" i="1"/>
  <c r="AF8" i="1" s="1"/>
  <c r="AH8" i="1" s="1"/>
  <c r="S8" i="1" s="1"/>
  <c r="AD97" i="1"/>
  <c r="AF97" i="1" s="1"/>
  <c r="AH97" i="1" s="1"/>
  <c r="S97" i="1" s="1"/>
  <c r="AD198" i="1"/>
  <c r="AF198" i="1" s="1"/>
  <c r="AH198" i="1" s="1"/>
  <c r="S198" i="1" s="1"/>
  <c r="AD344" i="1"/>
  <c r="AF344" i="1" s="1"/>
  <c r="AH344" i="1" s="1"/>
  <c r="S344" i="1" s="1"/>
  <c r="AD210" i="1"/>
  <c r="AF210" i="1" s="1"/>
  <c r="AH210" i="1" s="1"/>
  <c r="S210" i="1" s="1"/>
  <c r="AE245" i="1"/>
  <c r="AF245" i="1" s="1"/>
  <c r="AH245" i="1" s="1"/>
  <c r="S245" i="1" s="1"/>
  <c r="V245" i="1" s="1"/>
  <c r="AE136" i="1"/>
  <c r="AF136" i="1" s="1"/>
  <c r="AH136" i="1" s="1"/>
  <c r="S136" i="1" s="1"/>
  <c r="V136" i="1" s="1"/>
  <c r="AE57" i="1"/>
  <c r="AE347" i="1"/>
  <c r="AF347" i="1" s="1"/>
  <c r="AH347" i="1" s="1"/>
  <c r="S347" i="1" s="1"/>
  <c r="AE231" i="1"/>
  <c r="AF231" i="1" s="1"/>
  <c r="AH231" i="1" s="1"/>
  <c r="S231" i="1" s="1"/>
  <c r="U219" i="1"/>
  <c r="AD228" i="1"/>
  <c r="AE228" i="1"/>
  <c r="AD150" i="1"/>
  <c r="AE150" i="1"/>
  <c r="AE35" i="1"/>
  <c r="AD35" i="1"/>
  <c r="AE281" i="1"/>
  <c r="AD281" i="1"/>
  <c r="AD41" i="1"/>
  <c r="AE41" i="1"/>
  <c r="AD329" i="1"/>
  <c r="AE329" i="1"/>
  <c r="AD77" i="1"/>
  <c r="AE77" i="1"/>
  <c r="AE53" i="1"/>
  <c r="AD53" i="1"/>
  <c r="AD118" i="1"/>
  <c r="AE118" i="1"/>
  <c r="AE125" i="1"/>
  <c r="AD125" i="1"/>
  <c r="AD75" i="1"/>
  <c r="AF75" i="1" s="1"/>
  <c r="AH75" i="1" s="1"/>
  <c r="S75" i="1" s="1"/>
  <c r="AE21" i="1"/>
  <c r="AF21" i="1" s="1"/>
  <c r="AH21" i="1" s="1"/>
  <c r="S21" i="1" s="1"/>
  <c r="AE42" i="1"/>
  <c r="AF42" i="1" s="1"/>
  <c r="AH42" i="1" s="1"/>
  <c r="S42" i="1" s="1"/>
  <c r="AE40" i="1"/>
  <c r="AF40" i="1" s="1"/>
  <c r="AH40" i="1" s="1"/>
  <c r="S40" i="1" s="1"/>
  <c r="AE37" i="1"/>
  <c r="AF37" i="1" s="1"/>
  <c r="AH37" i="1" s="1"/>
  <c r="S37" i="1" s="1"/>
  <c r="AE112" i="1"/>
  <c r="AD112" i="1"/>
  <c r="AD349" i="1"/>
  <c r="AE349" i="1"/>
  <c r="AD6" i="1"/>
  <c r="AF6" i="1" s="1"/>
  <c r="AH6" i="1" s="1"/>
  <c r="S6" i="1" s="1"/>
  <c r="AD27" i="1"/>
  <c r="AF27" i="1" s="1"/>
  <c r="AH27" i="1" s="1"/>
  <c r="S27" i="1" s="1"/>
  <c r="AE321" i="1"/>
  <c r="AF321" i="1" s="1"/>
  <c r="AH321" i="1" s="1"/>
  <c r="S321" i="1" s="1"/>
  <c r="AE191" i="1"/>
  <c r="AF191" i="1" s="1"/>
  <c r="AH191" i="1" s="1"/>
  <c r="S191" i="1" s="1"/>
  <c r="AE342" i="1"/>
  <c r="AF342" i="1" s="1"/>
  <c r="AH342" i="1" s="1"/>
  <c r="S342" i="1" s="1"/>
  <c r="AD289" i="1"/>
  <c r="AE289" i="1"/>
  <c r="AE261" i="1"/>
  <c r="AD261" i="1"/>
  <c r="AE105" i="1"/>
  <c r="AD105" i="1"/>
  <c r="AE221" i="1"/>
  <c r="AD221" i="1"/>
  <c r="AD324" i="1"/>
  <c r="AF324" i="1" s="1"/>
  <c r="AH324" i="1" s="1"/>
  <c r="S324" i="1" s="1"/>
  <c r="AF157" i="1"/>
  <c r="AH157" i="1" s="1"/>
  <c r="S157" i="1" s="1"/>
  <c r="AD166" i="1"/>
  <c r="AF166" i="1" s="1"/>
  <c r="AH166" i="1" s="1"/>
  <c r="S166" i="1" s="1"/>
  <c r="AE302" i="1"/>
  <c r="AF302" i="1" s="1"/>
  <c r="AH302" i="1" s="1"/>
  <c r="S302" i="1" s="1"/>
  <c r="AE288" i="1"/>
  <c r="AD288" i="1"/>
  <c r="AF288" i="1" s="1"/>
  <c r="AH288" i="1" s="1"/>
  <c r="S288" i="1" s="1"/>
  <c r="AF204" i="1"/>
  <c r="AH204" i="1" s="1"/>
  <c r="S204" i="1" s="1"/>
  <c r="AD83" i="1"/>
  <c r="AF83" i="1" s="1"/>
  <c r="AH83" i="1" s="1"/>
  <c r="S83" i="1" s="1"/>
  <c r="AD309" i="1"/>
  <c r="AF309" i="1" s="1"/>
  <c r="AH309" i="1" s="1"/>
  <c r="S309" i="1" s="1"/>
  <c r="AE223" i="1"/>
  <c r="AF223" i="1" s="1"/>
  <c r="AH223" i="1" s="1"/>
  <c r="S223" i="1" s="1"/>
  <c r="AE128" i="1"/>
  <c r="AF128" i="1" s="1"/>
  <c r="AH128" i="1" s="1"/>
  <c r="S128" i="1" s="1"/>
  <c r="AE80" i="1"/>
  <c r="AF80" i="1" s="1"/>
  <c r="AH80" i="1" s="1"/>
  <c r="S80" i="1" s="1"/>
  <c r="AE305" i="1"/>
  <c r="AD305" i="1"/>
  <c r="AF305" i="1" s="1"/>
  <c r="AH305" i="1" s="1"/>
  <c r="S305" i="1" s="1"/>
  <c r="AD282" i="1"/>
  <c r="AE282" i="1"/>
  <c r="AE173" i="1"/>
  <c r="AD173" i="1"/>
  <c r="AE284" i="1"/>
  <c r="AD284" i="1"/>
  <c r="AD169" i="1"/>
  <c r="AF169" i="1" s="1"/>
  <c r="AH169" i="1" s="1"/>
  <c r="S169" i="1" s="1"/>
  <c r="AD260" i="1"/>
  <c r="AF260" i="1" s="1"/>
  <c r="AH260" i="1" s="1"/>
  <c r="S260" i="1" s="1"/>
  <c r="AD294" i="1"/>
  <c r="AF294" i="1" s="1"/>
  <c r="AH294" i="1" s="1"/>
  <c r="S294" i="1" s="1"/>
  <c r="AE10" i="1"/>
  <c r="AF10" i="1" s="1"/>
  <c r="AH10" i="1" s="1"/>
  <c r="S10" i="1" s="1"/>
  <c r="AE170" i="1"/>
  <c r="AF170" i="1" s="1"/>
  <c r="AH170" i="1" s="1"/>
  <c r="S170" i="1" s="1"/>
  <c r="AE177" i="1"/>
  <c r="AF177" i="1" s="1"/>
  <c r="AH177" i="1" s="1"/>
  <c r="S177" i="1" s="1"/>
  <c r="AE226" i="1"/>
  <c r="AF226" i="1" s="1"/>
  <c r="AH226" i="1" s="1"/>
  <c r="S226" i="1" s="1"/>
  <c r="AE101" i="1"/>
  <c r="AF101" i="1" s="1"/>
  <c r="AH101" i="1" s="1"/>
  <c r="S101" i="1" s="1"/>
  <c r="AE216" i="1"/>
  <c r="AF216" i="1" s="1"/>
  <c r="AH216" i="1" s="1"/>
  <c r="S216" i="1" s="1"/>
  <c r="AF57" i="1"/>
  <c r="AH57" i="1" s="1"/>
  <c r="S57" i="1" s="1"/>
  <c r="AE43" i="1"/>
  <c r="AD43" i="1"/>
  <c r="AD45" i="1"/>
  <c r="AF45" i="1" s="1"/>
  <c r="AH45" i="1" s="1"/>
  <c r="S45" i="1" s="1"/>
  <c r="AD207" i="1"/>
  <c r="AF207" i="1" s="1"/>
  <c r="AH207" i="1" s="1"/>
  <c r="S207" i="1" s="1"/>
  <c r="AD106" i="1"/>
  <c r="AF106" i="1" s="1"/>
  <c r="AH106" i="1" s="1"/>
  <c r="S106" i="1" s="1"/>
  <c r="AD229" i="1"/>
  <c r="AF229" i="1" s="1"/>
  <c r="AH229" i="1" s="1"/>
  <c r="S229" i="1" s="1"/>
  <c r="AE222" i="1"/>
  <c r="AF222" i="1" s="1"/>
  <c r="AH222" i="1" s="1"/>
  <c r="S222" i="1" s="1"/>
  <c r="AE74" i="1"/>
  <c r="AF74" i="1" s="1"/>
  <c r="AH74" i="1" s="1"/>
  <c r="S74" i="1" s="1"/>
  <c r="AE304" i="1"/>
  <c r="AF304" i="1" s="1"/>
  <c r="AH304" i="1" s="1"/>
  <c r="S304" i="1" s="1"/>
  <c r="AE178" i="1"/>
  <c r="AF178" i="1" s="1"/>
  <c r="AH178" i="1" s="1"/>
  <c r="S178" i="1" s="1"/>
  <c r="AE209" i="1"/>
  <c r="AF209" i="1" s="1"/>
  <c r="AH209" i="1" s="1"/>
  <c r="S209" i="1" s="1"/>
  <c r="AE215" i="1"/>
  <c r="AF215" i="1" s="1"/>
  <c r="AH215" i="1" s="1"/>
  <c r="S215" i="1" s="1"/>
  <c r="AE62" i="1"/>
  <c r="AD62" i="1"/>
  <c r="AE132" i="1"/>
  <c r="AD132" i="1"/>
  <c r="AE269" i="1"/>
  <c r="AD269" i="1"/>
  <c r="AE330" i="1"/>
  <c r="AD330" i="1"/>
  <c r="AE337" i="1"/>
  <c r="AD337" i="1"/>
  <c r="AE271" i="1"/>
  <c r="AD271" i="1"/>
  <c r="AF271" i="1" s="1"/>
  <c r="AH271" i="1" s="1"/>
  <c r="S271" i="1" s="1"/>
  <c r="AD98" i="1"/>
  <c r="AF98" i="1" s="1"/>
  <c r="AH98" i="1" s="1"/>
  <c r="S98" i="1" s="1"/>
  <c r="AD318" i="1"/>
  <c r="AF318" i="1" s="1"/>
  <c r="AH318" i="1" s="1"/>
  <c r="S318" i="1" s="1"/>
  <c r="AD233" i="1"/>
  <c r="AF233" i="1" s="1"/>
  <c r="AH233" i="1" s="1"/>
  <c r="S233" i="1" s="1"/>
  <c r="AD134" i="1"/>
  <c r="AF134" i="1" s="1"/>
  <c r="AH134" i="1" s="1"/>
  <c r="S134" i="1" s="1"/>
  <c r="AD296" i="1"/>
  <c r="AF296" i="1" s="1"/>
  <c r="AH296" i="1" s="1"/>
  <c r="S296" i="1" s="1"/>
  <c r="AE310" i="1"/>
  <c r="AF310" i="1" s="1"/>
  <c r="AH310" i="1" s="1"/>
  <c r="S310" i="1" s="1"/>
  <c r="AE130" i="1"/>
  <c r="AF130" i="1" s="1"/>
  <c r="AH130" i="1" s="1"/>
  <c r="S130" i="1" s="1"/>
  <c r="AE292" i="1"/>
  <c r="AF292" i="1" s="1"/>
  <c r="AH292" i="1" s="1"/>
  <c r="S292" i="1" s="1"/>
  <c r="AE91" i="1"/>
  <c r="AF91" i="1" s="1"/>
  <c r="AH91" i="1" s="1"/>
  <c r="S91" i="1" s="1"/>
  <c r="AE141" i="1"/>
  <c r="AF141" i="1" s="1"/>
  <c r="AH141" i="1" s="1"/>
  <c r="S141" i="1" s="1"/>
  <c r="AE192" i="1"/>
  <c r="AF192" i="1" s="1"/>
  <c r="AH192" i="1" s="1"/>
  <c r="S192" i="1" s="1"/>
  <c r="AD25" i="1"/>
  <c r="AF25" i="1" s="1"/>
  <c r="AH25" i="1" s="1"/>
  <c r="S25" i="1" s="1"/>
  <c r="AD68" i="1"/>
  <c r="AF68" i="1" s="1"/>
  <c r="AH68" i="1" s="1"/>
  <c r="S68" i="1" s="1"/>
  <c r="AD331" i="1"/>
  <c r="AF331" i="1" s="1"/>
  <c r="AH331" i="1" s="1"/>
  <c r="S331" i="1" s="1"/>
  <c r="AD248" i="1"/>
  <c r="AF248" i="1" s="1"/>
  <c r="AH248" i="1" s="1"/>
  <c r="S248" i="1" s="1"/>
  <c r="AE252" i="1"/>
  <c r="AF252" i="1" s="1"/>
  <c r="AH252" i="1" s="1"/>
  <c r="S252" i="1" s="1"/>
  <c r="AE161" i="1"/>
  <c r="AF161" i="1" s="1"/>
  <c r="AH161" i="1" s="1"/>
  <c r="S161" i="1" s="1"/>
  <c r="AE293" i="1"/>
  <c r="AF293" i="1" s="1"/>
  <c r="AH293" i="1" s="1"/>
  <c r="S293" i="1" s="1"/>
  <c r="AE247" i="1"/>
  <c r="AF247" i="1" s="1"/>
  <c r="AH247" i="1" s="1"/>
  <c r="S247" i="1" s="1"/>
  <c r="AD279" i="1"/>
  <c r="AE279" i="1"/>
  <c r="AD180" i="1"/>
  <c r="AE180" i="1"/>
  <c r="AD31" i="1"/>
  <c r="AF31" i="1" s="1"/>
  <c r="AH31" i="1" s="1"/>
  <c r="S31" i="1" s="1"/>
  <c r="AD58" i="1"/>
  <c r="AF58" i="1" s="1"/>
  <c r="AH58" i="1" s="1"/>
  <c r="S58" i="1" s="1"/>
  <c r="AD174" i="1"/>
  <c r="AF174" i="1" s="1"/>
  <c r="AH174" i="1" s="1"/>
  <c r="S174" i="1" s="1"/>
  <c r="AD124" i="1"/>
  <c r="AF124" i="1" s="1"/>
  <c r="AH124" i="1" s="1"/>
  <c r="S124" i="1" s="1"/>
  <c r="AD147" i="1"/>
  <c r="AF147" i="1" s="1"/>
  <c r="AH147" i="1" s="1"/>
  <c r="S147" i="1" s="1"/>
  <c r="AD328" i="1"/>
  <c r="AF328" i="1" s="1"/>
  <c r="AH328" i="1" s="1"/>
  <c r="S328" i="1" s="1"/>
  <c r="AD55" i="1"/>
  <c r="AF55" i="1" s="1"/>
  <c r="AH55" i="1" s="1"/>
  <c r="S55" i="1" s="1"/>
  <c r="AD258" i="1"/>
  <c r="AF258" i="1" s="1"/>
  <c r="AH258" i="1" s="1"/>
  <c r="S258" i="1" s="1"/>
  <c r="AD87" i="1"/>
  <c r="AF87" i="1" s="1"/>
  <c r="AH87" i="1" s="1"/>
  <c r="S87" i="1" s="1"/>
  <c r="AE212" i="1"/>
  <c r="AF212" i="1" s="1"/>
  <c r="AH212" i="1" s="1"/>
  <c r="S212" i="1" s="1"/>
  <c r="AD146" i="1"/>
  <c r="AF146" i="1" s="1"/>
  <c r="AH146" i="1" s="1"/>
  <c r="S146" i="1" s="1"/>
  <c r="AD63" i="1"/>
  <c r="AF63" i="1" s="1"/>
  <c r="AH63" i="1" s="1"/>
  <c r="S63" i="1" s="1"/>
  <c r="AD184" i="1"/>
  <c r="AF184" i="1" s="1"/>
  <c r="AH184" i="1" s="1"/>
  <c r="S184" i="1" s="1"/>
  <c r="U238" i="1" l="1"/>
  <c r="AF43" i="1"/>
  <c r="AH43" i="1" s="1"/>
  <c r="S43" i="1" s="1"/>
  <c r="V94" i="1"/>
  <c r="U94" i="1"/>
  <c r="AF335" i="1"/>
  <c r="AH335" i="1" s="1"/>
  <c r="S335" i="1" s="1"/>
  <c r="V48" i="1"/>
  <c r="U48" i="1"/>
  <c r="U117" i="1"/>
  <c r="AF336" i="1"/>
  <c r="AH336" i="1" s="1"/>
  <c r="S336" i="1" s="1"/>
  <c r="U336" i="1" s="1"/>
  <c r="AF264" i="1"/>
  <c r="AH264" i="1" s="1"/>
  <c r="S264" i="1" s="1"/>
  <c r="U264" i="1" s="1"/>
  <c r="V73" i="1"/>
  <c r="U266" i="1"/>
  <c r="U24" i="1"/>
  <c r="U182" i="1"/>
  <c r="U49" i="1"/>
  <c r="AF221" i="1"/>
  <c r="AH221" i="1" s="1"/>
  <c r="S221" i="1" s="1"/>
  <c r="U221" i="1" s="1"/>
  <c r="U314" i="1"/>
  <c r="U84" i="1"/>
  <c r="U32" i="1"/>
  <c r="U89" i="1"/>
  <c r="U199" i="1"/>
  <c r="U273" i="1"/>
  <c r="V239" i="1"/>
  <c r="U38" i="1"/>
  <c r="U47" i="1"/>
  <c r="U272" i="1"/>
  <c r="U20" i="1"/>
  <c r="V196" i="1"/>
  <c r="U110" i="1"/>
  <c r="V232" i="1"/>
  <c r="U165" i="1"/>
  <c r="U99" i="1"/>
  <c r="U28" i="1"/>
  <c r="V90" i="1"/>
  <c r="V249" i="1"/>
  <c r="V92" i="1"/>
  <c r="U85" i="1"/>
  <c r="U193" i="1"/>
  <c r="U315" i="1"/>
  <c r="V315" i="1"/>
  <c r="U259" i="1"/>
  <c r="V259" i="1"/>
  <c r="U159" i="1"/>
  <c r="V159" i="1"/>
  <c r="V156" i="1"/>
  <c r="U156" i="1"/>
  <c r="V242" i="1"/>
  <c r="U242" i="1"/>
  <c r="V214" i="1"/>
  <c r="U214" i="1"/>
  <c r="U153" i="1"/>
  <c r="V153" i="1"/>
  <c r="V4" i="1"/>
  <c r="U4" i="1"/>
  <c r="V341" i="1"/>
  <c r="U341" i="1"/>
  <c r="V303" i="1"/>
  <c r="V22" i="1"/>
  <c r="V217" i="1"/>
  <c r="V323" i="1"/>
  <c r="U311" i="1"/>
  <c r="V11" i="1"/>
  <c r="V195" i="1"/>
  <c r="U262" i="1"/>
  <c r="U348" i="1"/>
  <c r="AF224" i="1"/>
  <c r="AH224" i="1" s="1"/>
  <c r="S224" i="1" s="1"/>
  <c r="V320" i="1"/>
  <c r="V120" i="1"/>
  <c r="V225" i="1"/>
  <c r="U326" i="1"/>
  <c r="AF240" i="1"/>
  <c r="AH240" i="1" s="1"/>
  <c r="S240" i="1" s="1"/>
  <c r="V240" i="1" s="1"/>
  <c r="V5" i="1"/>
  <c r="U108" i="1"/>
  <c r="U316" i="1"/>
  <c r="V227" i="1"/>
  <c r="U66" i="1"/>
  <c r="V243" i="1"/>
  <c r="U243" i="1"/>
  <c r="V235" i="1"/>
  <c r="U235" i="1"/>
  <c r="V78" i="1"/>
  <c r="U78" i="1"/>
  <c r="V12" i="1"/>
  <c r="U187" i="1"/>
  <c r="V187" i="1"/>
  <c r="U234" i="1"/>
  <c r="V234" i="1"/>
  <c r="V202" i="1"/>
  <c r="U202" i="1"/>
  <c r="V267" i="1"/>
  <c r="U267" i="1"/>
  <c r="V46" i="1"/>
  <c r="U46" i="1"/>
  <c r="V181" i="1"/>
  <c r="U181" i="1"/>
  <c r="V64" i="1"/>
  <c r="U64" i="1"/>
  <c r="V175" i="1"/>
  <c r="U175" i="1"/>
  <c r="V107" i="1"/>
  <c r="U107" i="1"/>
  <c r="V29" i="1"/>
  <c r="U29" i="1"/>
  <c r="V220" i="1"/>
  <c r="U220" i="1"/>
  <c r="V257" i="1"/>
  <c r="U257" i="1"/>
  <c r="U340" i="1"/>
  <c r="V340" i="1"/>
  <c r="V52" i="1"/>
  <c r="U52" i="1"/>
  <c r="V142" i="1"/>
  <c r="U142" i="1"/>
  <c r="V338" i="1"/>
  <c r="U312" i="1"/>
  <c r="U287" i="1"/>
  <c r="U8" i="1"/>
  <c r="V8" i="1"/>
  <c r="V65" i="1"/>
  <c r="U65" i="1"/>
  <c r="V151" i="1"/>
  <c r="U151" i="1"/>
  <c r="V285" i="1"/>
  <c r="U285" i="1"/>
  <c r="U17" i="1"/>
  <c r="V17" i="1"/>
  <c r="U325" i="1"/>
  <c r="U241" i="1"/>
  <c r="V241" i="1"/>
  <c r="V70" i="1"/>
  <c r="U70" i="1"/>
  <c r="AF167" i="1"/>
  <c r="AH167" i="1" s="1"/>
  <c r="S167" i="1" s="1"/>
  <c r="U167" i="1" s="1"/>
  <c r="U244" i="1"/>
  <c r="V244" i="1"/>
  <c r="AF301" i="1"/>
  <c r="AH301" i="1" s="1"/>
  <c r="S301" i="1" s="1"/>
  <c r="U301" i="1" s="1"/>
  <c r="AF93" i="1"/>
  <c r="AH93" i="1" s="1"/>
  <c r="S93" i="1" s="1"/>
  <c r="AF114" i="1"/>
  <c r="AH114" i="1" s="1"/>
  <c r="S114" i="1" s="1"/>
  <c r="V114" i="1" s="1"/>
  <c r="AF54" i="1"/>
  <c r="AH54" i="1" s="1"/>
  <c r="S54" i="1" s="1"/>
  <c r="AF77" i="1"/>
  <c r="AH77" i="1" s="1"/>
  <c r="S77" i="1" s="1"/>
  <c r="V77" i="1" s="1"/>
  <c r="V203" i="1"/>
  <c r="AF102" i="1"/>
  <c r="AH102" i="1" s="1"/>
  <c r="S102" i="1" s="1"/>
  <c r="U102" i="1" s="1"/>
  <c r="U152" i="1"/>
  <c r="U135" i="1"/>
  <c r="V250" i="1"/>
  <c r="U230" i="1"/>
  <c r="V3" i="1"/>
  <c r="V211" i="1"/>
  <c r="AF155" i="1"/>
  <c r="AH155" i="1" s="1"/>
  <c r="S155" i="1" s="1"/>
  <c r="AF62" i="1"/>
  <c r="AH62" i="1" s="1"/>
  <c r="S62" i="1" s="1"/>
  <c r="V62" i="1" s="1"/>
  <c r="U103" i="1"/>
  <c r="AF105" i="1"/>
  <c r="AH105" i="1" s="1"/>
  <c r="S105" i="1" s="1"/>
  <c r="V105" i="1" s="1"/>
  <c r="AF125" i="1"/>
  <c r="AH125" i="1" s="1"/>
  <c r="S125" i="1" s="1"/>
  <c r="U125" i="1" s="1"/>
  <c r="V278" i="1"/>
  <c r="V327" i="1"/>
  <c r="AF18" i="1"/>
  <c r="AH18" i="1" s="1"/>
  <c r="S18" i="1" s="1"/>
  <c r="U18" i="1" s="1"/>
  <c r="AF86" i="1"/>
  <c r="AH86" i="1" s="1"/>
  <c r="S86" i="1" s="1"/>
  <c r="U86" i="1" s="1"/>
  <c r="U163" i="1"/>
  <c r="U16" i="1"/>
  <c r="U133" i="1"/>
  <c r="U253" i="1"/>
  <c r="V13" i="1"/>
  <c r="U162" i="1"/>
  <c r="U317" i="1"/>
  <c r="AF281" i="1"/>
  <c r="AH281" i="1" s="1"/>
  <c r="S281" i="1" s="1"/>
  <c r="U281" i="1" s="1"/>
  <c r="V7" i="1"/>
  <c r="AF129" i="1"/>
  <c r="AH129" i="1" s="1"/>
  <c r="S129" i="1" s="1"/>
  <c r="AF345" i="1"/>
  <c r="AH345" i="1" s="1"/>
  <c r="S345" i="1" s="1"/>
  <c r="V113" i="1"/>
  <c r="U113" i="1"/>
  <c r="U189" i="1"/>
  <c r="V189" i="1"/>
  <c r="U119" i="1"/>
  <c r="V119" i="1"/>
  <c r="V71" i="1"/>
  <c r="U71" i="1"/>
  <c r="U123" i="1"/>
  <c r="V123" i="1"/>
  <c r="V61" i="1"/>
  <c r="U61" i="1"/>
  <c r="U148" i="1"/>
  <c r="V148" i="1"/>
  <c r="V51" i="1"/>
  <c r="U51" i="1"/>
  <c r="V14" i="1"/>
  <c r="U14" i="1"/>
  <c r="V350" i="1"/>
  <c r="U350" i="1"/>
  <c r="U109" i="1"/>
  <c r="V109" i="1"/>
  <c r="U44" i="1"/>
  <c r="V44" i="1"/>
  <c r="V210" i="1"/>
  <c r="U210" i="1"/>
  <c r="V334" i="1"/>
  <c r="U334" i="1"/>
  <c r="V186" i="1"/>
  <c r="U186" i="1"/>
  <c r="V274" i="1"/>
  <c r="U274" i="1"/>
  <c r="V270" i="1"/>
  <c r="U270" i="1"/>
  <c r="V33" i="1"/>
  <c r="U33" i="1"/>
  <c r="U206" i="1"/>
  <c r="V206" i="1"/>
  <c r="V347" i="1"/>
  <c r="U347" i="1"/>
  <c r="V172" i="1"/>
  <c r="U172" i="1"/>
  <c r="V256" i="1"/>
  <c r="U256" i="1"/>
  <c r="AF299" i="1"/>
  <c r="AH299" i="1" s="1"/>
  <c r="S299" i="1" s="1"/>
  <c r="U205" i="1"/>
  <c r="AF111" i="1"/>
  <c r="AH111" i="1" s="1"/>
  <c r="S111" i="1" s="1"/>
  <c r="V82" i="1"/>
  <c r="U82" i="1"/>
  <c r="AF284" i="1"/>
  <c r="AH284" i="1" s="1"/>
  <c r="S284" i="1" s="1"/>
  <c r="V284" i="1" s="1"/>
  <c r="AF261" i="1"/>
  <c r="AH261" i="1" s="1"/>
  <c r="S261" i="1" s="1"/>
  <c r="V261" i="1" s="1"/>
  <c r="V183" i="1"/>
  <c r="U136" i="1"/>
  <c r="V144" i="1"/>
  <c r="U295" i="1"/>
  <c r="U26" i="1"/>
  <c r="V283" i="1"/>
  <c r="V198" i="1"/>
  <c r="U198" i="1"/>
  <c r="AF343" i="1"/>
  <c r="AH343" i="1" s="1"/>
  <c r="S343" i="1" s="1"/>
  <c r="AF208" i="1"/>
  <c r="AH208" i="1" s="1"/>
  <c r="S208" i="1" s="1"/>
  <c r="AF330" i="1"/>
  <c r="AH330" i="1" s="1"/>
  <c r="S330" i="1" s="1"/>
  <c r="V330" i="1" s="1"/>
  <c r="V290" i="1"/>
  <c r="U137" i="1"/>
  <c r="V59" i="1"/>
  <c r="V313" i="1"/>
  <c r="V97" i="1"/>
  <c r="U97" i="1"/>
  <c r="V15" i="1"/>
  <c r="V276" i="1"/>
  <c r="U276" i="1"/>
  <c r="U245" i="1"/>
  <c r="V263" i="1"/>
  <c r="U160" i="1"/>
  <c r="U126" i="1"/>
  <c r="U237" i="1"/>
  <c r="V268" i="1"/>
  <c r="AF190" i="1"/>
  <c r="AH190" i="1" s="1"/>
  <c r="S190" i="1" s="1"/>
  <c r="V171" i="1"/>
  <c r="U213" i="1"/>
  <c r="V164" i="1"/>
  <c r="U34" i="1"/>
  <c r="U218" i="1"/>
  <c r="V254" i="1"/>
  <c r="AF269" i="1"/>
  <c r="AH269" i="1" s="1"/>
  <c r="S269" i="1" s="1"/>
  <c r="V269" i="1" s="1"/>
  <c r="AF173" i="1"/>
  <c r="AH173" i="1" s="1"/>
  <c r="S173" i="1" s="1"/>
  <c r="V173" i="1" s="1"/>
  <c r="AF112" i="1"/>
  <c r="AH112" i="1" s="1"/>
  <c r="S112" i="1" s="1"/>
  <c r="V112" i="1" s="1"/>
  <c r="AF53" i="1"/>
  <c r="AH53" i="1" s="1"/>
  <c r="S53" i="1" s="1"/>
  <c r="V53" i="1" s="1"/>
  <c r="U140" i="1"/>
  <c r="U154" i="1"/>
  <c r="U322" i="1"/>
  <c r="U300" i="1"/>
  <c r="V158" i="1"/>
  <c r="U158" i="1"/>
  <c r="AF298" i="1"/>
  <c r="AH298" i="1" s="1"/>
  <c r="S298" i="1" s="1"/>
  <c r="AF2" i="1"/>
  <c r="AH2" i="1" s="1"/>
  <c r="S2" i="1" s="1"/>
  <c r="U275" i="1"/>
  <c r="U121" i="1"/>
  <c r="U246" i="1"/>
  <c r="AF286" i="1"/>
  <c r="AH286" i="1" s="1"/>
  <c r="S286" i="1" s="1"/>
  <c r="V176" i="1"/>
  <c r="U176" i="1"/>
  <c r="U69" i="1"/>
  <c r="AF306" i="1"/>
  <c r="AH306" i="1" s="1"/>
  <c r="S306" i="1" s="1"/>
  <c r="V168" i="1"/>
  <c r="U79" i="1"/>
  <c r="AF132" i="1"/>
  <c r="AH132" i="1" s="1"/>
  <c r="S132" i="1" s="1"/>
  <c r="V132" i="1" s="1"/>
  <c r="AF23" i="1"/>
  <c r="AH23" i="1" s="1"/>
  <c r="S23" i="1" s="1"/>
  <c r="AF19" i="1"/>
  <c r="AH19" i="1" s="1"/>
  <c r="S19" i="1" s="1"/>
  <c r="AF131" i="1"/>
  <c r="AH131" i="1" s="1"/>
  <c r="S131" i="1" s="1"/>
  <c r="V101" i="1"/>
  <c r="U101" i="1"/>
  <c r="V247" i="1"/>
  <c r="U247" i="1"/>
  <c r="V293" i="1"/>
  <c r="U293" i="1"/>
  <c r="U222" i="1"/>
  <c r="V222" i="1"/>
  <c r="V37" i="1"/>
  <c r="U37" i="1"/>
  <c r="V40" i="1"/>
  <c r="U40" i="1"/>
  <c r="V21" i="1"/>
  <c r="U21" i="1"/>
  <c r="V321" i="1"/>
  <c r="U321" i="1"/>
  <c r="V302" i="1"/>
  <c r="U302" i="1"/>
  <c r="U130" i="1"/>
  <c r="V130" i="1"/>
  <c r="V215" i="1"/>
  <c r="U215" i="1"/>
  <c r="V226" i="1"/>
  <c r="U226" i="1"/>
  <c r="V310" i="1"/>
  <c r="U310" i="1"/>
  <c r="U209" i="1"/>
  <c r="V209" i="1"/>
  <c r="U177" i="1"/>
  <c r="V177" i="1"/>
  <c r="U178" i="1"/>
  <c r="V178" i="1"/>
  <c r="V170" i="1"/>
  <c r="U170" i="1"/>
  <c r="V80" i="1"/>
  <c r="U80" i="1"/>
  <c r="V304" i="1"/>
  <c r="U304" i="1"/>
  <c r="V10" i="1"/>
  <c r="U10" i="1"/>
  <c r="U258" i="1"/>
  <c r="V258" i="1"/>
  <c r="V68" i="1"/>
  <c r="U68" i="1"/>
  <c r="V207" i="1"/>
  <c r="U207" i="1"/>
  <c r="U143" i="1"/>
  <c r="V143" i="1"/>
  <c r="V100" i="1"/>
  <c r="U100" i="1"/>
  <c r="V56" i="1"/>
  <c r="U56" i="1"/>
  <c r="U77" i="1"/>
  <c r="V122" i="1"/>
  <c r="U122" i="1"/>
  <c r="V91" i="1"/>
  <c r="U91" i="1"/>
  <c r="V333" i="1"/>
  <c r="U333" i="1"/>
  <c r="V72" i="1"/>
  <c r="U72" i="1"/>
  <c r="AF279" i="1"/>
  <c r="AH279" i="1" s="1"/>
  <c r="S279" i="1" s="1"/>
  <c r="V25" i="1"/>
  <c r="U25" i="1"/>
  <c r="V83" i="1"/>
  <c r="U83" i="1"/>
  <c r="V166" i="1"/>
  <c r="U166" i="1"/>
  <c r="V6" i="1"/>
  <c r="U6" i="1"/>
  <c r="V265" i="1"/>
  <c r="U265" i="1"/>
  <c r="V212" i="1"/>
  <c r="U212" i="1"/>
  <c r="V342" i="1"/>
  <c r="U342" i="1"/>
  <c r="V292" i="1"/>
  <c r="U292" i="1"/>
  <c r="V74" i="1"/>
  <c r="U74" i="1"/>
  <c r="U55" i="1"/>
  <c r="V55" i="1"/>
  <c r="V296" i="1"/>
  <c r="U296" i="1"/>
  <c r="U81" i="1"/>
  <c r="V81" i="1"/>
  <c r="V307" i="1"/>
  <c r="U307" i="1"/>
  <c r="V308" i="1"/>
  <c r="U308" i="1"/>
  <c r="V335" i="1"/>
  <c r="U335" i="1"/>
  <c r="V75" i="1"/>
  <c r="U75" i="1"/>
  <c r="U328" i="1"/>
  <c r="V328" i="1"/>
  <c r="V134" i="1"/>
  <c r="U134" i="1"/>
  <c r="U45" i="1"/>
  <c r="V45" i="1"/>
  <c r="V157" i="1"/>
  <c r="U157" i="1"/>
  <c r="V27" i="1"/>
  <c r="U27" i="1"/>
  <c r="U95" i="1"/>
  <c r="V95" i="1"/>
  <c r="AF150" i="1"/>
  <c r="AH150" i="1" s="1"/>
  <c r="S150" i="1" s="1"/>
  <c r="V147" i="1"/>
  <c r="U147" i="1"/>
  <c r="V233" i="1"/>
  <c r="U233" i="1"/>
  <c r="V43" i="1"/>
  <c r="U43" i="1"/>
  <c r="U204" i="1"/>
  <c r="V204" i="1"/>
  <c r="U319" i="1"/>
  <c r="V319" i="1"/>
  <c r="U346" i="1"/>
  <c r="V346" i="1"/>
  <c r="U139" i="1"/>
  <c r="V139" i="1"/>
  <c r="V251" i="1"/>
  <c r="U251" i="1"/>
  <c r="AF329" i="1"/>
  <c r="AH329" i="1" s="1"/>
  <c r="S329" i="1" s="1"/>
  <c r="V30" i="1"/>
  <c r="U30" i="1"/>
  <c r="U223" i="1"/>
  <c r="V223" i="1"/>
  <c r="V124" i="1"/>
  <c r="U124" i="1"/>
  <c r="U145" i="1"/>
  <c r="V145" i="1"/>
  <c r="V294" i="1"/>
  <c r="U294" i="1"/>
  <c r="U104" i="1"/>
  <c r="V104" i="1"/>
  <c r="V297" i="1"/>
  <c r="U297" i="1"/>
  <c r="U185" i="1"/>
  <c r="V185" i="1"/>
  <c r="AF349" i="1"/>
  <c r="AH349" i="1" s="1"/>
  <c r="S349" i="1" s="1"/>
  <c r="V42" i="1"/>
  <c r="U42" i="1"/>
  <c r="V161" i="1"/>
  <c r="U161" i="1"/>
  <c r="U179" i="1"/>
  <c r="V179" i="1"/>
  <c r="V174" i="1"/>
  <c r="U174" i="1"/>
  <c r="U318" i="1"/>
  <c r="V318" i="1"/>
  <c r="V127" i="1"/>
  <c r="U127" i="1"/>
  <c r="U260" i="1"/>
  <c r="V260" i="1"/>
  <c r="U288" i="1"/>
  <c r="V288" i="1"/>
  <c r="U36" i="1"/>
  <c r="V36" i="1"/>
  <c r="U236" i="1"/>
  <c r="V236" i="1"/>
  <c r="V216" i="1"/>
  <c r="U216" i="1"/>
  <c r="V191" i="1"/>
  <c r="U191" i="1"/>
  <c r="AF228" i="1"/>
  <c r="AH228" i="1" s="1"/>
  <c r="S228" i="1" s="1"/>
  <c r="V184" i="1"/>
  <c r="U184" i="1"/>
  <c r="V58" i="1"/>
  <c r="U58" i="1"/>
  <c r="U98" i="1"/>
  <c r="V98" i="1"/>
  <c r="V67" i="1"/>
  <c r="U67" i="1"/>
  <c r="V50" i="1"/>
  <c r="U50" i="1"/>
  <c r="V57" i="1"/>
  <c r="U57" i="1"/>
  <c r="V344" i="1"/>
  <c r="U344" i="1"/>
  <c r="AF282" i="1"/>
  <c r="AH282" i="1" s="1"/>
  <c r="S282" i="1" s="1"/>
  <c r="AF289" i="1"/>
  <c r="AH289" i="1" s="1"/>
  <c r="S289" i="1" s="1"/>
  <c r="V39" i="1"/>
  <c r="U39" i="1"/>
  <c r="V141" i="1"/>
  <c r="U141" i="1"/>
  <c r="U201" i="1"/>
  <c r="V201" i="1"/>
  <c r="V96" i="1"/>
  <c r="U96" i="1"/>
  <c r="AF118" i="1"/>
  <c r="AH118" i="1" s="1"/>
  <c r="S118" i="1" s="1"/>
  <c r="V63" i="1"/>
  <c r="U63" i="1"/>
  <c r="V31" i="1"/>
  <c r="U31" i="1"/>
  <c r="V192" i="1"/>
  <c r="U192" i="1"/>
  <c r="V271" i="1"/>
  <c r="U271" i="1"/>
  <c r="V194" i="1"/>
  <c r="U194" i="1"/>
  <c r="U138" i="1"/>
  <c r="V138" i="1"/>
  <c r="U305" i="1"/>
  <c r="V305" i="1"/>
  <c r="U200" i="1"/>
  <c r="V200" i="1"/>
  <c r="V324" i="1"/>
  <c r="U324" i="1"/>
  <c r="V115" i="1"/>
  <c r="U115" i="1"/>
  <c r="V277" i="1"/>
  <c r="U277" i="1"/>
  <c r="AF41" i="1"/>
  <c r="AH41" i="1" s="1"/>
  <c r="S41" i="1" s="1"/>
  <c r="U231" i="1"/>
  <c r="V231" i="1"/>
  <c r="V229" i="1"/>
  <c r="U229" i="1"/>
  <c r="V169" i="1"/>
  <c r="U169" i="1"/>
  <c r="U309" i="1"/>
  <c r="V309" i="1"/>
  <c r="U9" i="1"/>
  <c r="V9" i="1"/>
  <c r="V280" i="1"/>
  <c r="U280" i="1"/>
  <c r="V332" i="1"/>
  <c r="U332" i="1"/>
  <c r="V76" i="1"/>
  <c r="U76" i="1"/>
  <c r="V188" i="1"/>
  <c r="U188" i="1"/>
  <c r="V339" i="1"/>
  <c r="U339" i="1"/>
  <c r="V255" i="1"/>
  <c r="U255" i="1"/>
  <c r="V128" i="1"/>
  <c r="U128" i="1"/>
  <c r="V252" i="1"/>
  <c r="U252" i="1"/>
  <c r="U149" i="1"/>
  <c r="V149" i="1"/>
  <c r="V146" i="1"/>
  <c r="U146" i="1"/>
  <c r="V248" i="1"/>
  <c r="U248" i="1"/>
  <c r="V106" i="1"/>
  <c r="U106" i="1"/>
  <c r="V221" i="1"/>
  <c r="V60" i="1"/>
  <c r="U60" i="1"/>
  <c r="V87" i="1"/>
  <c r="U87" i="1"/>
  <c r="AF180" i="1"/>
  <c r="AH180" i="1" s="1"/>
  <c r="S180" i="1" s="1"/>
  <c r="U331" i="1"/>
  <c r="V331" i="1"/>
  <c r="AF337" i="1"/>
  <c r="AH337" i="1" s="1"/>
  <c r="S337" i="1" s="1"/>
  <c r="U224" i="1"/>
  <c r="V224" i="1"/>
  <c r="V197" i="1"/>
  <c r="U197" i="1"/>
  <c r="V116" i="1"/>
  <c r="U116" i="1"/>
  <c r="V291" i="1"/>
  <c r="U291" i="1"/>
  <c r="V88" i="1"/>
  <c r="U88" i="1"/>
  <c r="AF35" i="1"/>
  <c r="AH35" i="1" s="1"/>
  <c r="S35" i="1" s="1"/>
  <c r="V264" i="1" l="1"/>
  <c r="V336" i="1"/>
  <c r="V125" i="1"/>
  <c r="U53" i="1"/>
  <c r="U261" i="1"/>
  <c r="U62" i="1"/>
  <c r="U114" i="1"/>
  <c r="U240" i="1"/>
  <c r="V102" i="1"/>
  <c r="U105" i="1"/>
  <c r="U284" i="1"/>
  <c r="V18" i="1"/>
  <c r="V86" i="1"/>
  <c r="V281" i="1"/>
  <c r="U330" i="1"/>
  <c r="U132" i="1"/>
  <c r="U173" i="1"/>
  <c r="U269" i="1"/>
  <c r="U155" i="1"/>
  <c r="V155" i="1"/>
  <c r="U93" i="1"/>
  <c r="V93" i="1"/>
  <c r="U112" i="1"/>
  <c r="V129" i="1"/>
  <c r="U129" i="1"/>
  <c r="V167" i="1"/>
  <c r="U54" i="1"/>
  <c r="V54" i="1"/>
  <c r="V301" i="1"/>
  <c r="U345" i="1"/>
  <c r="V345" i="1"/>
  <c r="U299" i="1"/>
  <c r="V299" i="1"/>
  <c r="U286" i="1"/>
  <c r="V286" i="1"/>
  <c r="V111" i="1"/>
  <c r="U111" i="1"/>
  <c r="U306" i="1"/>
  <c r="V306" i="1"/>
  <c r="U131" i="1"/>
  <c r="V131" i="1"/>
  <c r="V19" i="1"/>
  <c r="U19" i="1"/>
  <c r="U23" i="1"/>
  <c r="V23" i="1"/>
  <c r="V2" i="1"/>
  <c r="U2" i="1"/>
  <c r="U208" i="1"/>
  <c r="V208" i="1"/>
  <c r="U190" i="1"/>
  <c r="V190" i="1"/>
  <c r="U298" i="1"/>
  <c r="V298" i="1"/>
  <c r="V343" i="1"/>
  <c r="U343" i="1"/>
  <c r="V35" i="1"/>
  <c r="U35" i="1"/>
  <c r="U279" i="1"/>
  <c r="V279" i="1"/>
  <c r="U180" i="1"/>
  <c r="V180" i="1"/>
  <c r="V41" i="1"/>
  <c r="U41" i="1"/>
  <c r="V118" i="1"/>
  <c r="U118" i="1"/>
  <c r="U282" i="1"/>
  <c r="V282" i="1"/>
  <c r="V337" i="1"/>
  <c r="U337" i="1"/>
  <c r="V228" i="1"/>
  <c r="U228" i="1"/>
  <c r="V349" i="1"/>
  <c r="U349" i="1"/>
  <c r="V150" i="1"/>
  <c r="U150" i="1"/>
  <c r="V289" i="1"/>
  <c r="U289" i="1"/>
  <c r="V329" i="1"/>
  <c r="U329" i="1"/>
</calcChain>
</file>

<file path=xl/sharedStrings.xml><?xml version="1.0" encoding="utf-8"?>
<sst xmlns="http://schemas.openxmlformats.org/spreadsheetml/2006/main" count="1837" uniqueCount="949">
  <si>
    <t>P</t>
  </si>
  <si>
    <t>Age</t>
  </si>
  <si>
    <t>AVG</t>
  </si>
  <si>
    <t>OBP</t>
  </si>
  <si>
    <t>SPC</t>
  </si>
  <si>
    <t>AB</t>
  </si>
  <si>
    <t>H</t>
  </si>
  <si>
    <t>2B</t>
  </si>
  <si>
    <t>3B</t>
  </si>
  <si>
    <t>HR</t>
  </si>
  <si>
    <t>R</t>
  </si>
  <si>
    <t>RBI</t>
  </si>
  <si>
    <t>HBP</t>
  </si>
  <si>
    <t>BB</t>
  </si>
  <si>
    <t>K</t>
  </si>
  <si>
    <t>SB</t>
  </si>
  <si>
    <t>CS</t>
  </si>
  <si>
    <t>Samuel Basallo*</t>
  </si>
  <si>
    <t>c</t>
  </si>
  <si>
    <t>Bryce Eldridge*</t>
  </si>
  <si>
    <t>dh</t>
  </si>
  <si>
    <t>Roman Anthony*</t>
  </si>
  <si>
    <t>rf</t>
  </si>
  <si>
    <t>Moises Ballesteros*</t>
  </si>
  <si>
    <t>Denzer Guzman</t>
  </si>
  <si>
    <t>ss</t>
  </si>
  <si>
    <t>Carter Jensen*</t>
  </si>
  <si>
    <t>Sal Stewart</t>
  </si>
  <si>
    <t>1b</t>
  </si>
  <si>
    <t>Cole Young*</t>
  </si>
  <si>
    <t>2b</t>
  </si>
  <si>
    <t>Maximo Acosta</t>
  </si>
  <si>
    <t>3b</t>
  </si>
  <si>
    <t>Jac Caglianone*</t>
  </si>
  <si>
    <t>Owen Caissie*</t>
  </si>
  <si>
    <t>Yanquiel Fernandez*</t>
  </si>
  <si>
    <t>Harry Ford</t>
  </si>
  <si>
    <t>Jhostynxon Garcia</t>
  </si>
  <si>
    <t>Brady House</t>
  </si>
  <si>
    <t>Kyle Karros</t>
  </si>
  <si>
    <t>Luke Keaschall</t>
  </si>
  <si>
    <t>Nick Kurtz*</t>
  </si>
  <si>
    <t>Daylen Lile*</t>
  </si>
  <si>
    <t>Marcelo Mayer*</t>
  </si>
  <si>
    <t>Christian Moore</t>
  </si>
  <si>
    <t>Max P. Muncy</t>
  </si>
  <si>
    <t>Alejandro Osuna*</t>
  </si>
  <si>
    <t>lf</t>
  </si>
  <si>
    <t>Edgar Quero#</t>
  </si>
  <si>
    <t>Cam Smith</t>
  </si>
  <si>
    <t>Carson Williams</t>
  </si>
  <si>
    <t>Dylan Beavers*</t>
  </si>
  <si>
    <t>Warming Bernabel</t>
  </si>
  <si>
    <t>Kristian Campbell</t>
  </si>
  <si>
    <t>Tsung-Che Cheng*</t>
  </si>
  <si>
    <t>Jonatan Clase#</t>
  </si>
  <si>
    <t>Jimmy Crooks*</t>
  </si>
  <si>
    <t>Alex Freeland#</t>
  </si>
  <si>
    <t>Petey Halpin*</t>
  </si>
  <si>
    <t>cf</t>
  </si>
  <si>
    <t>Robert Hassell*</t>
  </si>
  <si>
    <t>C.J. Kayfus*</t>
  </si>
  <si>
    <t>Luis Matos</t>
  </si>
  <si>
    <t>Brice Matthews</t>
  </si>
  <si>
    <t>Chase Meidroth</t>
  </si>
  <si>
    <t>Victor Mesa*</t>
  </si>
  <si>
    <t>Colson Montgomery*</t>
  </si>
  <si>
    <t>Kyren Paris</t>
  </si>
  <si>
    <t>Agustin Ramirez</t>
  </si>
  <si>
    <t>Bryan Ramos</t>
  </si>
  <si>
    <t>Matt Shaw</t>
  </si>
  <si>
    <t>Kyle Teel*</t>
  </si>
  <si>
    <t>Zac Veen*</t>
  </si>
  <si>
    <t>Nick Yorke</t>
  </si>
  <si>
    <t>Brooks Baldwin#</t>
  </si>
  <si>
    <t>Drake Baldwin*</t>
  </si>
  <si>
    <t>Jorge Barrosa#</t>
  </si>
  <si>
    <t>Tyler Black*</t>
  </si>
  <si>
    <t>Nathan Church*</t>
  </si>
  <si>
    <t>Zach Cole*</t>
  </si>
  <si>
    <t>Rafael Flores</t>
  </si>
  <si>
    <t>Cody Freeman</t>
  </si>
  <si>
    <t>Drew Gilbert*</t>
  </si>
  <si>
    <t>Leo Jimenez</t>
  </si>
  <si>
    <t>Jace Jung*</t>
  </si>
  <si>
    <t>Matthew Lugo</t>
  </si>
  <si>
    <t>Jakob Marsee*</t>
  </si>
  <si>
    <t>Ronny Mauricio#</t>
  </si>
  <si>
    <t>Grant McCray*</t>
  </si>
  <si>
    <t>Jacob Melton*</t>
  </si>
  <si>
    <t>Graham Pauley*</t>
  </si>
  <si>
    <t>Liover Peguero</t>
  </si>
  <si>
    <t>Everson Pereira</t>
  </si>
  <si>
    <t>Ryan Ritter</t>
  </si>
  <si>
    <t>Johan Rojas</t>
  </si>
  <si>
    <t>Dalton Rushing*</t>
  </si>
  <si>
    <t>Chandler Simpson*</t>
  </si>
  <si>
    <t>Colby Thomas</t>
  </si>
  <si>
    <t>George Valera*</t>
  </si>
  <si>
    <t>Jorbit Vivas*</t>
  </si>
  <si>
    <t>Ben Williamson</t>
  </si>
  <si>
    <t>Jordyn Adams</t>
  </si>
  <si>
    <t>Ji Hwan Bae*</t>
  </si>
  <si>
    <t>Will Banfield</t>
  </si>
  <si>
    <t>Tyler Callihan*</t>
  </si>
  <si>
    <t>Alexander Canario</t>
  </si>
  <si>
    <t>Denzel Clarke</t>
  </si>
  <si>
    <t>Kenedy Corona</t>
  </si>
  <si>
    <t>Henry Davis</t>
  </si>
  <si>
    <t>Zach Dezenzo</t>
  </si>
  <si>
    <t>Caleb Durbin</t>
  </si>
  <si>
    <t>Dustin Harris*</t>
  </si>
  <si>
    <t>Heriberto Hernandez</t>
  </si>
  <si>
    <t>Jeremiah Jackson</t>
  </si>
  <si>
    <t>Jarred Kelenic*</t>
  </si>
  <si>
    <t>Otto Kemp</t>
  </si>
  <si>
    <t>Trey Lipscomb</t>
  </si>
  <si>
    <t>Justyn-Henry Malloy</t>
  </si>
  <si>
    <t>Jonathan Ornelas</t>
  </si>
  <si>
    <t>Tirso Ornelas*</t>
  </si>
  <si>
    <t>Oswald Peraza</t>
  </si>
  <si>
    <t>Tristan Peters*</t>
  </si>
  <si>
    <t>Alan Roden*</t>
  </si>
  <si>
    <t>Johnathan Rodriguez</t>
  </si>
  <si>
    <t>Michael Siani*</t>
  </si>
  <si>
    <t>Ronny Simon#</t>
  </si>
  <si>
    <t>Trey Sweeney*</t>
  </si>
  <si>
    <t>Rhylan Thomas*</t>
  </si>
  <si>
    <t>Luis Vazquez</t>
  </si>
  <si>
    <t>Gage Workman*</t>
  </si>
  <si>
    <t>Jacob Amaya</t>
  </si>
  <si>
    <t>Akil Baddoo*</t>
  </si>
  <si>
    <t>Steward Berroa#</t>
  </si>
  <si>
    <t>Luis Campusano</t>
  </si>
  <si>
    <t>Dylan Carlson#</t>
  </si>
  <si>
    <t>Andres Chaparro</t>
  </si>
  <si>
    <t>Billy Cook</t>
  </si>
  <si>
    <t>Jonny Deluca</t>
  </si>
  <si>
    <t>Blake Dunn</t>
  </si>
  <si>
    <t>Ezequiel Duran</t>
  </si>
  <si>
    <t>Tim Elko</t>
  </si>
  <si>
    <t>Jose Fermin</t>
  </si>
  <si>
    <t>Justin Foscue</t>
  </si>
  <si>
    <t>Braxton Fulford</t>
  </si>
  <si>
    <t>Liam Hicks*</t>
  </si>
  <si>
    <t>Niko Kavadas*</t>
  </si>
  <si>
    <t>Buddy Kennedy</t>
  </si>
  <si>
    <t>Hyeseong Kim*</t>
  </si>
  <si>
    <t>Korey Lee</t>
  </si>
  <si>
    <t>Nick Loftin</t>
  </si>
  <si>
    <t>Rafael Marchan#</t>
  </si>
  <si>
    <t>MJ Melendez*</t>
  </si>
  <si>
    <t>Cesar Prieto*</t>
  </si>
  <si>
    <t>Sebastian Rivero</t>
  </si>
  <si>
    <t>Esteury Ruiz</t>
  </si>
  <si>
    <t>Anthony Seigler*</t>
  </si>
  <si>
    <t>Bob Seymour*</t>
  </si>
  <si>
    <t>Chad Stevens</t>
  </si>
  <si>
    <t>Jack Suwinski*</t>
  </si>
  <si>
    <t>Leody Taveras#</t>
  </si>
  <si>
    <t>Tim Tawa</t>
  </si>
  <si>
    <t>Samad Taylor</t>
  </si>
  <si>
    <t>Bryce Teodosio</t>
  </si>
  <si>
    <t>Enmanuel Valdez*</t>
  </si>
  <si>
    <t>Ryan Vilade</t>
  </si>
  <si>
    <t>Will Wagner*</t>
  </si>
  <si>
    <t>Drew Waters#</t>
  </si>
  <si>
    <t>Shay Whitcomb</t>
  </si>
  <si>
    <t>Joey Wiemer</t>
  </si>
  <si>
    <t>Will Wilson</t>
  </si>
  <si>
    <t>Jack Winkler</t>
  </si>
  <si>
    <t>Brett Wisely*</t>
  </si>
  <si>
    <t>Jose Barrero</t>
  </si>
  <si>
    <t>Will Benson*</t>
  </si>
  <si>
    <t>Will Brennan*</t>
  </si>
  <si>
    <t>Vidal Brujan#</t>
  </si>
  <si>
    <t>Gustavo Campero#</t>
  </si>
  <si>
    <t>Isaac Collins#</t>
  </si>
  <si>
    <t>Logan Davidson#</t>
  </si>
  <si>
    <t>Oliver Dunn*</t>
  </si>
  <si>
    <t>Jerar Encarnacion</t>
  </si>
  <si>
    <t>Tyler Fitzgerald</t>
  </si>
  <si>
    <t>Dominic Fletcher*</t>
  </si>
  <si>
    <t>Oscar Gonzalez</t>
  </si>
  <si>
    <t>Matt Gorski</t>
  </si>
  <si>
    <t>Maverick Handley</t>
  </si>
  <si>
    <t>Sam Huff</t>
  </si>
  <si>
    <t>Jacob Hurtubise*</t>
  </si>
  <si>
    <t>Greg Jones#</t>
  </si>
  <si>
    <t>Jahmai Jones</t>
  </si>
  <si>
    <t>Carter Kieboom</t>
  </si>
  <si>
    <t>Christian Koss</t>
  </si>
  <si>
    <t>Ryan Kreidler</t>
  </si>
  <si>
    <t>Josh Lowe*</t>
  </si>
  <si>
    <t>Michael Massey*</t>
  </si>
  <si>
    <t>Carson McCusker</t>
  </si>
  <si>
    <t>Matt Mervis*</t>
  </si>
  <si>
    <t>Drew Millas#</t>
  </si>
  <si>
    <t>Jose Miranda</t>
  </si>
  <si>
    <t>Kameron Misner*</t>
  </si>
  <si>
    <t>John Rave*</t>
  </si>
  <si>
    <t>Will Robertson*</t>
  </si>
  <si>
    <t>Ben Rortvedt*</t>
  </si>
  <si>
    <t>Blake Sabol*</t>
  </si>
  <si>
    <t>Aaron Schunk</t>
  </si>
  <si>
    <t>Nick Sogard#</t>
  </si>
  <si>
    <t>Kyle Stowers*</t>
  </si>
  <si>
    <t>Tyler Tolbert</t>
  </si>
  <si>
    <t>Taylor Trammell*</t>
  </si>
  <si>
    <t>Sergio Alcantara#</t>
  </si>
  <si>
    <t>CJ Alexander*</t>
  </si>
  <si>
    <t>Luken Baker</t>
  </si>
  <si>
    <t>David Banuelos</t>
  </si>
  <si>
    <t>Daz Cameron</t>
  </si>
  <si>
    <t>Vinny Capra</t>
  </si>
  <si>
    <t>Carlos Cortes*</t>
  </si>
  <si>
    <t>Blaine Crim</t>
  </si>
  <si>
    <t>Bryan De La Cruz</t>
  </si>
  <si>
    <t>Justin Dean</t>
  </si>
  <si>
    <t>Cam Devanney</t>
  </si>
  <si>
    <t>Nate Eaton</t>
  </si>
  <si>
    <t>Tristin English</t>
  </si>
  <si>
    <t>Hunter Feduccia*</t>
  </si>
  <si>
    <t>Jose Herrera#</t>
  </si>
  <si>
    <t>Keston Hiura</t>
  </si>
  <si>
    <t>Kyle Isbel*</t>
  </si>
  <si>
    <t>Troy Johnston*</t>
  </si>
  <si>
    <t>Connor Kaiser</t>
  </si>
  <si>
    <t>DaShawn Keirsey*</t>
  </si>
  <si>
    <t>Brandon Lockridge</t>
  </si>
  <si>
    <t>Willie MacIver</t>
  </si>
  <si>
    <t>Nick Maton*</t>
  </si>
  <si>
    <t>Owen Miller</t>
  </si>
  <si>
    <t>Andruw Monasterio</t>
  </si>
  <si>
    <t>Coco Montes</t>
  </si>
  <si>
    <t>James Outman*</t>
  </si>
  <si>
    <t>Blake Perkins#</t>
  </si>
  <si>
    <t>Yohel Pozo</t>
  </si>
  <si>
    <t>Brendan Rodgers</t>
  </si>
  <si>
    <t>Ali Sanchez</t>
  </si>
  <si>
    <t>Max Schuemann</t>
  </si>
  <si>
    <t>Hayden Senger</t>
  </si>
  <si>
    <t>Cal Stevenson*</t>
  </si>
  <si>
    <t>C.J. Stubbs</t>
  </si>
  <si>
    <t>Abraham Toro#</t>
  </si>
  <si>
    <t>Luis Urias</t>
  </si>
  <si>
    <t>Terrin Vavra*</t>
  </si>
  <si>
    <t>Matt Vierling</t>
  </si>
  <si>
    <t>David Villar</t>
  </si>
  <si>
    <t>Taylor Walls#</t>
  </si>
  <si>
    <t>Luke Williams</t>
  </si>
  <si>
    <t>Drew Avans*</t>
  </si>
  <si>
    <t>Jose Azocar</t>
  </si>
  <si>
    <t>Sean Bouchard</t>
  </si>
  <si>
    <t>Jonah Bride</t>
  </si>
  <si>
    <t>Trenton Brooks*</t>
  </si>
  <si>
    <t>Thairo Estrada</t>
  </si>
  <si>
    <t>Stuart Fairchild</t>
  </si>
  <si>
    <t>David Fry</t>
  </si>
  <si>
    <t>Mickey Gasper#</t>
  </si>
  <si>
    <t>Tristan Gray*</t>
  </si>
  <si>
    <t>Michael Helman</t>
  </si>
  <si>
    <t>Brewer Hicklen</t>
  </si>
  <si>
    <t>Derek Hill</t>
  </si>
  <si>
    <t>Alex Jackson</t>
  </si>
  <si>
    <t>Bryce Johnson#</t>
  </si>
  <si>
    <t>Daniel Johnson*</t>
  </si>
  <si>
    <t>Corey Julks</t>
  </si>
  <si>
    <t>Ha-Seong Kim</t>
  </si>
  <si>
    <t>Nathaniel Lowe*</t>
  </si>
  <si>
    <t>Jake Mangum#</t>
  </si>
  <si>
    <t>Miles Mastrobuoni*</t>
  </si>
  <si>
    <t>Ryan Noda*</t>
  </si>
  <si>
    <t>Joshua Palacios*</t>
  </si>
  <si>
    <t>Jhonny Pereda</t>
  </si>
  <si>
    <t>Logan Porter</t>
  </si>
  <si>
    <t>Emmanuel Rivera</t>
  </si>
  <si>
    <t>Cesar Salazar*</t>
  </si>
  <si>
    <t>Jose Siri</t>
  </si>
  <si>
    <t>Michael Stefanic</t>
  </si>
  <si>
    <t>Alan Trejo</t>
  </si>
  <si>
    <t>Alex Verdugo*</t>
  </si>
  <si>
    <t>Jared Young*</t>
  </si>
  <si>
    <t>Orlando Arcia</t>
  </si>
  <si>
    <t>Andrew Benintendi*</t>
  </si>
  <si>
    <t>Cavan Biggio*</t>
  </si>
  <si>
    <t>Bobby Dalbec</t>
  </si>
  <si>
    <t>J.C. Escarra*</t>
  </si>
  <si>
    <t>Luis Guillorme*</t>
  </si>
  <si>
    <t>Garrett Hampson</t>
  </si>
  <si>
    <t>Cooper Hummel#</t>
  </si>
  <si>
    <t>Andrew Knizner</t>
  </si>
  <si>
    <t>Nicky Lopez*</t>
  </si>
  <si>
    <t>Manuel Margot</t>
  </si>
  <si>
    <t>Jorge Mateo</t>
  </si>
  <si>
    <t>Mason McCoy</t>
  </si>
  <si>
    <t>Billy McKinney*</t>
  </si>
  <si>
    <t>Brian Navarreto</t>
  </si>
  <si>
    <t>Dom Nunez*</t>
  </si>
  <si>
    <t>Luke Raley*</t>
  </si>
  <si>
    <t>Chuckie Robinson</t>
  </si>
  <si>
    <t>Jake Rogers</t>
  </si>
  <si>
    <t>Zack Short</t>
  </si>
  <si>
    <t>Nick Solak</t>
  </si>
  <si>
    <t>Myles Straw</t>
  </si>
  <si>
    <t>Matt Thaiss*</t>
  </si>
  <si>
    <t>Chadwick Tromp</t>
  </si>
  <si>
    <t>Tyler Wade*</t>
  </si>
  <si>
    <t>Weston Wilson</t>
  </si>
  <si>
    <t>Jeimer Candelario#</t>
  </si>
  <si>
    <t>Paul DeJong</t>
  </si>
  <si>
    <t>Ryan Fitzgerald*</t>
  </si>
  <si>
    <t>Sam Haggerty#</t>
  </si>
  <si>
    <t>Sam Hilliard*</t>
  </si>
  <si>
    <t>Scott Kingery</t>
  </si>
  <si>
    <t>Vimael Machin*</t>
  </si>
  <si>
    <t>Kevin Newman</t>
  </si>
  <si>
    <t>Tomas Nido</t>
  </si>
  <si>
    <t>Jorge Polanco#</t>
  </si>
  <si>
    <t>Pablo Reyes</t>
  </si>
  <si>
    <t>Josh Rojas*</t>
  </si>
  <si>
    <t>Brett Sullivan*</t>
  </si>
  <si>
    <t>Tyrone Taylor</t>
  </si>
  <si>
    <t>LaMonte Wade*</t>
  </si>
  <si>
    <t>Donovan Walton*</t>
  </si>
  <si>
    <t>Jesse Winker*</t>
  </si>
  <si>
    <t>Jorge Alfaro</t>
  </si>
  <si>
    <t>Greg Allen#</t>
  </si>
  <si>
    <t>Tim Anderson</t>
  </si>
  <si>
    <t>Dairon Blanco</t>
  </si>
  <si>
    <t>Seth Brown*</t>
  </si>
  <si>
    <t>J.D. Davis</t>
  </si>
  <si>
    <t>Aramis Garcia</t>
  </si>
  <si>
    <t>Eric Haase</t>
  </si>
  <si>
    <t>Connor Joe</t>
  </si>
  <si>
    <t>Dylan Moore</t>
  </si>
  <si>
    <t>Gary Sanchez</t>
  </si>
  <si>
    <t>Austin Slater</t>
  </si>
  <si>
    <t>Garrett Stubbs*</t>
  </si>
  <si>
    <t>Kris Bryant</t>
  </si>
  <si>
    <t>Wilmer Flores</t>
  </si>
  <si>
    <t>Adam Frazier*</t>
  </si>
  <si>
    <t>Enrique Hernandez</t>
  </si>
  <si>
    <t>Omar Narvaez*</t>
  </si>
  <si>
    <t>Hunter Renfroe</t>
  </si>
  <si>
    <t>Eddie Rosario*</t>
  </si>
  <si>
    <t>Jon Singleton*</t>
  </si>
  <si>
    <t>Gio Urshela</t>
  </si>
  <si>
    <t>Ildemaro Vargas#</t>
  </si>
  <si>
    <t>Tucker Barnhart*</t>
  </si>
  <si>
    <t>Kyle Farmer</t>
  </si>
  <si>
    <t>Tyler Heineman#</t>
  </si>
  <si>
    <t>Travis Jankowski*</t>
  </si>
  <si>
    <t>Luke Maile</t>
  </si>
  <si>
    <t>Chris Taylor</t>
  </si>
  <si>
    <t>Christian Vazquez</t>
  </si>
  <si>
    <t>Austin Wynns</t>
  </si>
  <si>
    <t>Nick Ahmed</t>
  </si>
  <si>
    <t>Austin Barnes</t>
  </si>
  <si>
    <t>Jon Berti</t>
  </si>
  <si>
    <t>Rob Brantly*</t>
  </si>
  <si>
    <t>Jason Heyward*</t>
  </si>
  <si>
    <t>Jose Iglesias</t>
  </si>
  <si>
    <t>Nick Martini*</t>
  </si>
  <si>
    <t>James McCann</t>
  </si>
  <si>
    <t>Austin Nola</t>
  </si>
  <si>
    <t>Jacob Stallings</t>
  </si>
  <si>
    <t>Mark Canha</t>
  </si>
  <si>
    <t>Travis d'Arnaud</t>
  </si>
  <si>
    <t>DJ LeMahieu</t>
  </si>
  <si>
    <t>Sandy Leon#</t>
  </si>
  <si>
    <t>Kevin Pillar</t>
  </si>
  <si>
    <t>Donovan Solano</t>
  </si>
  <si>
    <t>Martin Maldonado</t>
  </si>
  <si>
    <t>Yuli Gurriel</t>
  </si>
  <si>
    <t>Name                    Team</t>
  </si>
  <si>
    <t>ERA</t>
  </si>
  <si>
    <t>W</t>
  </si>
  <si>
    <t>L</t>
  </si>
  <si>
    <t>S</t>
  </si>
  <si>
    <t>G</t>
  </si>
  <si>
    <t>GS</t>
  </si>
  <si>
    <t>CG</t>
  </si>
  <si>
    <t>SHO</t>
  </si>
  <si>
    <t>INN</t>
  </si>
  <si>
    <t>ER</t>
  </si>
  <si>
    <t>IW</t>
  </si>
  <si>
    <t>Didier Fuentes</t>
  </si>
  <si>
    <t>sp</t>
  </si>
  <si>
    <t>Bradgley Rodriguez</t>
  </si>
  <si>
    <t>mr</t>
  </si>
  <si>
    <t>Trey Yesavage</t>
  </si>
  <si>
    <t>Chase Burns</t>
  </si>
  <si>
    <t>Bubba Chandler</t>
  </si>
  <si>
    <t>Angel Chivilli</t>
  </si>
  <si>
    <t>Jose Corniell</t>
  </si>
  <si>
    <t>Ryan Johnson</t>
  </si>
  <si>
    <t>Andry Lara</t>
  </si>
  <si>
    <t>Cristian Mena</t>
  </si>
  <si>
    <t>Luis Morales</t>
  </si>
  <si>
    <t>Chase Petty</t>
  </si>
  <si>
    <t>Payton Tolle*</t>
  </si>
  <si>
    <t>Jonah Tong</t>
  </si>
  <si>
    <t>Mick Abel</t>
  </si>
  <si>
    <t>Philip Abner*</t>
  </si>
  <si>
    <t>Sam Aldegheri*</t>
  </si>
  <si>
    <t>Luinder Avila</t>
  </si>
  <si>
    <t>Chase Dollander</t>
  </si>
  <si>
    <t>Carlos Duran</t>
  </si>
  <si>
    <t>Connelly Early*</t>
  </si>
  <si>
    <t>Joey Estes</t>
  </si>
  <si>
    <t>Jose M Fermin</t>
  </si>
  <si>
    <t>Mason Fluharty*</t>
  </si>
  <si>
    <t>Wikelman Gonzalez</t>
  </si>
  <si>
    <t>Thomas Harrington</t>
  </si>
  <si>
    <t>cl</t>
  </si>
  <si>
    <t>Logan Henderson</t>
  </si>
  <si>
    <t>Cade Horton</t>
  </si>
  <si>
    <t>Justin Martinez</t>
  </si>
  <si>
    <t>Nolan McLean</t>
  </si>
  <si>
    <t>Jacob Misiorowski</t>
  </si>
  <si>
    <t>Anthony Molina</t>
  </si>
  <si>
    <t>Carlos F. Rodriguez</t>
  </si>
  <si>
    <t>Roki Sasaki</t>
  </si>
  <si>
    <t>Grant Taylor</t>
  </si>
  <si>
    <t>Troy Taylor</t>
  </si>
  <si>
    <t>Zach Agnos</t>
  </si>
  <si>
    <t>Luarbert Arias</t>
  </si>
  <si>
    <t>Hunter Barco*</t>
  </si>
  <si>
    <t>Mason Barnett</t>
  </si>
  <si>
    <t>Bradley Blalock</t>
  </si>
  <si>
    <t>A.J. Blubaugh</t>
  </si>
  <si>
    <t>McCade Brown</t>
  </si>
  <si>
    <t>Marc Church</t>
  </si>
  <si>
    <t>Luis Curvelo</t>
  </si>
  <si>
    <t>Logan Evans</t>
  </si>
  <si>
    <t>Mitch Farris*</t>
  </si>
  <si>
    <t>Braydon Fisher</t>
  </si>
  <si>
    <t>Luis Guerrero</t>
  </si>
  <si>
    <t>Ben Joyce</t>
  </si>
  <si>
    <t>Jack Kochanowicz</t>
  </si>
  <si>
    <t>Luke Little*</t>
  </si>
  <si>
    <t>Zach Maxwell</t>
  </si>
  <si>
    <t>Trevor McDonald</t>
  </si>
  <si>
    <t>Victor Mederos</t>
  </si>
  <si>
    <t>Juan M. Mejia</t>
  </si>
  <si>
    <t>Troy Melton</t>
  </si>
  <si>
    <t>Parker Messick*</t>
  </si>
  <si>
    <t>Luis Mey</t>
  </si>
  <si>
    <t>Keider Montero</t>
  </si>
  <si>
    <t>Tyler Owens</t>
  </si>
  <si>
    <t>Carson Palmquist*</t>
  </si>
  <si>
    <t>Connor Phillips</t>
  </si>
  <si>
    <t>Joe Rock*</t>
  </si>
  <si>
    <t>Cam Schlittler</t>
  </si>
  <si>
    <t>Drew Sommers*</t>
  </si>
  <si>
    <t>Brandon Sproat</t>
  </si>
  <si>
    <t>Blade Tidwell</t>
  </si>
  <si>
    <t>Andrew Walters</t>
  </si>
  <si>
    <t>Carson Whisenhunt*</t>
  </si>
  <si>
    <t>Travis Adams</t>
  </si>
  <si>
    <t>Braxton Ashcraft</t>
  </si>
  <si>
    <t>Sam Bachman</t>
  </si>
  <si>
    <t>Valente Bellozo</t>
  </si>
  <si>
    <t>Ryan Bergert</t>
  </si>
  <si>
    <t>Mason Black</t>
  </si>
  <si>
    <t>Joe Boyle</t>
  </si>
  <si>
    <t>Zach Brzykcy</t>
  </si>
  <si>
    <t>Juan Burgos</t>
  </si>
  <si>
    <t>Mike Burrows</t>
  </si>
  <si>
    <t>Noah Cameron*</t>
  </si>
  <si>
    <t>Roansy Contreras</t>
  </si>
  <si>
    <t>Hunter Dobbins</t>
  </si>
  <si>
    <t>Mason Englert</t>
  </si>
  <si>
    <t>Brandyn Garcia*</t>
  </si>
  <si>
    <t>Paul Gervase</t>
  </si>
  <si>
    <t>Yoendrys Gomez</t>
  </si>
  <si>
    <t>Gordon Graceffo</t>
  </si>
  <si>
    <t>Andre Granillo</t>
  </si>
  <si>
    <t>Seth Halvorsen</t>
  </si>
  <si>
    <t>Ronny Henriquez</t>
  </si>
  <si>
    <t>Cole Henry</t>
  </si>
  <si>
    <t>Jaden Hill</t>
  </si>
  <si>
    <t>Andrew Hoffmann</t>
  </si>
  <si>
    <t>Gunnar Hoglund</t>
  </si>
  <si>
    <t>Grant Holman</t>
  </si>
  <si>
    <t>Will Klein</t>
  </si>
  <si>
    <t>Sauryn Lao</t>
  </si>
  <si>
    <t>Brad Lord</t>
  </si>
  <si>
    <t>Garrett McDaniels*</t>
  </si>
  <si>
    <t>Christian Montes De Oca</t>
  </si>
  <si>
    <t>David Morgan</t>
  </si>
  <si>
    <t>Roddery Munoz</t>
  </si>
  <si>
    <t>Rolddy Munoz</t>
  </si>
  <si>
    <t>Doug Nikhazy*</t>
  </si>
  <si>
    <t>Pierson Ohl</t>
  </si>
  <si>
    <t>Daniel Palencia</t>
  </si>
  <si>
    <t>Jack Perkins</t>
  </si>
  <si>
    <t>Lyon Richardson</t>
  </si>
  <si>
    <t>Gregory Santos</t>
  </si>
  <si>
    <t>Chase Silseth</t>
  </si>
  <si>
    <t>Dylan Smith</t>
  </si>
  <si>
    <t>Shane Smith</t>
  </si>
  <si>
    <t>Carlos Vargas</t>
  </si>
  <si>
    <t>Mike Vasil</t>
  </si>
  <si>
    <t>Victor Vodnik</t>
  </si>
  <si>
    <t>Owen White</t>
  </si>
  <si>
    <t>Cole Wilcox</t>
  </si>
  <si>
    <t>Cole Winn</t>
  </si>
  <si>
    <t>Craig Yoho</t>
  </si>
  <si>
    <t>Elvis Alvarado</t>
  </si>
  <si>
    <t>Andrew Alvarez*</t>
  </si>
  <si>
    <t>Clayton Beeter</t>
  </si>
  <si>
    <t>Blas Castano</t>
  </si>
  <si>
    <t>Cade Cavalli</t>
  </si>
  <si>
    <t>Omar Cruz*</t>
  </si>
  <si>
    <t>Steven Cruz</t>
  </si>
  <si>
    <t>Xzavion Curry</t>
  </si>
  <si>
    <t>Jack Dreyer*</t>
  </si>
  <si>
    <t>Jake Eder*</t>
  </si>
  <si>
    <t>Lazaro Estrada</t>
  </si>
  <si>
    <t>Robert Gasser*</t>
  </si>
  <si>
    <t>Colton Gordon*</t>
  </si>
  <si>
    <t>Ryan Gusto</t>
  </si>
  <si>
    <t>Dom Hamel</t>
  </si>
  <si>
    <t>Hayden Harris*</t>
  </si>
  <si>
    <t>Seth Johnson</t>
  </si>
  <si>
    <t>Max Lazar</t>
  </si>
  <si>
    <t>Jordan Leasure</t>
  </si>
  <si>
    <t>Chase Lee</t>
  </si>
  <si>
    <t>Ryan Loutos</t>
  </si>
  <si>
    <t>Chayce McDermott</t>
  </si>
  <si>
    <t>Michael Mercado</t>
  </si>
  <si>
    <t>Juan Morillo</t>
  </si>
  <si>
    <t>Noah Murdock</t>
  </si>
  <si>
    <t>Kyle Nicolas</t>
  </si>
  <si>
    <t>Eduarniel Nunez</t>
  </si>
  <si>
    <t>Luis L. Ortiz</t>
  </si>
  <si>
    <t>Jake Palisch*</t>
  </si>
  <si>
    <t>Chad Patrick</t>
  </si>
  <si>
    <t>Robinson Pina</t>
  </si>
  <si>
    <t>Austin Pope</t>
  </si>
  <si>
    <t>Christian Roa</t>
  </si>
  <si>
    <t>Jackson Rutledge</t>
  </si>
  <si>
    <t>Jayvien Sandridge*</t>
  </si>
  <si>
    <t>Matt Sauer</t>
  </si>
  <si>
    <t>Carson Seymour</t>
  </si>
  <si>
    <t>Ian Seymour*</t>
  </si>
  <si>
    <t>Jared Shuster*</t>
  </si>
  <si>
    <t>George Soriano</t>
  </si>
  <si>
    <t>Matt Svanson</t>
  </si>
  <si>
    <t>Freddy Tarnok</t>
  </si>
  <si>
    <t>Kai-Wei Teng</t>
  </si>
  <si>
    <t>Logan VanWey</t>
  </si>
  <si>
    <t>Nathan Wiles</t>
  </si>
  <si>
    <t>Brandon Young</t>
  </si>
  <si>
    <t>Garrett Acton</t>
  </si>
  <si>
    <t>Kolby Allard*</t>
  </si>
  <si>
    <t>Ian Anderson</t>
  </si>
  <si>
    <t>Kyle Backhus*</t>
  </si>
  <si>
    <t>Brady Basso*</t>
  </si>
  <si>
    <t>Cody Bolton</t>
  </si>
  <si>
    <t>Matt Brash</t>
  </si>
  <si>
    <t>Jose Butto</t>
  </si>
  <si>
    <t>Isaiah Campbell</t>
  </si>
  <si>
    <t>Michael Darrell-Hicks</t>
  </si>
  <si>
    <t>Brett de Geus</t>
  </si>
  <si>
    <t>Yerry De Los Santos</t>
  </si>
  <si>
    <t>Dylan Dodd*</t>
  </si>
  <si>
    <t>Brandon Eisert*</t>
  </si>
  <si>
    <t>Fraser Ellard*</t>
  </si>
  <si>
    <t>Ryan Fernandez</t>
  </si>
  <si>
    <t>Caleb Freeman</t>
  </si>
  <si>
    <t>Cade Gibson*</t>
  </si>
  <si>
    <t>Connor Gillispie</t>
  </si>
  <si>
    <t>Sawyer Gipson-Long</t>
  </si>
  <si>
    <t>Tanner Gordon</t>
  </si>
  <si>
    <t>Brent Headrick*</t>
  </si>
  <si>
    <t>Tommy Henry*</t>
  </si>
  <si>
    <t>Nolan Hoffman</t>
  </si>
  <si>
    <t>Gavin Hollowell</t>
  </si>
  <si>
    <t>Bailey Horn*</t>
  </si>
  <si>
    <t>Alek Jacob</t>
  </si>
  <si>
    <t>Drey Jameson</t>
  </si>
  <si>
    <t>Bryce Jarvis</t>
  </si>
  <si>
    <t>Zak Kent</t>
  </si>
  <si>
    <t>Landon Knack</t>
  </si>
  <si>
    <t>Max Kranick</t>
  </si>
  <si>
    <t>Joe La Sorsa*</t>
  </si>
  <si>
    <t>Cody Laweryson</t>
  </si>
  <si>
    <t>Jack Little</t>
  </si>
  <si>
    <t>Jacob Lopez*</t>
  </si>
  <si>
    <t>Anthony Maldonado</t>
  </si>
  <si>
    <t>Easton McGee</t>
  </si>
  <si>
    <t>Triston McKenzie</t>
  </si>
  <si>
    <t>Erik Miller*</t>
  </si>
  <si>
    <t>Patrick Monteverde*</t>
  </si>
  <si>
    <t>Chris Murphy*</t>
  </si>
  <si>
    <t>Shinnosuke Ogasawara*</t>
  </si>
  <si>
    <t>Eric Orze</t>
  </si>
  <si>
    <t>Johan Oviedo</t>
  </si>
  <si>
    <t>Sammy Peralta*</t>
  </si>
  <si>
    <t>Tyler Phillips</t>
  </si>
  <si>
    <t>Konnor Pilkington*</t>
  </si>
  <si>
    <t>Jonathan Pintaro</t>
  </si>
  <si>
    <t>Carson Ragsdale</t>
  </si>
  <si>
    <t>Alan Rangel</t>
  </si>
  <si>
    <t>Sean Reynolds</t>
  </si>
  <si>
    <t>Orlando Ribalta</t>
  </si>
  <si>
    <t>Ethan Roberts</t>
  </si>
  <si>
    <t>Elvin Rodriguez</t>
  </si>
  <si>
    <t>Ryan Rolison*</t>
  </si>
  <si>
    <t>Andrew Saalfrank*</t>
  </si>
  <si>
    <t>Erik Sabrowski*</t>
  </si>
  <si>
    <t>Eduardo Salazar</t>
  </si>
  <si>
    <t>Cole Sands</t>
  </si>
  <si>
    <t>Paxton Schultz</t>
  </si>
  <si>
    <t>Colin Selby</t>
  </si>
  <si>
    <t>Josh Simpson*</t>
  </si>
  <si>
    <t>Justin Slaten</t>
  </si>
  <si>
    <t>Mitch Spence</t>
  </si>
  <si>
    <t>Carson Spiers</t>
  </si>
  <si>
    <t>Kade Strowd</t>
  </si>
  <si>
    <t>Jose Suarez*</t>
  </si>
  <si>
    <t>Connor Thomas*</t>
  </si>
  <si>
    <t>Mason Thompson</t>
  </si>
  <si>
    <t>Louis Varland</t>
  </si>
  <si>
    <t>Anthony Veneziano*</t>
  </si>
  <si>
    <t>Joey Wentz*</t>
  </si>
  <si>
    <t>Forrest Whitley</t>
  </si>
  <si>
    <t>Bryse Wilson</t>
  </si>
  <si>
    <t>Josh Winckowski</t>
  </si>
  <si>
    <t>Keaton Winn</t>
  </si>
  <si>
    <t>Ryan Zeferjahn</t>
  </si>
  <si>
    <t>Yosver Zulueta</t>
  </si>
  <si>
    <t>Ty Adcock</t>
  </si>
  <si>
    <t>Grant Anderson</t>
  </si>
  <si>
    <t>Jonathan Bowlan</t>
  </si>
  <si>
    <t>Justin Bruihl*</t>
  </si>
  <si>
    <t>Brock Burke*</t>
  </si>
  <si>
    <t>Genesis Cabrera*</t>
  </si>
  <si>
    <t>Alex Carrillo</t>
  </si>
  <si>
    <t>Austin Cox*</t>
  </si>
  <si>
    <t>Cooper Criswell</t>
  </si>
  <si>
    <t>Davis Daniel</t>
  </si>
  <si>
    <t>Dugan Darnell</t>
  </si>
  <si>
    <t>Noah Davis</t>
  </si>
  <si>
    <t>Alexis Diaz</t>
  </si>
  <si>
    <t>Jhonathan Diaz*</t>
  </si>
  <si>
    <t>Nic Enright</t>
  </si>
  <si>
    <t>Jose Espada</t>
  </si>
  <si>
    <t>Caleb Ferguson*</t>
  </si>
  <si>
    <t>Kody Funderburk*</t>
  </si>
  <si>
    <t>Luis H. Garcia</t>
  </si>
  <si>
    <t>Joey Gerber</t>
  </si>
  <si>
    <t>Logan Gillaspie</t>
  </si>
  <si>
    <t>Justin Hagenman</t>
  </si>
  <si>
    <t>Carlos Hernandez</t>
  </si>
  <si>
    <t>Daysbel Hernandez</t>
  </si>
  <si>
    <t>Codi Heuer</t>
  </si>
  <si>
    <t>Sean Hjelle</t>
  </si>
  <si>
    <t>Bryan Hoeing</t>
  </si>
  <si>
    <t>Bryan Hudson*</t>
  </si>
  <si>
    <t>Cristian Javier</t>
  </si>
  <si>
    <t>Stephen Kolek</t>
  </si>
  <si>
    <t>Jackson Kowar</t>
  </si>
  <si>
    <t>Casey Legumina</t>
  </si>
  <si>
    <t>Easton Lucas*</t>
  </si>
  <si>
    <t>Nick Mears</t>
  </si>
  <si>
    <t>Jovani Moran*</t>
  </si>
  <si>
    <t>Jayden Murray</t>
  </si>
  <si>
    <t>Kyle Nelson*</t>
  </si>
  <si>
    <t>Elvis Peguero</t>
  </si>
  <si>
    <t>Joel Peguero</t>
  </si>
  <si>
    <t>Zach Pop</t>
  </si>
  <si>
    <t>PJ Poulin*</t>
  </si>
  <si>
    <t>Manuel Rodriguez</t>
  </si>
  <si>
    <t>Yariel Rodriguez</t>
  </si>
  <si>
    <t>John Rooney*</t>
  </si>
  <si>
    <t>Chris Roycroft</t>
  </si>
  <si>
    <t>Cam Sanders</t>
  </si>
  <si>
    <t>Nick Sandlin</t>
  </si>
  <si>
    <t>Chase Shugart</t>
  </si>
  <si>
    <t>Evan Sisk*</t>
  </si>
  <si>
    <t>Justin Sterner</t>
  </si>
  <si>
    <t>Hunter Stratton</t>
  </si>
  <si>
    <t>Brian van Belle</t>
  </si>
  <si>
    <t>Matt Waldron</t>
  </si>
  <si>
    <t>Brandon Walter*</t>
  </si>
  <si>
    <t>Grant Wolfram*</t>
  </si>
  <si>
    <t>Jake Woodford</t>
  </si>
  <si>
    <t>Jorge Alcala</t>
  </si>
  <si>
    <t>Tristan Beck</t>
  </si>
  <si>
    <t>Osvaldo Bido</t>
  </si>
  <si>
    <t>Jake Bird</t>
  </si>
  <si>
    <t>Scott Blewett</t>
  </si>
  <si>
    <t>Jose G. Castillo*</t>
  </si>
  <si>
    <t>Luis Contreras</t>
  </si>
  <si>
    <t>Tom Cosgrove*</t>
  </si>
  <si>
    <t>Enyel De Los Santos</t>
  </si>
  <si>
    <t>Shawn Dubin</t>
  </si>
  <si>
    <t>Julian Fernandez</t>
  </si>
  <si>
    <t>Gerson Garabito</t>
  </si>
  <si>
    <t>Lucas Gilbreath*</t>
  </si>
  <si>
    <t>Sean Guenther*</t>
  </si>
  <si>
    <t>Yaramil Hiraldo</t>
  </si>
  <si>
    <t>Colin Holderman</t>
  </si>
  <si>
    <t>Janson Junk</t>
  </si>
  <si>
    <t>Brad Keller</t>
  </si>
  <si>
    <t>Michael Kopech</t>
  </si>
  <si>
    <t>Alex Lange</t>
  </si>
  <si>
    <t>Jake Latz*</t>
  </si>
  <si>
    <t>Sam Long*</t>
  </si>
  <si>
    <t>Richard Lovelady*</t>
  </si>
  <si>
    <t>Ron Marinaccio</t>
  </si>
  <si>
    <t>Corbin Martin</t>
  </si>
  <si>
    <t>Isaac Mattson</t>
  </si>
  <si>
    <t>Darren McCaughan</t>
  </si>
  <si>
    <t>Dauri Moreta</t>
  </si>
  <si>
    <t>Eli Morgan</t>
  </si>
  <si>
    <t>Dedniel Nunez</t>
  </si>
  <si>
    <t>Cionel Perez*</t>
  </si>
  <si>
    <t>Jose Quijada*</t>
  </si>
  <si>
    <t>Nick Raquet*</t>
  </si>
  <si>
    <t>Taylor Rashi</t>
  </si>
  <si>
    <t>Reiver Sanmartin*</t>
  </si>
  <si>
    <t>Connor Seabold</t>
  </si>
  <si>
    <t>Collin Snider</t>
  </si>
  <si>
    <t>Touki Toussaint</t>
  </si>
  <si>
    <t>Austin Warren</t>
  </si>
  <si>
    <t>Allan Winans</t>
  </si>
  <si>
    <t>Keegan Akin*</t>
  </si>
  <si>
    <t>Shaun Anderson</t>
  </si>
  <si>
    <t>Lake Bachar</t>
  </si>
  <si>
    <t>Bryan Baker</t>
  </si>
  <si>
    <t>Anthony Bender</t>
  </si>
  <si>
    <t>Ben Bowden*</t>
  </si>
  <si>
    <t>Connor Brogdon</t>
  </si>
  <si>
    <t>Luis F. Castillo</t>
  </si>
  <si>
    <t>Miguel Castro</t>
  </si>
  <si>
    <t>Aaron Civale</t>
  </si>
  <si>
    <t>Nabil Crismatt</t>
  </si>
  <si>
    <t>Randy Dobnak</t>
  </si>
  <si>
    <t>Dane Dunning</t>
  </si>
  <si>
    <t>J.P. France</t>
  </si>
  <si>
    <t>Ian Hamilton</t>
  </si>
  <si>
    <t>Hunter Harvey</t>
  </si>
  <si>
    <t>Thomas Hatch</t>
  </si>
  <si>
    <t>Nick Hernandez</t>
  </si>
  <si>
    <t>Zack Kelly</t>
  </si>
  <si>
    <t>John King*</t>
  </si>
  <si>
    <t>Matt Krook*</t>
  </si>
  <si>
    <t>Eric Lauer*</t>
  </si>
  <si>
    <t>Justin Lawrence</t>
  </si>
  <si>
    <t>Jonathan Loaisiga</t>
  </si>
  <si>
    <t>German Marquez</t>
  </si>
  <si>
    <t>Seth Martinez</t>
  </si>
  <si>
    <t>Anthony Misiewicz*</t>
  </si>
  <si>
    <t>Riley O'Brien</t>
  </si>
  <si>
    <t>Evan Phillips</t>
  </si>
  <si>
    <t>Cody Poteet</t>
  </si>
  <si>
    <t>A.J. Puk*</t>
  </si>
  <si>
    <t>Cal Quantrill</t>
  </si>
  <si>
    <t>Yohan Ramirez</t>
  </si>
  <si>
    <t>Daniel Robert</t>
  </si>
  <si>
    <t>Jose Ruiz</t>
  </si>
  <si>
    <t>Antonio Senzatela</t>
  </si>
  <si>
    <t>Bennett Sousa*</t>
  </si>
  <si>
    <t>Gabe Speier*</t>
  </si>
  <si>
    <t>Jesus Tinoco</t>
  </si>
  <si>
    <t>Jose Urquidy</t>
  </si>
  <si>
    <t>Josh Walker*</t>
  </si>
  <si>
    <t>Tyler Wells</t>
  </si>
  <si>
    <t>Steven Wilson</t>
  </si>
  <si>
    <t>Bruce Zimmermann*</t>
  </si>
  <si>
    <t>Tyler Zuber</t>
  </si>
  <si>
    <t>Jalen Beeks*</t>
  </si>
  <si>
    <t>Spencer Bivens</t>
  </si>
  <si>
    <t>Paul Blackburn</t>
  </si>
  <si>
    <t>Ronel Blanco</t>
  </si>
  <si>
    <t>Ryan Borucki*</t>
  </si>
  <si>
    <t>Caleb Boushley</t>
  </si>
  <si>
    <t>JT Brubaker</t>
  </si>
  <si>
    <t>Ryan Burr</t>
  </si>
  <si>
    <t>Yennier Cano</t>
  </si>
  <si>
    <t>Scott Effross</t>
  </si>
  <si>
    <t>Tyler Ferguson</t>
  </si>
  <si>
    <t>Carson Fulmer</t>
  </si>
  <si>
    <t>Rico Garcia</t>
  </si>
  <si>
    <t>Justin Garza</t>
  </si>
  <si>
    <t>Ian Gibaut</t>
  </si>
  <si>
    <t>Tyler Gilbert*</t>
  </si>
  <si>
    <t>Kevin Ginkel</t>
  </si>
  <si>
    <t>Austin Gomber*</t>
  </si>
  <si>
    <t>Geoff Hartlieb</t>
  </si>
  <si>
    <t>Jimmy Herget</t>
  </si>
  <si>
    <t>Brooks Kriske</t>
  </si>
  <si>
    <t>Jose Leclerc</t>
  </si>
  <si>
    <t>Reynaldo Lopez</t>
  </si>
  <si>
    <t>Lance McCullers</t>
  </si>
  <si>
    <t>Penn Murfee</t>
  </si>
  <si>
    <t>Joel Payamps</t>
  </si>
  <si>
    <t>Angel Perdomo*</t>
  </si>
  <si>
    <t>Michael Petersen</t>
  </si>
  <si>
    <t>Colin Poche*</t>
  </si>
  <si>
    <t>Jesse Scholtens</t>
  </si>
  <si>
    <t>Lucas Sims</t>
  </si>
  <si>
    <t>Dillon Tate</t>
  </si>
  <si>
    <t>Zach R. Thompson</t>
  </si>
  <si>
    <t>Trent Thornton</t>
  </si>
  <si>
    <t>Brandon Waddell*</t>
  </si>
  <si>
    <t>Danny Young*</t>
  </si>
  <si>
    <t>Jason Alexander</t>
  </si>
  <si>
    <t>Dan Altavilla</t>
  </si>
  <si>
    <t>Scott Barlow</t>
  </si>
  <si>
    <t>Nick Burdi</t>
  </si>
  <si>
    <t>Taylor Clarke</t>
  </si>
  <si>
    <t>John Curtiss</t>
  </si>
  <si>
    <t>Jose E. De Leon</t>
  </si>
  <si>
    <t>Erick Fedde</t>
  </si>
  <si>
    <t>Matt Festa</t>
  </si>
  <si>
    <t>J.P. Feyereisen</t>
  </si>
  <si>
    <t>Michael Fulmer</t>
  </si>
  <si>
    <t>Matt Gage*</t>
  </si>
  <si>
    <t>Kyle Hart*</t>
  </si>
  <si>
    <t>Jorge Lopez</t>
  </si>
  <si>
    <t>Joey Lucchesi*</t>
  </si>
  <si>
    <t>Frankie Montas</t>
  </si>
  <si>
    <t>Sean Newcomb*</t>
  </si>
  <si>
    <t>Tanner Rainey</t>
  </si>
  <si>
    <t>Trevor Richards</t>
  </si>
  <si>
    <t>Jordan Romano</t>
  </si>
  <si>
    <t>Joe Ross</t>
  </si>
  <si>
    <t>Tayler Saucedo*</t>
  </si>
  <si>
    <t>Robert Stephenson</t>
  </si>
  <si>
    <t>Spencer Turnbull</t>
  </si>
  <si>
    <t>Taijuan Walker</t>
  </si>
  <si>
    <t>Jordan Weems</t>
  </si>
  <si>
    <t>Randy Wynne</t>
  </si>
  <si>
    <t>Brennan Bernardino*</t>
  </si>
  <si>
    <t>Cam Booser*</t>
  </si>
  <si>
    <t>Jeff Brigham</t>
  </si>
  <si>
    <t>Carl  Edwards Jr.</t>
  </si>
  <si>
    <t>Jon Gray</t>
  </si>
  <si>
    <t>Luke Jackson</t>
  </si>
  <si>
    <t>Ben Lively</t>
  </si>
  <si>
    <t>Tim Mayza*</t>
  </si>
  <si>
    <t>Julian Merryweather</t>
  </si>
  <si>
    <t>Sam Moll*</t>
  </si>
  <si>
    <t>Steven Okert*</t>
  </si>
  <si>
    <t>Kaleb Ort</t>
  </si>
  <si>
    <t>Wandy Peralta*</t>
  </si>
  <si>
    <t>Tayler Scott</t>
  </si>
  <si>
    <t>Ryne Stanek</t>
  </si>
  <si>
    <t>Brock Stewart</t>
  </si>
  <si>
    <t>Wander Suero</t>
  </si>
  <si>
    <t>Ryan Thompson</t>
  </si>
  <si>
    <t>Lou Trivino</t>
  </si>
  <si>
    <t>Jose Urena</t>
  </si>
  <si>
    <t>Ryan Yarbrough*</t>
  </si>
  <si>
    <t>Rob Zastryzny*</t>
  </si>
  <si>
    <t>Nick Anderson</t>
  </si>
  <si>
    <t>Shawn Armstrong</t>
  </si>
  <si>
    <t>Matt Bowman</t>
  </si>
  <si>
    <t>Mike Clevinger</t>
  </si>
  <si>
    <t>Chris Devenski</t>
  </si>
  <si>
    <t>Dietrich Enns*</t>
  </si>
  <si>
    <t>Yimi Garcia</t>
  </si>
  <si>
    <t>Kendall Graveman</t>
  </si>
  <si>
    <t>Chad Green</t>
  </si>
  <si>
    <t>Andrew Heaney*</t>
  </si>
  <si>
    <t>Kevin Herget</t>
  </si>
  <si>
    <t>Mark Leiter</t>
  </si>
  <si>
    <t>Joe Mantiply*</t>
  </si>
  <si>
    <t>Tyler Matzek*</t>
  </si>
  <si>
    <t>Hoby Milner*</t>
  </si>
  <si>
    <t>Rafael Montero</t>
  </si>
  <si>
    <t>Tommy Nance</t>
  </si>
  <si>
    <t>Emilio Pagan</t>
  </si>
  <si>
    <t>Chris Stratton</t>
  </si>
  <si>
    <t>Marcus Stroman</t>
  </si>
  <si>
    <t>Justin Topa</t>
  </si>
  <si>
    <t>Scott Alexander*</t>
  </si>
  <si>
    <t>Tyler Anderson*</t>
  </si>
  <si>
    <t>Jacob Barnes</t>
  </si>
  <si>
    <t>John Brebbia</t>
  </si>
  <si>
    <t>Danny Coulombe*</t>
  </si>
  <si>
    <t>Anthony DeSclafani</t>
  </si>
  <si>
    <t>Jesse Hahn</t>
  </si>
  <si>
    <t>Kyle Hendricks</t>
  </si>
  <si>
    <t>Tommy Kahnle</t>
  </si>
  <si>
    <t>Casey Kelly</t>
  </si>
  <si>
    <t>Scott McGough</t>
  </si>
  <si>
    <t>Erasmo Ramirez</t>
  </si>
  <si>
    <t>Paul Sewald</t>
  </si>
  <si>
    <t>Robert Stock</t>
  </si>
  <si>
    <t>Albert Suarez</t>
  </si>
  <si>
    <t>Tomoyuki Sugano</t>
  </si>
  <si>
    <t>Cole Sulser</t>
  </si>
  <si>
    <t>Brent Suter*</t>
  </si>
  <si>
    <t>Michael Tonkin</t>
  </si>
  <si>
    <t>Liam Hendriks</t>
  </si>
  <si>
    <t>T.J. McFarland*</t>
  </si>
  <si>
    <t>Miles Mikolas</t>
  </si>
  <si>
    <t>Hector Neris</t>
  </si>
  <si>
    <t>Drew Pomeranz*</t>
  </si>
  <si>
    <t>Ryan Pressly</t>
  </si>
  <si>
    <t>Ryan Brasier</t>
  </si>
  <si>
    <t>Kyle Gibson</t>
  </si>
  <si>
    <t>Craig Kimbrel</t>
  </si>
  <si>
    <t>Casey Lawrence</t>
  </si>
  <si>
    <t>Kenta Maeda</t>
  </si>
  <si>
    <t>Brooks Raley*</t>
  </si>
  <si>
    <t>Blake Treinen</t>
  </si>
  <si>
    <t>Justin Wilson*</t>
  </si>
  <si>
    <t>Carlos Carrasco</t>
  </si>
  <si>
    <t>Luis A. Garcia</t>
  </si>
  <si>
    <t>Wade Miley*</t>
  </si>
  <si>
    <t>Caleb Thielbar*</t>
  </si>
  <si>
    <t>Kirby Yates</t>
  </si>
  <si>
    <t>Chris Martin</t>
  </si>
  <si>
    <t>Adam Ottavino</t>
  </si>
  <si>
    <t>David Robertson</t>
  </si>
  <si>
    <t>Jesse Chavez</t>
  </si>
  <si>
    <t>Charlie Morton</t>
  </si>
  <si>
    <t>Justin Verlander</t>
  </si>
  <si>
    <t>Rich Hill*</t>
  </si>
  <si>
    <t>Stat</t>
  </si>
  <si>
    <t>Scout</t>
  </si>
  <si>
    <t>Notes</t>
  </si>
  <si>
    <t>Hit</t>
  </si>
  <si>
    <t>Pwr</t>
  </si>
  <si>
    <t>Approach</t>
  </si>
  <si>
    <t>Position</t>
  </si>
  <si>
    <t>PA</t>
  </si>
  <si>
    <t>K%</t>
  </si>
  <si>
    <t>BB%</t>
  </si>
  <si>
    <t>K% Adj</t>
  </si>
  <si>
    <t>ISO</t>
  </si>
  <si>
    <t>PV Raw</t>
  </si>
  <si>
    <t>PV+</t>
  </si>
  <si>
    <t>STOUT</t>
  </si>
  <si>
    <t>Column1</t>
  </si>
  <si>
    <t>Name</t>
  </si>
  <si>
    <t>BF</t>
  </si>
  <si>
    <t>HR%</t>
  </si>
  <si>
    <t>Age vs PT</t>
  </si>
  <si>
    <t>K-BB</t>
  </si>
  <si>
    <t>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</si>
</sst>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2" fontId="0" fillId="0" borderId="0" xfId="1" applyNumberFormat="1" applyFont="1"/>
    <xf numFmtId="2" fontId="0" fillId="0" borderId="0" xfId="0" applyNumberFormat="1"/>
    <xf numFmtId="0" fontId="0" fillId="0" borderId="0" xfId="0" applyBorder="1"/>
    <xf numFmtId="2" fontId="0" fillId="0" borderId="0" xfId="0" applyNumberFormat="1" applyBorder="1"/>
    <xf numFmtId="2" fontId="0" fillId="0" borderId="0" xfId="1" applyNumberFormat="1" applyFont="1" applyBorder="1"/>
    <xf numFmtId="0" fontId="0" fillId="0" borderId="1" xfId="0" applyBorder="1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ercent" xfId="1" builtinId="5"/>
  </cellStyles>
  <dxfs count="8"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2" formatCode="0.00"/>
    </dxf>
    <dxf>
      <numFmt numFmtId="2" formatCode="0.0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6AB560-B153-403E-B57C-82C4754AD01F}" name="Table2" displayName="Table2" ref="A1:AH350" totalsRowShown="0" tableBorderDxfId="7">
  <autoFilter ref="A1:AH350" xr:uid="{08105642-8881-4530-A55E-39A230B7B3E4}"/>
  <sortState ref="A2:AH350">
    <sortCondition descending="1" ref="AH1:AH350"/>
  </sortState>
  <tableColumns count="34">
    <tableColumn id="1" xr3:uid="{5309BDBB-682F-4347-9A3E-9F2CAD7333C4}" name="Name"/>
    <tableColumn id="2" xr3:uid="{41655B0D-AF13-413E-BCB6-FC8406037954}" name="P"/>
    <tableColumn id="3" xr3:uid="{6CD7617A-5DB1-4863-9FE3-BE9204BD0BE6}" name="Age"/>
    <tableColumn id="4" xr3:uid="{09FAC0B5-0361-483A-AD7D-61C9C38BAD80}" name="AVG"/>
    <tableColumn id="5" xr3:uid="{CEDF0BA3-6AED-4E10-81F8-7A4A69D92CE9}" name="OBP"/>
    <tableColumn id="6" xr3:uid="{6FEE4818-5E23-44C0-99BD-356F5329CD3B}" name="SPC"/>
    <tableColumn id="7" xr3:uid="{DFD5FEFC-960E-428B-8F32-BEDC4C55E484}" name="AB"/>
    <tableColumn id="8" xr3:uid="{391C1B4E-0660-43A7-B196-51976C8F57A0}" name="H"/>
    <tableColumn id="9" xr3:uid="{2AFC07B7-ECBB-40BA-A1A6-00E85E6F12AD}" name="2B"/>
    <tableColumn id="10" xr3:uid="{479AEBA9-1F86-46BC-B5AD-7FEFC0C65CFF}" name="3B"/>
    <tableColumn id="11" xr3:uid="{F31CA79F-24CA-404F-8BCB-86CB89356048}" name="HR"/>
    <tableColumn id="12" xr3:uid="{8E19F379-83FB-4CD1-A61B-5F5BDD02E586}" name="R"/>
    <tableColumn id="13" xr3:uid="{C8C82015-EA88-487C-9232-0D5F8DE5C5A3}" name="RBI"/>
    <tableColumn id="14" xr3:uid="{83FEC1B2-EEFF-405C-BE66-0EB4CD3BCC53}" name="HBP"/>
    <tableColumn id="15" xr3:uid="{5C600463-849C-400B-9F46-E353822A646A}" name="BB"/>
    <tableColumn id="16" xr3:uid="{FC7E29A0-E33A-4862-85F1-8FE986D3A254}" name="K"/>
    <tableColumn id="17" xr3:uid="{D49DD921-009C-4595-96FB-6CAE10779A6C}" name="SB"/>
    <tableColumn id="18" xr3:uid="{0ECED437-7D05-40B9-B369-BB60E2AF8C72}" name="CS"/>
    <tableColumn id="19" xr3:uid="{EE0D5C24-8911-4CDB-B399-DBAB323D428B}" name="Stat" dataDxfId="6">
      <calculatedColumnFormula>AH2/10</calculatedColumnFormula>
    </tableColumn>
    <tableColumn id="20" xr3:uid="{518A4783-F383-4128-BEC7-18123C06B999}" name="Scout"/>
    <tableColumn id="21" xr3:uid="{B45AF54C-FC3E-4F41-A4F5-A6897965571A}" name="PV+" dataDxfId="5">
      <calculatedColumnFormula>(S2*2)+T2</calculatedColumnFormula>
    </tableColumn>
    <tableColumn id="22" xr3:uid="{FC942FF4-6290-47CE-A1F4-DBE7A01A7F38}" name="STOUT" dataDxfId="4">
      <calculatedColumnFormula>S2+T2</calculatedColumnFormula>
    </tableColumn>
    <tableColumn id="23" xr3:uid="{97D45DDE-0551-4A14-9D2A-555DC115BF74}" name="Notes"/>
    <tableColumn id="24" xr3:uid="{C986FC6B-D222-4208-8860-50B85566C2A4}" name="Column1"/>
    <tableColumn id="25" xr3:uid="{D2FDAB36-DAFB-480E-9941-F61FAC046A7F}" name="Hit"/>
    <tableColumn id="26" xr3:uid="{EDA260B7-3D5D-4957-9F3E-09D63403B92C}" name="Approach"/>
    <tableColumn id="27" xr3:uid="{F715C644-067D-425C-9FB9-5461955C1474}" name="Pwr"/>
    <tableColumn id="28" xr3:uid="{3B0FFF95-2AB9-49BF-8B9A-C21CFF1B801B}" name="Position" dataDxfId="0">
      <calculatedColumnFormula>_xlfn.IFS(B2="c", 8, B2="ss", 10, B2="cf", 8,  B2="2b", 8, B2="3b", 6, B2="rf", 4, B2="lf", 2, B2="1b", 2, B2 ="dh", 1)</calculatedColumnFormula>
    </tableColumn>
    <tableColumn id="29" xr3:uid="{FE9574AE-FEC7-4008-A71A-B375D18898A7}" name="PA">
      <calculatedColumnFormula>(G2+N2+O2)</calculatedColumnFormula>
    </tableColumn>
    <tableColumn id="30" xr3:uid="{43293C7D-2EA6-43F5-A15A-C4BF66A5F146}" name="K%" dataDxfId="3" dataCellStyle="Percent">
      <calculatedColumnFormula>P2/AC2</calculatedColumnFormula>
    </tableColumn>
    <tableColumn id="31" xr3:uid="{E787B75D-9537-4362-98DC-F6AA3D76C757}" name="BB%" dataDxfId="2" dataCellStyle="Percent">
      <calculatedColumnFormula>(N2+O2)/AC2</calculatedColumnFormula>
    </tableColumn>
    <tableColumn id="32" xr3:uid="{8F1E15CD-6275-4A7E-B74C-3D0E9ADC97AA}" name="K% Adj" dataDxfId="1">
      <calculatedColumnFormula>100-((AD2-AE2)*100)</calculatedColumnFormula>
    </tableColumn>
    <tableColumn id="33" xr3:uid="{EC6ADD08-09D3-4975-B486-2A1F2613CFF7}" name="ISO">
      <calculatedColumnFormula>(F2-D2)*1000</calculatedColumnFormula>
    </tableColumn>
    <tableColumn id="34" xr3:uid="{54FBF59D-F91E-4D14-8FA4-28BEEAAA4815}" name="PV Raw">
      <calculatedColumnFormula>(((AF2+AG2)/2)*(AC2/100)*AB2)/C2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FC46-3967-4C7A-9FD2-0B82A317315B}">
  <dimension ref="A1:AH350"/>
  <sheetViews>
    <sheetView workbookViewId="0">
      <selection activeCell="S2" sqref="S2"/>
    </sheetView>
  </sheetViews>
  <sheetFormatPr defaultRowHeight="14.5" x14ac:dyDescent="0.35"/>
  <cols>
    <col min="1" max="1" width="18.90625" bestFit="1" customWidth="1"/>
    <col min="2" max="2" width="3.90625" customWidth="1"/>
    <col min="3" max="3" width="5.90625" customWidth="1"/>
    <col min="4" max="4" width="6.453125" customWidth="1"/>
    <col min="5" max="5" width="6.36328125" customWidth="1"/>
    <col min="6" max="6" width="6" bestFit="1" customWidth="1"/>
    <col min="7" max="7" width="5.08984375" customWidth="1"/>
    <col min="8" max="8" width="4.08984375" customWidth="1"/>
    <col min="9" max="10" width="4.90625" customWidth="1"/>
    <col min="11" max="11" width="5.1796875" customWidth="1"/>
    <col min="12" max="12" width="3.90625" customWidth="1"/>
    <col min="13" max="13" width="5.81640625" bestFit="1" customWidth="1"/>
    <col min="14" max="14" width="6.26953125" customWidth="1"/>
    <col min="15" max="15" width="5" customWidth="1"/>
    <col min="16" max="16" width="4" bestFit="1" customWidth="1"/>
    <col min="17" max="18" width="4.81640625" customWidth="1"/>
    <col min="21" max="22" width="8.7265625" style="2"/>
    <col min="24" max="24" width="10.26953125" customWidth="1"/>
    <col min="26" max="26" width="10.90625" customWidth="1"/>
    <col min="28" max="28" width="9.6328125" customWidth="1"/>
    <col min="30" max="31" width="9.1796875" style="2"/>
    <col min="34" max="34" width="9.08984375" customWidth="1"/>
  </cols>
  <sheetData>
    <row r="1" spans="1:34" x14ac:dyDescent="0.35">
      <c r="A1" s="3" t="s">
        <v>943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6" t="s">
        <v>927</v>
      </c>
      <c r="T1" s="3" t="s">
        <v>928</v>
      </c>
      <c r="U1" s="3" t="s">
        <v>940</v>
      </c>
      <c r="V1" s="3" t="s">
        <v>941</v>
      </c>
      <c r="W1" s="3" t="s">
        <v>929</v>
      </c>
      <c r="X1" s="3" t="s">
        <v>942</v>
      </c>
      <c r="Y1" s="3" t="s">
        <v>930</v>
      </c>
      <c r="Z1" s="3" t="s">
        <v>932</v>
      </c>
      <c r="AA1" s="3" t="s">
        <v>931</v>
      </c>
      <c r="AB1" s="3" t="s">
        <v>933</v>
      </c>
      <c r="AC1" s="3" t="s">
        <v>934</v>
      </c>
      <c r="AD1" s="3" t="s">
        <v>935</v>
      </c>
      <c r="AE1" s="3" t="s">
        <v>936</v>
      </c>
      <c r="AF1" s="3" t="s">
        <v>937</v>
      </c>
      <c r="AG1" s="3" t="s">
        <v>938</v>
      </c>
      <c r="AH1" s="3" t="s">
        <v>939</v>
      </c>
    </row>
    <row r="2" spans="1:34" x14ac:dyDescent="0.35">
      <c r="A2" s="3" t="s">
        <v>68</v>
      </c>
      <c r="B2" s="3" t="s">
        <v>18</v>
      </c>
      <c r="C2" s="3">
        <v>23</v>
      </c>
      <c r="D2" s="3">
        <v>0.23100000000000001</v>
      </c>
      <c r="E2" s="3">
        <v>0.28699999999999998</v>
      </c>
      <c r="F2" s="3">
        <v>0.41299999999999998</v>
      </c>
      <c r="G2" s="3">
        <v>537</v>
      </c>
      <c r="H2" s="3">
        <v>124</v>
      </c>
      <c r="I2" s="3">
        <v>33</v>
      </c>
      <c r="J2" s="3">
        <v>1</v>
      </c>
      <c r="K2" s="3">
        <v>21</v>
      </c>
      <c r="L2" s="3">
        <v>72</v>
      </c>
      <c r="M2" s="3">
        <v>67</v>
      </c>
      <c r="N2" s="3">
        <v>8</v>
      </c>
      <c r="O2" s="3">
        <v>36</v>
      </c>
      <c r="P2" s="3">
        <v>113</v>
      </c>
      <c r="Q2" s="3">
        <v>16</v>
      </c>
      <c r="R2" s="3">
        <v>3</v>
      </c>
      <c r="S2" s="6">
        <f>AH2/10</f>
        <v>27.29426086956521</v>
      </c>
      <c r="T2" s="3">
        <v>40</v>
      </c>
      <c r="U2" s="4">
        <f>(S2*2)+T2</f>
        <v>94.588521739130414</v>
      </c>
      <c r="V2" s="4">
        <f>S2+T2</f>
        <v>67.294260869565207</v>
      </c>
      <c r="W2" s="3"/>
      <c r="X2" s="3"/>
      <c r="Y2" s="3"/>
      <c r="Z2" s="3"/>
      <c r="AA2" s="3"/>
      <c r="AB2" s="3">
        <f>_xlfn.IFS(B2="c", 8, B2="ss", 10, B2="cf", 8,  B2="2b", 8, B2="3b", 6, B2="rf", 4, B2="lf", 2, B2="1b", 2, B2 ="dh", 1)</f>
        <v>8</v>
      </c>
      <c r="AC2" s="3">
        <f>(G2+N2+O2)</f>
        <v>581</v>
      </c>
      <c r="AD2" s="5">
        <f>P2/AC2</f>
        <v>0.1944922547332186</v>
      </c>
      <c r="AE2" s="5">
        <f>(N2+O2)/AC2</f>
        <v>7.5731497418244406E-2</v>
      </c>
      <c r="AF2" s="4">
        <f>100-((AD2-AE2)*100)</f>
        <v>88.123924268502577</v>
      </c>
      <c r="AG2" s="3">
        <f>(F2-D2)*1000</f>
        <v>181.99999999999997</v>
      </c>
      <c r="AH2" s="3">
        <f>(((AF2+AG2)/2)*(AC2/100)*AB2)/C2</f>
        <v>272.9426086956521</v>
      </c>
    </row>
    <row r="3" spans="1:34" x14ac:dyDescent="0.35">
      <c r="A3" s="3" t="s">
        <v>66</v>
      </c>
      <c r="B3" s="3" t="s">
        <v>25</v>
      </c>
      <c r="C3" s="3">
        <v>23</v>
      </c>
      <c r="D3" s="3">
        <v>0.23899999999999999</v>
      </c>
      <c r="E3" s="3">
        <v>0.311</v>
      </c>
      <c r="F3" s="3">
        <v>0.52900000000000003</v>
      </c>
      <c r="G3" s="3">
        <v>255</v>
      </c>
      <c r="H3" s="3">
        <v>61</v>
      </c>
      <c r="I3" s="3">
        <v>9</v>
      </c>
      <c r="J3" s="3">
        <v>1</v>
      </c>
      <c r="K3" s="3">
        <v>21</v>
      </c>
      <c r="L3" s="3">
        <v>43</v>
      </c>
      <c r="M3" s="3">
        <v>55</v>
      </c>
      <c r="N3" s="3">
        <v>2</v>
      </c>
      <c r="O3" s="3">
        <v>25</v>
      </c>
      <c r="P3" s="3">
        <v>83</v>
      </c>
      <c r="Q3" s="3">
        <v>0</v>
      </c>
      <c r="R3" s="3">
        <v>0</v>
      </c>
      <c r="S3" s="6">
        <f>AH3/10</f>
        <v>22.69130434782609</v>
      </c>
      <c r="T3" s="3">
        <v>50</v>
      </c>
      <c r="U3" s="4">
        <f>(S3*2)+T3</f>
        <v>95.382608695652181</v>
      </c>
      <c r="V3" s="4">
        <f>S3+T3</f>
        <v>72.69130434782609</v>
      </c>
      <c r="W3" s="3"/>
      <c r="X3" s="3"/>
      <c r="Y3" s="3"/>
      <c r="Z3" s="3"/>
      <c r="AA3" s="3"/>
      <c r="AB3" s="3">
        <f>_xlfn.IFS(B3="c", 8, B3="ss", 10, B3="cf", 8,  B3="2b", 8, B3="3b", 6, B3="rf", 4, B3="lf", 2, B3="1b", 2, B3 ="dh", 1)</f>
        <v>10</v>
      </c>
      <c r="AC3" s="3">
        <f>(G3+N3+O3)</f>
        <v>282</v>
      </c>
      <c r="AD3" s="5">
        <f>P3/AC3</f>
        <v>0.29432624113475175</v>
      </c>
      <c r="AE3" s="5">
        <f>(N3+O3)/AC3</f>
        <v>9.5744680851063829E-2</v>
      </c>
      <c r="AF3" s="4">
        <f>100-((AD3-AE3)*100)</f>
        <v>80.141843971631204</v>
      </c>
      <c r="AG3" s="3">
        <f>(F3-D3)*1000</f>
        <v>290.00000000000006</v>
      </c>
      <c r="AH3" s="3">
        <f>(((AF3+AG3)/2)*(AC3/100)*AB3)/C3</f>
        <v>226.9130434782609</v>
      </c>
    </row>
    <row r="4" spans="1:34" x14ac:dyDescent="0.35">
      <c r="A4" s="3" t="s">
        <v>75</v>
      </c>
      <c r="B4" s="3" t="s">
        <v>18</v>
      </c>
      <c r="C4" s="3">
        <v>24</v>
      </c>
      <c r="D4" s="3">
        <v>0.27400000000000002</v>
      </c>
      <c r="E4" s="3">
        <v>0.34100000000000003</v>
      </c>
      <c r="F4" s="3">
        <v>0.46899999999999997</v>
      </c>
      <c r="G4" s="3">
        <v>405</v>
      </c>
      <c r="H4" s="3">
        <v>111</v>
      </c>
      <c r="I4" s="3">
        <v>18</v>
      </c>
      <c r="J4" s="3">
        <v>2</v>
      </c>
      <c r="K4" s="3">
        <v>19</v>
      </c>
      <c r="L4" s="3">
        <v>56</v>
      </c>
      <c r="M4" s="3">
        <v>80</v>
      </c>
      <c r="N4" s="3">
        <v>3</v>
      </c>
      <c r="O4" s="3">
        <v>38</v>
      </c>
      <c r="P4" s="3">
        <v>68</v>
      </c>
      <c r="Q4" s="3">
        <v>0</v>
      </c>
      <c r="R4" s="3">
        <v>0</v>
      </c>
      <c r="S4" s="6">
        <f>AH4/10</f>
        <v>21.478333333333332</v>
      </c>
      <c r="T4" s="3">
        <v>60</v>
      </c>
      <c r="U4" s="4">
        <f>(S4*2)+T4</f>
        <v>102.95666666666666</v>
      </c>
      <c r="V4" s="4">
        <f>S4+T4</f>
        <v>81.478333333333325</v>
      </c>
      <c r="W4" s="3"/>
      <c r="X4" s="3"/>
      <c r="Y4" s="3"/>
      <c r="Z4" s="3"/>
      <c r="AA4" s="3"/>
      <c r="AB4" s="3">
        <f>_xlfn.IFS(B4="c", 8, B4="ss", 10, B4="cf", 8,  B4="2b", 8, B4="3b", 6, B4="rf", 4, B4="lf", 2, B4="1b", 2, B4 ="dh", 1)</f>
        <v>8</v>
      </c>
      <c r="AC4" s="3">
        <f>(G4+N4+O4)</f>
        <v>446</v>
      </c>
      <c r="AD4" s="5">
        <f>P4/AC4</f>
        <v>0.15246636771300448</v>
      </c>
      <c r="AE4" s="5">
        <f>(N4+O4)/AC4</f>
        <v>9.1928251121076235E-2</v>
      </c>
      <c r="AF4" s="4">
        <f>100-((AD4-AE4)*100)</f>
        <v>93.946188340807169</v>
      </c>
      <c r="AG4" s="3">
        <f>(F4-D4)*1000</f>
        <v>194.99999999999994</v>
      </c>
      <c r="AH4" s="3">
        <f>(((AF4+AG4)/2)*(AC4/100)*AB4)/C4</f>
        <v>214.7833333333333</v>
      </c>
    </row>
    <row r="5" spans="1:34" x14ac:dyDescent="0.35">
      <c r="A5" s="3" t="s">
        <v>64</v>
      </c>
      <c r="B5" s="3" t="s">
        <v>25</v>
      </c>
      <c r="C5" s="3">
        <v>23</v>
      </c>
      <c r="D5" s="3">
        <v>0.253</v>
      </c>
      <c r="E5" s="3">
        <v>0.32900000000000001</v>
      </c>
      <c r="F5" s="3">
        <v>0.32</v>
      </c>
      <c r="G5" s="3">
        <v>450</v>
      </c>
      <c r="H5" s="3">
        <v>114</v>
      </c>
      <c r="I5" s="3">
        <v>15</v>
      </c>
      <c r="J5" s="3">
        <v>0</v>
      </c>
      <c r="K5" s="3">
        <v>5</v>
      </c>
      <c r="L5" s="3">
        <v>54</v>
      </c>
      <c r="M5" s="3">
        <v>23</v>
      </c>
      <c r="N5" s="3">
        <v>6</v>
      </c>
      <c r="O5" s="3">
        <v>45</v>
      </c>
      <c r="P5" s="3">
        <v>72</v>
      </c>
      <c r="Q5" s="3">
        <v>14</v>
      </c>
      <c r="R5" s="3">
        <v>4</v>
      </c>
      <c r="S5" s="6">
        <f>AH5/10</f>
        <v>17.731956521739129</v>
      </c>
      <c r="T5" s="3">
        <v>40</v>
      </c>
      <c r="U5" s="4">
        <f>(S5*2)+T5</f>
        <v>75.463913043478257</v>
      </c>
      <c r="V5" s="4">
        <f>S5+T5</f>
        <v>57.731956521739129</v>
      </c>
      <c r="W5" s="3"/>
      <c r="X5" s="3"/>
      <c r="Y5" s="3"/>
      <c r="Z5" s="3"/>
      <c r="AA5" s="3"/>
      <c r="AB5" s="3">
        <f>_xlfn.IFS(B5="c", 8, B5="ss", 10, B5="cf", 8,  B5="2b", 8, B5="3b", 6, B5="rf", 4, B5="lf", 2, B5="1b", 2, B5 ="dh", 1)</f>
        <v>10</v>
      </c>
      <c r="AC5" s="3">
        <f>(G5+N5+O5)</f>
        <v>501</v>
      </c>
      <c r="AD5" s="5">
        <f>P5/AC5</f>
        <v>0.1437125748502994</v>
      </c>
      <c r="AE5" s="5">
        <f>(N5+O5)/AC5</f>
        <v>0.10179640718562874</v>
      </c>
      <c r="AF5" s="4">
        <f>100-((AD5-AE5)*100)</f>
        <v>95.808383233532936</v>
      </c>
      <c r="AG5" s="3">
        <f>(F5-D5)*1000</f>
        <v>67</v>
      </c>
      <c r="AH5" s="3">
        <f>(((AF5+AG5)/2)*(AC5/100)*AB5)/C5</f>
        <v>177.3195652173913</v>
      </c>
    </row>
    <row r="6" spans="1:34" x14ac:dyDescent="0.35">
      <c r="A6" s="3" t="s">
        <v>70</v>
      </c>
      <c r="B6" s="3" t="s">
        <v>32</v>
      </c>
      <c r="C6" s="3">
        <v>23</v>
      </c>
      <c r="D6" s="3">
        <v>0.22600000000000001</v>
      </c>
      <c r="E6" s="3">
        <v>0.29499999999999998</v>
      </c>
      <c r="F6" s="3">
        <v>0.39400000000000002</v>
      </c>
      <c r="G6" s="3">
        <v>393</v>
      </c>
      <c r="H6" s="3">
        <v>89</v>
      </c>
      <c r="I6" s="3">
        <v>21</v>
      </c>
      <c r="J6" s="3">
        <v>3</v>
      </c>
      <c r="K6" s="3">
        <v>13</v>
      </c>
      <c r="L6" s="3">
        <v>57</v>
      </c>
      <c r="M6" s="3">
        <v>44</v>
      </c>
      <c r="N6" s="3">
        <v>2</v>
      </c>
      <c r="O6" s="3">
        <v>38</v>
      </c>
      <c r="P6" s="3">
        <v>94</v>
      </c>
      <c r="Q6" s="3">
        <v>17</v>
      </c>
      <c r="R6" s="3">
        <v>5</v>
      </c>
      <c r="S6" s="6">
        <f>AH6/10</f>
        <v>14.431826086956523</v>
      </c>
      <c r="T6" s="3">
        <v>40</v>
      </c>
      <c r="U6" s="4">
        <f>(S6*2)+T6</f>
        <v>68.863652173913039</v>
      </c>
      <c r="V6" s="4">
        <f>S6+T6</f>
        <v>54.431826086956519</v>
      </c>
      <c r="W6" s="3"/>
      <c r="X6" s="3"/>
      <c r="Y6" s="3"/>
      <c r="Z6" s="3"/>
      <c r="AA6" s="3"/>
      <c r="AB6" s="3">
        <f>_xlfn.IFS(B6="c", 8, B6="ss", 10, B6="cf", 8,  B6="2b", 8, B6="3b", 6, B6="rf", 4, B6="lf", 2, B6="1b", 2, B6 ="dh", 1)</f>
        <v>6</v>
      </c>
      <c r="AC6" s="3">
        <f>(G6+N6+O6)</f>
        <v>433</v>
      </c>
      <c r="AD6" s="5">
        <f>P6/AC6</f>
        <v>0.21709006928406466</v>
      </c>
      <c r="AE6" s="5">
        <f>(N6+O6)/AC6</f>
        <v>9.237875288683603E-2</v>
      </c>
      <c r="AF6" s="4">
        <f>100-((AD6-AE6)*100)</f>
        <v>87.52886836027713</v>
      </c>
      <c r="AG6" s="3">
        <f>(F6-D6)*1000</f>
        <v>168</v>
      </c>
      <c r="AH6" s="3">
        <f>(((AF6+AG6)/2)*(AC6/100)*AB6)/C6</f>
        <v>144.31826086956522</v>
      </c>
    </row>
    <row r="7" spans="1:34" x14ac:dyDescent="0.35">
      <c r="A7" s="3" t="s">
        <v>110</v>
      </c>
      <c r="B7" s="3" t="s">
        <v>32</v>
      </c>
      <c r="C7" s="3">
        <v>25</v>
      </c>
      <c r="D7" s="3">
        <v>0.25600000000000001</v>
      </c>
      <c r="E7" s="3">
        <v>0.33400000000000002</v>
      </c>
      <c r="F7" s="3">
        <v>0.38700000000000001</v>
      </c>
      <c r="G7" s="3">
        <v>445</v>
      </c>
      <c r="H7" s="3">
        <v>114</v>
      </c>
      <c r="I7" s="3">
        <v>25</v>
      </c>
      <c r="J7" s="3">
        <v>0</v>
      </c>
      <c r="K7" s="3">
        <v>11</v>
      </c>
      <c r="L7" s="3">
        <v>60</v>
      </c>
      <c r="M7" s="3">
        <v>53</v>
      </c>
      <c r="N7" s="3">
        <v>24</v>
      </c>
      <c r="O7" s="3">
        <v>30</v>
      </c>
      <c r="P7" s="3">
        <v>50</v>
      </c>
      <c r="Q7" s="3">
        <v>18</v>
      </c>
      <c r="R7" s="3">
        <v>6</v>
      </c>
      <c r="S7" s="6">
        <f>AH7/10</f>
        <v>13.880280000000003</v>
      </c>
      <c r="T7" s="3">
        <v>40</v>
      </c>
      <c r="U7" s="4">
        <f>(S7*2)+T7</f>
        <v>67.760559999999998</v>
      </c>
      <c r="V7" s="4">
        <f>S7+T7</f>
        <v>53.880279999999999</v>
      </c>
      <c r="W7" s="3"/>
      <c r="X7" s="3"/>
      <c r="Y7" s="3"/>
      <c r="Z7" s="3"/>
      <c r="AA7" s="3"/>
      <c r="AB7" s="3">
        <f>_xlfn.IFS(B7="c", 8, B7="ss", 10, B7="cf", 8,  B7="2b", 8, B7="3b", 6, B7="rf", 4, B7="lf", 2, B7="1b", 2, B7 ="dh", 1)</f>
        <v>6</v>
      </c>
      <c r="AC7" s="3">
        <f>(G7+N7+O7)</f>
        <v>499</v>
      </c>
      <c r="AD7" s="5">
        <f>P7/AC7</f>
        <v>0.10020040080160321</v>
      </c>
      <c r="AE7" s="5">
        <f>(N7+O7)/AC7</f>
        <v>0.10821643286573146</v>
      </c>
      <c r="AF7" s="4">
        <f>100-((AD7-AE7)*100)</f>
        <v>100.80160320641282</v>
      </c>
      <c r="AG7" s="3">
        <f>(F7-D7)*1000</f>
        <v>131</v>
      </c>
      <c r="AH7" s="3">
        <f>(((AF7+AG7)/2)*(AC7/100)*AB7)/C7</f>
        <v>138.80280000000002</v>
      </c>
    </row>
    <row r="8" spans="1:34" x14ac:dyDescent="0.35">
      <c r="A8" s="3" t="s">
        <v>48</v>
      </c>
      <c r="B8" s="3" t="s">
        <v>18</v>
      </c>
      <c r="C8" s="3">
        <v>22</v>
      </c>
      <c r="D8" s="3">
        <v>0.26800000000000002</v>
      </c>
      <c r="E8" s="3">
        <v>0.33300000000000002</v>
      </c>
      <c r="F8" s="3">
        <v>0.35599999999999998</v>
      </c>
      <c r="G8" s="3">
        <v>365</v>
      </c>
      <c r="H8" s="3">
        <v>98</v>
      </c>
      <c r="I8" s="3">
        <v>17</v>
      </c>
      <c r="J8" s="3">
        <v>0</v>
      </c>
      <c r="K8" s="3">
        <v>5</v>
      </c>
      <c r="L8" s="3">
        <v>31</v>
      </c>
      <c r="M8" s="3">
        <v>36</v>
      </c>
      <c r="N8" s="3">
        <v>4</v>
      </c>
      <c r="O8" s="3">
        <v>32</v>
      </c>
      <c r="P8" s="3">
        <v>71</v>
      </c>
      <c r="Q8" s="3">
        <v>0</v>
      </c>
      <c r="R8" s="3">
        <v>1</v>
      </c>
      <c r="S8" s="6">
        <f>AH8/10</f>
        <v>13.070545454545453</v>
      </c>
      <c r="T8" s="3">
        <v>50</v>
      </c>
      <c r="U8" s="4">
        <f>(S8*2)+T8</f>
        <v>76.141090909090906</v>
      </c>
      <c r="V8" s="4">
        <f>S8+T8</f>
        <v>63.070545454545453</v>
      </c>
      <c r="W8" s="3"/>
      <c r="X8" s="3"/>
      <c r="Y8" s="3"/>
      <c r="Z8" s="3"/>
      <c r="AA8" s="3"/>
      <c r="AB8" s="3">
        <f>_xlfn.IFS(B8="c", 8, B8="ss", 10, B8="cf", 8,  B8="2b", 8, B8="3b", 6, B8="rf", 4, B8="lf", 2, B8="1b", 2, B8 ="dh", 1)</f>
        <v>8</v>
      </c>
      <c r="AC8" s="3">
        <f>(G8+N8+O8)</f>
        <v>401</v>
      </c>
      <c r="AD8" s="5">
        <f>P8/AC8</f>
        <v>0.17705735660847879</v>
      </c>
      <c r="AE8" s="5">
        <f>(N8+O8)/AC8</f>
        <v>8.9775561097256859E-2</v>
      </c>
      <c r="AF8" s="4">
        <f>100-((AD8-AE8)*100)</f>
        <v>91.271820448877804</v>
      </c>
      <c r="AG8" s="3">
        <f>(F8-D8)*1000</f>
        <v>87.999999999999972</v>
      </c>
      <c r="AH8" s="3">
        <f>(((AF8+AG8)/2)*(AC8/100)*AB8)/C8</f>
        <v>130.70545454545453</v>
      </c>
    </row>
    <row r="9" spans="1:34" x14ac:dyDescent="0.35">
      <c r="A9" s="3" t="s">
        <v>144</v>
      </c>
      <c r="B9" s="3" t="s">
        <v>18</v>
      </c>
      <c r="C9" s="3">
        <v>26</v>
      </c>
      <c r="D9" s="3">
        <v>0.247</v>
      </c>
      <c r="E9" s="3">
        <v>0.34599999999999997</v>
      </c>
      <c r="F9" s="3">
        <v>0.34599999999999997</v>
      </c>
      <c r="G9" s="3">
        <v>332</v>
      </c>
      <c r="H9" s="3">
        <v>82</v>
      </c>
      <c r="I9" s="3">
        <v>13</v>
      </c>
      <c r="J9" s="3">
        <v>1</v>
      </c>
      <c r="K9" s="3">
        <v>6</v>
      </c>
      <c r="L9" s="3">
        <v>37</v>
      </c>
      <c r="M9" s="3">
        <v>45</v>
      </c>
      <c r="N9" s="3">
        <v>9</v>
      </c>
      <c r="O9" s="3">
        <v>43</v>
      </c>
      <c r="P9" s="3">
        <v>56</v>
      </c>
      <c r="Q9" s="3">
        <v>2</v>
      </c>
      <c r="R9" s="3">
        <v>0</v>
      </c>
      <c r="S9" s="6">
        <f>AH9/10</f>
        <v>11.694769230769229</v>
      </c>
      <c r="T9" s="3">
        <v>40</v>
      </c>
      <c r="U9" s="4">
        <f>(S9*2)+T9</f>
        <v>63.389538461538457</v>
      </c>
      <c r="V9" s="4">
        <f>S9+T9</f>
        <v>51.694769230769225</v>
      </c>
      <c r="W9" s="3"/>
      <c r="X9" s="3"/>
      <c r="Y9" s="3"/>
      <c r="Z9" s="3"/>
      <c r="AA9" s="3"/>
      <c r="AB9" s="3">
        <f>_xlfn.IFS(B9="c", 8, B9="ss", 10, B9="cf", 8,  B9="2b", 8, B9="3b", 6, B9="rf", 4, B9="lf", 2, B9="1b", 2, B9 ="dh", 1)</f>
        <v>8</v>
      </c>
      <c r="AC9" s="3">
        <f>(G9+N9+O9)</f>
        <v>384</v>
      </c>
      <c r="AD9" s="5">
        <f>P9/AC9</f>
        <v>0.14583333333333334</v>
      </c>
      <c r="AE9" s="5">
        <f>(N9+O9)/AC9</f>
        <v>0.13541666666666666</v>
      </c>
      <c r="AF9" s="4">
        <f>100-((AD9-AE9)*100)</f>
        <v>98.958333333333329</v>
      </c>
      <c r="AG9" s="3">
        <f>(F9-D9)*1000</f>
        <v>98.999999999999972</v>
      </c>
      <c r="AH9" s="3">
        <f>(((AF9+AG9)/2)*(AC9/100)*AB9)/C9</f>
        <v>116.94769230769228</v>
      </c>
    </row>
    <row r="10" spans="1:34" x14ac:dyDescent="0.35">
      <c r="A10" s="3" t="s">
        <v>71</v>
      </c>
      <c r="B10" s="3" t="s">
        <v>18</v>
      </c>
      <c r="C10" s="3">
        <v>23</v>
      </c>
      <c r="D10" s="3">
        <v>0.27300000000000002</v>
      </c>
      <c r="E10" s="3">
        <v>0.375</v>
      </c>
      <c r="F10" s="3">
        <v>0.41099999999999998</v>
      </c>
      <c r="G10" s="3">
        <v>253</v>
      </c>
      <c r="H10" s="3">
        <v>69</v>
      </c>
      <c r="I10" s="3">
        <v>11</v>
      </c>
      <c r="J10" s="3">
        <v>0</v>
      </c>
      <c r="K10" s="3">
        <v>8</v>
      </c>
      <c r="L10" s="3">
        <v>38</v>
      </c>
      <c r="M10" s="3">
        <v>35</v>
      </c>
      <c r="N10" s="3">
        <v>5</v>
      </c>
      <c r="O10" s="3">
        <v>37</v>
      </c>
      <c r="P10" s="3">
        <v>77</v>
      </c>
      <c r="Q10" s="3">
        <v>3</v>
      </c>
      <c r="R10" s="3">
        <v>1</v>
      </c>
      <c r="S10" s="6">
        <f>AH10/10</f>
        <v>11.601739130434781</v>
      </c>
      <c r="T10" s="3">
        <v>50</v>
      </c>
      <c r="U10" s="4">
        <f>(S10*2)+T10</f>
        <v>73.203478260869559</v>
      </c>
      <c r="V10" s="4">
        <f>S10+T10</f>
        <v>61.60173913043478</v>
      </c>
      <c r="W10" s="3"/>
      <c r="X10" s="3"/>
      <c r="Y10" s="3"/>
      <c r="Z10" s="3"/>
      <c r="AA10" s="3"/>
      <c r="AB10" s="3">
        <f>_xlfn.IFS(B10="c", 8, B10="ss", 10, B10="cf", 8,  B10="2b", 8, B10="3b", 6, B10="rf", 4, B10="lf", 2, B10="1b", 2, B10 ="dh", 1)</f>
        <v>8</v>
      </c>
      <c r="AC10" s="3">
        <f>(G10+N10+O10)</f>
        <v>295</v>
      </c>
      <c r="AD10" s="5">
        <f>P10/AC10</f>
        <v>0.26101694915254237</v>
      </c>
      <c r="AE10" s="5">
        <f>(N10+O10)/AC10</f>
        <v>0.14237288135593221</v>
      </c>
      <c r="AF10" s="4">
        <f>100-((AD10-AE10)*100)</f>
        <v>88.13559322033899</v>
      </c>
      <c r="AG10" s="3">
        <f>(F10-D10)*1000</f>
        <v>137.99999999999994</v>
      </c>
      <c r="AH10" s="3">
        <f>(((AF10+AG10)/2)*(AC10/100)*AB10)/C10</f>
        <v>116.01739130434781</v>
      </c>
    </row>
    <row r="11" spans="1:34" x14ac:dyDescent="0.35">
      <c r="A11" s="3" t="s">
        <v>126</v>
      </c>
      <c r="B11" s="3" t="s">
        <v>25</v>
      </c>
      <c r="C11" s="3">
        <v>25</v>
      </c>
      <c r="D11" s="3">
        <v>0.19600000000000001</v>
      </c>
      <c r="E11" s="3">
        <v>0.25800000000000001</v>
      </c>
      <c r="F11" s="3">
        <v>0.29099999999999998</v>
      </c>
      <c r="G11" s="3">
        <v>296</v>
      </c>
      <c r="H11" s="3">
        <v>58</v>
      </c>
      <c r="I11" s="3">
        <v>6</v>
      </c>
      <c r="J11" s="3">
        <v>2</v>
      </c>
      <c r="K11" s="3">
        <v>6</v>
      </c>
      <c r="L11" s="3">
        <v>36</v>
      </c>
      <c r="M11" s="3">
        <v>32</v>
      </c>
      <c r="N11" s="3">
        <v>0</v>
      </c>
      <c r="O11" s="3">
        <v>26</v>
      </c>
      <c r="P11" s="3">
        <v>92</v>
      </c>
      <c r="Q11" s="3">
        <v>3</v>
      </c>
      <c r="R11" s="3">
        <v>1</v>
      </c>
      <c r="S11" s="6">
        <f>AH11/10</f>
        <v>11.238</v>
      </c>
      <c r="T11" s="3">
        <v>40</v>
      </c>
      <c r="U11" s="4">
        <f>(S11*2)+T11</f>
        <v>62.475999999999999</v>
      </c>
      <c r="V11" s="4">
        <f>S11+T11</f>
        <v>51.238</v>
      </c>
      <c r="W11" s="3"/>
      <c r="X11" s="3"/>
      <c r="Y11" s="3"/>
      <c r="Z11" s="3"/>
      <c r="AA11" s="3"/>
      <c r="AB11" s="3">
        <f>_xlfn.IFS(B11="c", 8, B11="ss", 10, B11="cf", 8,  B11="2b", 8, B11="3b", 6, B11="rf", 4, B11="lf", 2, B11="1b", 2, B11 ="dh", 1)</f>
        <v>10</v>
      </c>
      <c r="AC11" s="3">
        <f>(G11+N11+O11)</f>
        <v>322</v>
      </c>
      <c r="AD11" s="5">
        <f>P11/AC11</f>
        <v>0.2857142857142857</v>
      </c>
      <c r="AE11" s="5">
        <f>(N11+O11)/AC11</f>
        <v>8.0745341614906832E-2</v>
      </c>
      <c r="AF11" s="4">
        <f>100-((AD11-AE11)*100)</f>
        <v>79.50310559006212</v>
      </c>
      <c r="AG11" s="3">
        <f>(F11-D11)*1000</f>
        <v>94.999999999999972</v>
      </c>
      <c r="AH11" s="3">
        <f>(((AF11+AG11)/2)*(AC11/100)*AB11)/C11</f>
        <v>112.38</v>
      </c>
    </row>
    <row r="12" spans="1:34" x14ac:dyDescent="0.35">
      <c r="A12" s="3" t="s">
        <v>86</v>
      </c>
      <c r="B12" s="3" t="s">
        <v>59</v>
      </c>
      <c r="C12" s="3">
        <v>24</v>
      </c>
      <c r="D12" s="3">
        <v>0.29199999999999998</v>
      </c>
      <c r="E12" s="3">
        <v>0.36299999999999999</v>
      </c>
      <c r="F12" s="3">
        <v>0.47799999999999998</v>
      </c>
      <c r="G12" s="3">
        <v>209</v>
      </c>
      <c r="H12" s="3">
        <v>61</v>
      </c>
      <c r="I12" s="3">
        <v>18</v>
      </c>
      <c r="J12" s="3">
        <v>3</v>
      </c>
      <c r="K12" s="3">
        <v>5</v>
      </c>
      <c r="L12" s="3">
        <v>28</v>
      </c>
      <c r="M12" s="3">
        <v>33</v>
      </c>
      <c r="N12" s="3">
        <v>2</v>
      </c>
      <c r="O12" s="3">
        <v>22</v>
      </c>
      <c r="P12" s="3">
        <v>48</v>
      </c>
      <c r="Q12" s="3">
        <v>14</v>
      </c>
      <c r="R12" s="3">
        <v>6</v>
      </c>
      <c r="S12" s="6">
        <f>AH12/10</f>
        <v>10.706333333333335</v>
      </c>
      <c r="T12" s="3">
        <v>40</v>
      </c>
      <c r="U12" s="4">
        <f>(S12*2)+T12</f>
        <v>61.412666666666667</v>
      </c>
      <c r="V12" s="4">
        <f>S12+T12</f>
        <v>50.706333333333333</v>
      </c>
      <c r="W12" s="3"/>
      <c r="X12" s="3"/>
      <c r="Y12" s="3"/>
      <c r="Z12" s="3"/>
      <c r="AA12" s="3"/>
      <c r="AB12" s="3">
        <f>_xlfn.IFS(B12="c", 8, B12="ss", 10, B12="cf", 8,  B12="2b", 8, B12="3b", 6, B12="rf", 4, B12="lf", 2, B12="1b", 2, B12 ="dh", 1)</f>
        <v>8</v>
      </c>
      <c r="AC12" s="3">
        <f>(G12+N12+O12)</f>
        <v>233</v>
      </c>
      <c r="AD12" s="5">
        <f>P12/AC12</f>
        <v>0.20600858369098712</v>
      </c>
      <c r="AE12" s="5">
        <f>(N12+O12)/AC12</f>
        <v>0.10300429184549356</v>
      </c>
      <c r="AF12" s="4">
        <f>100-((AD12-AE12)*100)</f>
        <v>89.699570815450642</v>
      </c>
      <c r="AG12" s="3">
        <f>(F12-D12)*1000</f>
        <v>186</v>
      </c>
      <c r="AH12" s="3">
        <f>(((AF12+AG12)/2)*(AC12/100)*AB12)/C12</f>
        <v>107.06333333333335</v>
      </c>
    </row>
    <row r="13" spans="1:34" x14ac:dyDescent="0.35">
      <c r="A13" s="3" t="s">
        <v>96</v>
      </c>
      <c r="B13" s="3" t="s">
        <v>59</v>
      </c>
      <c r="C13" s="3">
        <v>24</v>
      </c>
      <c r="D13" s="3">
        <v>0.29499999999999998</v>
      </c>
      <c r="E13" s="3">
        <v>0.32600000000000001</v>
      </c>
      <c r="F13" s="3">
        <v>0.34499999999999997</v>
      </c>
      <c r="G13" s="3">
        <v>414</v>
      </c>
      <c r="H13" s="3">
        <v>122</v>
      </c>
      <c r="I13" s="3">
        <v>15</v>
      </c>
      <c r="J13" s="3">
        <v>3</v>
      </c>
      <c r="K13" s="3">
        <v>0</v>
      </c>
      <c r="L13" s="3">
        <v>53</v>
      </c>
      <c r="M13" s="3">
        <v>26</v>
      </c>
      <c r="N13" s="3">
        <v>0</v>
      </c>
      <c r="O13" s="3">
        <v>20</v>
      </c>
      <c r="P13" s="3">
        <v>43</v>
      </c>
      <c r="Q13" s="3">
        <v>44</v>
      </c>
      <c r="R13" s="3">
        <v>12</v>
      </c>
      <c r="S13" s="6">
        <f>AH13/10</f>
        <v>10.466666666666665</v>
      </c>
      <c r="T13" s="3">
        <v>40</v>
      </c>
      <c r="U13" s="4">
        <f>(S13*2)+T13</f>
        <v>60.93333333333333</v>
      </c>
      <c r="V13" s="4">
        <f>S13+T13</f>
        <v>50.466666666666669</v>
      </c>
      <c r="W13" s="3"/>
      <c r="X13" s="3"/>
      <c r="Y13" s="3"/>
      <c r="Z13" s="3"/>
      <c r="AA13" s="3"/>
      <c r="AB13" s="3">
        <f>_xlfn.IFS(B13="c", 8, B13="ss", 10, B13="cf", 8,  B13="2b", 8, B13="3b", 6, B13="rf", 4, B13="lf", 2, B13="1b", 2, B13 ="dh", 1)</f>
        <v>8</v>
      </c>
      <c r="AC13" s="3">
        <f>(G13+N13+O13)</f>
        <v>434</v>
      </c>
      <c r="AD13" s="5">
        <f>P13/AC13</f>
        <v>9.9078341013824886E-2</v>
      </c>
      <c r="AE13" s="5">
        <f>(N13+O13)/AC13</f>
        <v>4.6082949308755762E-2</v>
      </c>
      <c r="AF13" s="4">
        <f>100-((AD13-AE13)*100)</f>
        <v>94.700460829493082</v>
      </c>
      <c r="AG13" s="3">
        <f>(F13-D13)*1000</f>
        <v>49.999999999999986</v>
      </c>
      <c r="AH13" s="3">
        <f>(((AF13+AG13)/2)*(AC13/100)*AB13)/C13</f>
        <v>104.66666666666664</v>
      </c>
    </row>
    <row r="14" spans="1:34" x14ac:dyDescent="0.35">
      <c r="A14" s="3" t="s">
        <v>225</v>
      </c>
      <c r="B14" s="3" t="s">
        <v>59</v>
      </c>
      <c r="C14" s="3">
        <v>28</v>
      </c>
      <c r="D14" s="3">
        <v>0.255</v>
      </c>
      <c r="E14" s="3">
        <v>0.30099999999999999</v>
      </c>
      <c r="F14" s="3">
        <v>0.35299999999999998</v>
      </c>
      <c r="G14" s="3">
        <v>368</v>
      </c>
      <c r="H14" s="3">
        <v>94</v>
      </c>
      <c r="I14" s="3">
        <v>16</v>
      </c>
      <c r="J14" s="3">
        <v>4</v>
      </c>
      <c r="K14" s="3">
        <v>4</v>
      </c>
      <c r="L14" s="3">
        <v>42</v>
      </c>
      <c r="M14" s="3">
        <v>33</v>
      </c>
      <c r="N14" s="3">
        <v>2</v>
      </c>
      <c r="O14" s="3">
        <v>23</v>
      </c>
      <c r="P14" s="3">
        <v>74</v>
      </c>
      <c r="Q14" s="3">
        <v>4</v>
      </c>
      <c r="R14" s="3">
        <v>5</v>
      </c>
      <c r="S14" s="6">
        <f>AH14/10</f>
        <v>10.416285714285712</v>
      </c>
      <c r="T14" s="3">
        <v>40</v>
      </c>
      <c r="U14" s="4">
        <f>(S14*2)+T14</f>
        <v>60.832571428571427</v>
      </c>
      <c r="V14" s="4">
        <f>S14+T14</f>
        <v>50.416285714285713</v>
      </c>
      <c r="W14" s="3"/>
      <c r="X14" s="3"/>
      <c r="Y14" s="3"/>
      <c r="Z14" s="3"/>
      <c r="AA14" s="3"/>
      <c r="AB14" s="3">
        <f>_xlfn.IFS(B14="c", 8, B14="ss", 10, B14="cf", 8,  B14="2b", 8, B14="3b", 6, B14="rf", 4, B14="lf", 2, B14="1b", 2, B14 ="dh", 1)</f>
        <v>8</v>
      </c>
      <c r="AC14" s="3">
        <f>(G14+N14+O14)</f>
        <v>393</v>
      </c>
      <c r="AD14" s="5">
        <f>P14/AC14</f>
        <v>0.18829516539440203</v>
      </c>
      <c r="AE14" s="5">
        <f>(N14+O14)/AC14</f>
        <v>6.3613231552162849E-2</v>
      </c>
      <c r="AF14" s="4">
        <f>100-((AD14-AE14)*100)</f>
        <v>87.531806615776077</v>
      </c>
      <c r="AG14" s="3">
        <f>(F14-D14)*1000</f>
        <v>97.999999999999972</v>
      </c>
      <c r="AH14" s="3">
        <f>(((AF14+AG14)/2)*(AC14/100)*AB14)/C14</f>
        <v>104.16285714285712</v>
      </c>
    </row>
    <row r="15" spans="1:34" x14ac:dyDescent="0.35">
      <c r="A15" s="3" t="s">
        <v>341</v>
      </c>
      <c r="B15" s="3" t="s">
        <v>30</v>
      </c>
      <c r="C15" s="3">
        <v>33</v>
      </c>
      <c r="D15" s="3">
        <v>0.26700000000000002</v>
      </c>
      <c r="E15" s="3">
        <v>0.31900000000000001</v>
      </c>
      <c r="F15" s="3">
        <v>0.36499999999999999</v>
      </c>
      <c r="G15" s="3">
        <v>419</v>
      </c>
      <c r="H15" s="3">
        <v>112</v>
      </c>
      <c r="I15" s="3">
        <v>20</v>
      </c>
      <c r="J15" s="3">
        <v>0</v>
      </c>
      <c r="K15" s="3">
        <v>7</v>
      </c>
      <c r="L15" s="3">
        <v>43</v>
      </c>
      <c r="M15" s="3">
        <v>44</v>
      </c>
      <c r="N15" s="3">
        <v>8</v>
      </c>
      <c r="O15" s="3">
        <v>26</v>
      </c>
      <c r="P15" s="3">
        <v>81</v>
      </c>
      <c r="Q15" s="3">
        <v>8</v>
      </c>
      <c r="R15" s="3">
        <v>6</v>
      </c>
      <c r="S15" s="6">
        <f>AH15/10</f>
        <v>10.30230303030303</v>
      </c>
      <c r="T15" s="3">
        <v>40</v>
      </c>
      <c r="U15" s="4">
        <f>(S15*2)+T15</f>
        <v>60.604606060606059</v>
      </c>
      <c r="V15" s="4">
        <f>S15+T15</f>
        <v>50.30230303030303</v>
      </c>
      <c r="W15" s="3"/>
      <c r="X15" s="3"/>
      <c r="Y15" s="3"/>
      <c r="Z15" s="3"/>
      <c r="AA15" s="3"/>
      <c r="AB15" s="3">
        <f>_xlfn.IFS(B15="c", 8, B15="ss", 10, B15="cf", 8,  B15="2b", 8, B15="3b", 6, B15="rf", 4, B15="lf", 2, B15="1b", 2, B15 ="dh", 1)</f>
        <v>8</v>
      </c>
      <c r="AC15" s="3">
        <f>(G15+N15+O15)</f>
        <v>453</v>
      </c>
      <c r="AD15" s="5">
        <f>P15/AC15</f>
        <v>0.17880794701986755</v>
      </c>
      <c r="AE15" s="5">
        <f>(N15+O15)/AC15</f>
        <v>7.505518763796909E-2</v>
      </c>
      <c r="AF15" s="4">
        <f>100-((AD15-AE15)*100)</f>
        <v>89.624724061810156</v>
      </c>
      <c r="AG15" s="3">
        <f>(F15-D15)*1000</f>
        <v>97.999999999999972</v>
      </c>
      <c r="AH15" s="3">
        <f>(((AF15+AG15)/2)*(AC15/100)*AB15)/C15</f>
        <v>103.0230303030303</v>
      </c>
    </row>
    <row r="16" spans="1:34" x14ac:dyDescent="0.35">
      <c r="A16" s="3" t="s">
        <v>249</v>
      </c>
      <c r="B16" s="3" t="s">
        <v>25</v>
      </c>
      <c r="C16" s="3">
        <v>28</v>
      </c>
      <c r="D16" s="3">
        <v>0.22</v>
      </c>
      <c r="E16" s="3">
        <v>0.28000000000000003</v>
      </c>
      <c r="F16" s="3">
        <v>0.31900000000000001</v>
      </c>
      <c r="G16" s="3">
        <v>282</v>
      </c>
      <c r="H16" s="3">
        <v>62</v>
      </c>
      <c r="I16" s="3">
        <v>14</v>
      </c>
      <c r="J16" s="3">
        <v>1</v>
      </c>
      <c r="K16" s="3">
        <v>4</v>
      </c>
      <c r="L16" s="3">
        <v>36</v>
      </c>
      <c r="M16" s="3">
        <v>38</v>
      </c>
      <c r="N16" s="3">
        <v>0</v>
      </c>
      <c r="O16" s="3">
        <v>26</v>
      </c>
      <c r="P16" s="3">
        <v>70</v>
      </c>
      <c r="Q16" s="3">
        <v>14</v>
      </c>
      <c r="R16" s="3">
        <v>6</v>
      </c>
      <c r="S16" s="6">
        <f>AH16/10</f>
        <v>10.159285714285716</v>
      </c>
      <c r="T16" s="3">
        <v>40</v>
      </c>
      <c r="U16" s="4">
        <f>(S16*2)+T16</f>
        <v>60.318571428571431</v>
      </c>
      <c r="V16" s="4">
        <f>S16+T16</f>
        <v>50.159285714285716</v>
      </c>
      <c r="W16" s="3"/>
      <c r="X16" s="3"/>
      <c r="Y16" s="3"/>
      <c r="Z16" s="3"/>
      <c r="AA16" s="3"/>
      <c r="AB16" s="3">
        <f>_xlfn.IFS(B16="c", 8, B16="ss", 10, B16="cf", 8,  B16="2b", 8, B16="3b", 6, B16="rf", 4, B16="lf", 2, B16="1b", 2, B16 ="dh", 1)</f>
        <v>10</v>
      </c>
      <c r="AC16" s="3">
        <f>(G16+N16+O16)</f>
        <v>308</v>
      </c>
      <c r="AD16" s="5">
        <f>P16/AC16</f>
        <v>0.22727272727272727</v>
      </c>
      <c r="AE16" s="5">
        <f>(N16+O16)/AC16</f>
        <v>8.4415584415584416E-2</v>
      </c>
      <c r="AF16" s="4">
        <f>100-((AD16-AE16)*100)</f>
        <v>85.714285714285722</v>
      </c>
      <c r="AG16" s="3">
        <f>(F16-D16)*1000</f>
        <v>99</v>
      </c>
      <c r="AH16" s="3">
        <f>(((AF16+AG16)/2)*(AC16/100)*AB16)/C16</f>
        <v>101.59285714285716</v>
      </c>
    </row>
    <row r="17" spans="1:34" x14ac:dyDescent="0.35">
      <c r="A17" s="3" t="s">
        <v>245</v>
      </c>
      <c r="B17" s="3" t="s">
        <v>30</v>
      </c>
      <c r="C17" s="3">
        <v>28</v>
      </c>
      <c r="D17" s="3">
        <v>0.23</v>
      </c>
      <c r="E17" s="3">
        <v>0.315</v>
      </c>
      <c r="F17" s="3">
        <v>0.33800000000000002</v>
      </c>
      <c r="G17" s="3">
        <v>287</v>
      </c>
      <c r="H17" s="3">
        <v>66</v>
      </c>
      <c r="I17" s="3">
        <v>7</v>
      </c>
      <c r="J17" s="3">
        <v>0</v>
      </c>
      <c r="K17" s="3">
        <v>8</v>
      </c>
      <c r="L17" s="3">
        <v>27</v>
      </c>
      <c r="M17" s="3">
        <v>25</v>
      </c>
      <c r="N17" s="3">
        <v>6</v>
      </c>
      <c r="O17" s="3">
        <v>31</v>
      </c>
      <c r="P17" s="3">
        <v>45</v>
      </c>
      <c r="Q17" s="3">
        <v>2</v>
      </c>
      <c r="R17" s="3">
        <v>1</v>
      </c>
      <c r="S17" s="6">
        <f>AH17/10</f>
        <v>9.5131428571428582</v>
      </c>
      <c r="T17" s="3">
        <v>40</v>
      </c>
      <c r="U17" s="4">
        <f>(S17*2)+T17</f>
        <v>59.02628571428572</v>
      </c>
      <c r="V17" s="4">
        <f>S17+T17</f>
        <v>49.51314285714286</v>
      </c>
      <c r="W17" s="3"/>
      <c r="X17" s="3"/>
      <c r="Y17" s="3"/>
      <c r="Z17" s="3"/>
      <c r="AA17" s="3"/>
      <c r="AB17" s="3">
        <f>_xlfn.IFS(B17="c", 8, B17="ss", 10, B17="cf", 8,  B17="2b", 8, B17="3b", 6, B17="rf", 4, B17="lf", 2, B17="1b", 2, B17 ="dh", 1)</f>
        <v>8</v>
      </c>
      <c r="AC17" s="3">
        <f>(G17+N17+O17)</f>
        <v>324</v>
      </c>
      <c r="AD17" s="5">
        <f>P17/AC17</f>
        <v>0.1388888888888889</v>
      </c>
      <c r="AE17" s="5">
        <f>(N17+O17)/AC17</f>
        <v>0.11419753086419752</v>
      </c>
      <c r="AF17" s="4">
        <f>100-((AD17-AE17)*100)</f>
        <v>97.53086419753086</v>
      </c>
      <c r="AG17" s="3">
        <f>(F17-D17)*1000</f>
        <v>108.00000000000001</v>
      </c>
      <c r="AH17" s="3">
        <f>(((AF17+AG17)/2)*(AC17/100)*AB17)/C17</f>
        <v>95.131428571428586</v>
      </c>
    </row>
    <row r="18" spans="1:34" x14ac:dyDescent="0.35">
      <c r="A18" s="3" t="s">
        <v>53</v>
      </c>
      <c r="B18" s="3" t="s">
        <v>30</v>
      </c>
      <c r="C18" s="3">
        <v>23</v>
      </c>
      <c r="D18" s="3">
        <v>0.223</v>
      </c>
      <c r="E18" s="3">
        <v>0.31900000000000001</v>
      </c>
      <c r="F18" s="3">
        <v>0.34499999999999997</v>
      </c>
      <c r="G18" s="3">
        <v>229</v>
      </c>
      <c r="H18" s="3">
        <v>51</v>
      </c>
      <c r="I18" s="3">
        <v>10</v>
      </c>
      <c r="J18" s="3">
        <v>0</v>
      </c>
      <c r="K18" s="3">
        <v>6</v>
      </c>
      <c r="L18" s="3">
        <v>24</v>
      </c>
      <c r="M18" s="3">
        <v>21</v>
      </c>
      <c r="N18" s="3">
        <v>4</v>
      </c>
      <c r="O18" s="3">
        <v>29</v>
      </c>
      <c r="P18" s="3">
        <v>72</v>
      </c>
      <c r="Q18" s="3">
        <v>2</v>
      </c>
      <c r="R18" s="3">
        <v>1</v>
      </c>
      <c r="S18" s="6">
        <f>AH18/10</f>
        <v>9.4372173913043458</v>
      </c>
      <c r="T18" s="3">
        <v>50</v>
      </c>
      <c r="U18" s="4">
        <f>(S18*2)+T18</f>
        <v>68.874434782608688</v>
      </c>
      <c r="V18" s="4">
        <f>S18+T18</f>
        <v>59.437217391304344</v>
      </c>
      <c r="W18" s="3"/>
      <c r="X18" s="3"/>
      <c r="Y18" s="3"/>
      <c r="Z18" s="3"/>
      <c r="AA18" s="3"/>
      <c r="AB18" s="3">
        <f>_xlfn.IFS(B18="c", 8, B18="ss", 10, B18="cf", 8,  B18="2b", 8, B18="3b", 6, B18="rf", 4, B18="lf", 2, B18="1b", 2, B18 ="dh", 1)</f>
        <v>8</v>
      </c>
      <c r="AC18" s="3">
        <f>(G18+N18+O18)</f>
        <v>262</v>
      </c>
      <c r="AD18" s="5">
        <f>P18/AC18</f>
        <v>0.27480916030534353</v>
      </c>
      <c r="AE18" s="5">
        <f>(N18+O18)/AC18</f>
        <v>0.12595419847328243</v>
      </c>
      <c r="AF18" s="4">
        <f>100-((AD18-AE18)*100)</f>
        <v>85.114503816793885</v>
      </c>
      <c r="AG18" s="3">
        <f>(F18-D18)*1000</f>
        <v>121.99999999999997</v>
      </c>
      <c r="AH18" s="3">
        <f>(((AF18+AG18)/2)*(AC18/100)*AB18)/C18</f>
        <v>94.372173913043454</v>
      </c>
    </row>
    <row r="19" spans="1:34" x14ac:dyDescent="0.35">
      <c r="A19" s="3" t="s">
        <v>42</v>
      </c>
      <c r="B19" s="3" t="s">
        <v>22</v>
      </c>
      <c r="C19" s="3">
        <v>22</v>
      </c>
      <c r="D19" s="3">
        <v>0.29899999999999999</v>
      </c>
      <c r="E19" s="3">
        <v>0.34699999999999998</v>
      </c>
      <c r="F19" s="3">
        <v>0.498</v>
      </c>
      <c r="G19" s="3">
        <v>321</v>
      </c>
      <c r="H19" s="3">
        <v>96</v>
      </c>
      <c r="I19" s="3">
        <v>15</v>
      </c>
      <c r="J19" s="3">
        <v>11</v>
      </c>
      <c r="K19" s="3">
        <v>9</v>
      </c>
      <c r="L19" s="3">
        <v>51</v>
      </c>
      <c r="M19" s="3">
        <v>41</v>
      </c>
      <c r="N19" s="3">
        <v>4</v>
      </c>
      <c r="O19" s="3">
        <v>21</v>
      </c>
      <c r="P19" s="3">
        <v>56</v>
      </c>
      <c r="Q19" s="3">
        <v>8</v>
      </c>
      <c r="R19" s="3">
        <v>6</v>
      </c>
      <c r="S19" s="6">
        <f>AH19/10</f>
        <v>9.1230909090909087</v>
      </c>
      <c r="T19" s="3">
        <v>40</v>
      </c>
      <c r="U19" s="4">
        <f>(S19*2)+T19</f>
        <v>58.246181818181817</v>
      </c>
      <c r="V19" s="4">
        <f>S19+T19</f>
        <v>49.123090909090905</v>
      </c>
      <c r="W19" s="3"/>
      <c r="X19" s="3"/>
      <c r="Y19" s="3"/>
      <c r="Z19" s="3"/>
      <c r="AA19" s="3"/>
      <c r="AB19" s="3">
        <f>_xlfn.IFS(B19="c", 8, B19="ss", 10, B19="cf", 8,  B19="2b", 8, B19="3b", 6, B19="rf", 4, B19="lf", 2, B19="1b", 2, B19 ="dh", 1)</f>
        <v>4</v>
      </c>
      <c r="AC19" s="3">
        <f>(G19+N19+O19)</f>
        <v>346</v>
      </c>
      <c r="AD19" s="5">
        <f>P19/AC19</f>
        <v>0.16184971098265896</v>
      </c>
      <c r="AE19" s="5">
        <f>(N19+O19)/AC19</f>
        <v>7.2254335260115612E-2</v>
      </c>
      <c r="AF19" s="4">
        <f>100-((AD19-AE19)*100)</f>
        <v>91.040462427745666</v>
      </c>
      <c r="AG19" s="3">
        <f>(F19-D19)*1000</f>
        <v>199</v>
      </c>
      <c r="AH19" s="3">
        <f>(((AF19+AG19)/2)*(AC19/100)*AB19)/C19</f>
        <v>91.23090909090908</v>
      </c>
    </row>
    <row r="20" spans="1:34" x14ac:dyDescent="0.35">
      <c r="A20" s="3" t="s">
        <v>49</v>
      </c>
      <c r="B20" s="3" t="s">
        <v>22</v>
      </c>
      <c r="C20" s="3">
        <v>22</v>
      </c>
      <c r="D20" s="3">
        <v>0.23599999999999999</v>
      </c>
      <c r="E20" s="3">
        <v>0.312</v>
      </c>
      <c r="F20" s="3">
        <v>0.35799999999999998</v>
      </c>
      <c r="G20" s="3">
        <v>441</v>
      </c>
      <c r="H20" s="3">
        <v>104</v>
      </c>
      <c r="I20" s="3">
        <v>21</v>
      </c>
      <c r="J20" s="3">
        <v>3</v>
      </c>
      <c r="K20" s="3">
        <v>9</v>
      </c>
      <c r="L20" s="3">
        <v>55</v>
      </c>
      <c r="M20" s="3">
        <v>51</v>
      </c>
      <c r="N20" s="3">
        <v>7</v>
      </c>
      <c r="O20" s="3">
        <v>43</v>
      </c>
      <c r="P20" s="3">
        <v>137</v>
      </c>
      <c r="Q20" s="3">
        <v>8</v>
      </c>
      <c r="R20" s="3">
        <v>1</v>
      </c>
      <c r="S20" s="6">
        <f>AH20/10</f>
        <v>9.118363636363636</v>
      </c>
      <c r="T20" s="3">
        <v>40</v>
      </c>
      <c r="U20" s="4">
        <f>(S20*2)+T20</f>
        <v>58.236727272727272</v>
      </c>
      <c r="V20" s="4">
        <f>S20+T20</f>
        <v>49.11836363636364</v>
      </c>
      <c r="W20" s="3"/>
      <c r="X20" s="3"/>
      <c r="Y20" s="3"/>
      <c r="Z20" s="3"/>
      <c r="AA20" s="3"/>
      <c r="AB20" s="3">
        <f>_xlfn.IFS(B20="c", 8, B20="ss", 10, B20="cf", 8,  B20="2b", 8, B20="3b", 6, B20="rf", 4, B20="lf", 2, B20="1b", 2, B20 ="dh", 1)</f>
        <v>4</v>
      </c>
      <c r="AC20" s="3">
        <f>(G20+N20+O20)</f>
        <v>491</v>
      </c>
      <c r="AD20" s="5">
        <f>P20/AC20</f>
        <v>0.27902240325865579</v>
      </c>
      <c r="AE20" s="5">
        <f>(N20+O20)/AC20</f>
        <v>0.10183299389002037</v>
      </c>
      <c r="AF20" s="4">
        <f>100-((AD20-AE20)*100)</f>
        <v>82.281059063136453</v>
      </c>
      <c r="AG20" s="3">
        <f>(F20-D20)*1000</f>
        <v>122</v>
      </c>
      <c r="AH20" s="3">
        <f>(((AF20+AG20)/2)*(AC20/100)*AB20)/C20</f>
        <v>91.183636363636367</v>
      </c>
    </row>
    <row r="21" spans="1:34" x14ac:dyDescent="0.35">
      <c r="A21" s="3" t="s">
        <v>41</v>
      </c>
      <c r="B21" s="3" t="s">
        <v>28</v>
      </c>
      <c r="C21" s="3">
        <v>22</v>
      </c>
      <c r="D21" s="3">
        <v>0.28999999999999998</v>
      </c>
      <c r="E21" s="3">
        <v>0.38300000000000001</v>
      </c>
      <c r="F21" s="3">
        <v>0.61899999999999999</v>
      </c>
      <c r="G21" s="3">
        <v>420</v>
      </c>
      <c r="H21" s="3">
        <v>122</v>
      </c>
      <c r="I21" s="3">
        <v>26</v>
      </c>
      <c r="J21" s="3">
        <v>2</v>
      </c>
      <c r="K21" s="3">
        <v>36</v>
      </c>
      <c r="L21" s="3">
        <v>90</v>
      </c>
      <c r="M21" s="3">
        <v>86</v>
      </c>
      <c r="N21" s="3">
        <v>2</v>
      </c>
      <c r="O21" s="3">
        <v>63</v>
      </c>
      <c r="P21" s="3">
        <v>151</v>
      </c>
      <c r="Q21" s="3">
        <v>2</v>
      </c>
      <c r="R21" s="3">
        <v>1</v>
      </c>
      <c r="S21" s="6">
        <f>AH21/10</f>
        <v>9.0665909090909071</v>
      </c>
      <c r="T21" s="3">
        <v>60</v>
      </c>
      <c r="U21" s="4">
        <f>(S21*2)+T21</f>
        <v>78.133181818181811</v>
      </c>
      <c r="V21" s="4">
        <f>S21+T21</f>
        <v>69.066590909090905</v>
      </c>
      <c r="W21" s="3"/>
      <c r="X21" s="3"/>
      <c r="Y21" s="3"/>
      <c r="Z21" s="3"/>
      <c r="AA21" s="3"/>
      <c r="AB21" s="3">
        <f>_xlfn.IFS(B21="c", 8, B21="ss", 10, B21="cf", 8,  B21="2b", 8, B21="3b", 6, B21="rf", 4, B21="lf", 2, B21="1b", 2, B21 ="dh", 1)</f>
        <v>2</v>
      </c>
      <c r="AC21" s="3">
        <f>(G21+N21+O21)</f>
        <v>485</v>
      </c>
      <c r="AD21" s="5">
        <f>P21/AC21</f>
        <v>0.31134020618556701</v>
      </c>
      <c r="AE21" s="5">
        <f>(N21+O21)/AC21</f>
        <v>0.13402061855670103</v>
      </c>
      <c r="AF21" s="4">
        <f>100-((AD21-AE21)*100)</f>
        <v>82.268041237113408</v>
      </c>
      <c r="AG21" s="3">
        <f>(F21-D21)*1000</f>
        <v>329</v>
      </c>
      <c r="AH21" s="3">
        <f>(((AF21+AG21)/2)*(AC21/100)*AB21)/C21</f>
        <v>90.665909090909068</v>
      </c>
    </row>
    <row r="22" spans="1:34" x14ac:dyDescent="0.35">
      <c r="A22" s="3" t="s">
        <v>29</v>
      </c>
      <c r="B22" s="3" t="s">
        <v>30</v>
      </c>
      <c r="C22" s="3">
        <v>21</v>
      </c>
      <c r="D22" s="3">
        <v>0.21099999999999999</v>
      </c>
      <c r="E22" s="3">
        <v>0.30199999999999999</v>
      </c>
      <c r="F22" s="3">
        <v>0.30499999999999999</v>
      </c>
      <c r="G22" s="3">
        <v>223</v>
      </c>
      <c r="H22" s="3">
        <v>47</v>
      </c>
      <c r="I22" s="3">
        <v>7</v>
      </c>
      <c r="J22" s="3">
        <v>1</v>
      </c>
      <c r="K22" s="3">
        <v>4</v>
      </c>
      <c r="L22" s="3">
        <v>24</v>
      </c>
      <c r="M22" s="3">
        <v>24</v>
      </c>
      <c r="N22" s="3">
        <v>2</v>
      </c>
      <c r="O22" s="3">
        <v>28</v>
      </c>
      <c r="P22" s="3">
        <v>47</v>
      </c>
      <c r="Q22" s="3">
        <v>1</v>
      </c>
      <c r="R22" s="3">
        <v>0</v>
      </c>
      <c r="S22" s="6">
        <f>AH22/10</f>
        <v>9.0251428571428569</v>
      </c>
      <c r="T22" s="3">
        <v>40</v>
      </c>
      <c r="U22" s="4">
        <f>(S22*2)+T22</f>
        <v>58.050285714285714</v>
      </c>
      <c r="V22" s="4">
        <f>S22+T22</f>
        <v>49.025142857142853</v>
      </c>
      <c r="W22" s="3"/>
      <c r="X22" s="3"/>
      <c r="Y22" s="3"/>
      <c r="Z22" s="3"/>
      <c r="AA22" s="3"/>
      <c r="AB22" s="3">
        <f>_xlfn.IFS(B22="c", 8, B22="ss", 10, B22="cf", 8,  B22="2b", 8, B22="3b", 6, B22="rf", 4, B22="lf", 2, B22="1b", 2, B22 ="dh", 1)</f>
        <v>8</v>
      </c>
      <c r="AC22" s="3">
        <f>(G22+N22+O22)</f>
        <v>253</v>
      </c>
      <c r="AD22" s="5">
        <f>P22/AC22</f>
        <v>0.1857707509881423</v>
      </c>
      <c r="AE22" s="5">
        <f>(N22+O22)/AC22</f>
        <v>0.11857707509881422</v>
      </c>
      <c r="AF22" s="4">
        <f>100-((AD22-AE22)*100)</f>
        <v>93.280632411067188</v>
      </c>
      <c r="AG22" s="3">
        <f>(F22-D22)*1000</f>
        <v>94</v>
      </c>
      <c r="AH22" s="3">
        <f>(((AF22+AG22)/2)*(AC22/100)*AB22)/C22</f>
        <v>90.251428571428562</v>
      </c>
    </row>
    <row r="23" spans="1:34" x14ac:dyDescent="0.35">
      <c r="A23" s="3" t="s">
        <v>40</v>
      </c>
      <c r="B23" s="3" t="s">
        <v>30</v>
      </c>
      <c r="C23" s="3">
        <v>22</v>
      </c>
      <c r="D23" s="3">
        <v>0.30199999999999999</v>
      </c>
      <c r="E23" s="3">
        <v>0.38200000000000001</v>
      </c>
      <c r="F23" s="3">
        <v>0.44500000000000001</v>
      </c>
      <c r="G23" s="3">
        <v>182</v>
      </c>
      <c r="H23" s="3">
        <v>55</v>
      </c>
      <c r="I23" s="3">
        <v>14</v>
      </c>
      <c r="J23" s="3">
        <v>0</v>
      </c>
      <c r="K23" s="3">
        <v>4</v>
      </c>
      <c r="L23" s="3">
        <v>25</v>
      </c>
      <c r="M23" s="3">
        <v>28</v>
      </c>
      <c r="N23" s="3">
        <v>5</v>
      </c>
      <c r="O23" s="3">
        <v>19</v>
      </c>
      <c r="P23" s="3">
        <v>29</v>
      </c>
      <c r="Q23" s="3">
        <v>14</v>
      </c>
      <c r="R23" s="3">
        <v>3</v>
      </c>
      <c r="S23" s="6">
        <f>AH23/10</f>
        <v>9.010545454545456</v>
      </c>
      <c r="T23" s="3">
        <v>60</v>
      </c>
      <c r="U23" s="4">
        <f>(S23*2)+T23</f>
        <v>78.021090909090915</v>
      </c>
      <c r="V23" s="4">
        <f>S23+T23</f>
        <v>69.010545454545451</v>
      </c>
      <c r="W23" s="3"/>
      <c r="X23" s="3"/>
      <c r="Y23" s="3"/>
      <c r="Z23" s="3"/>
      <c r="AA23" s="3"/>
      <c r="AB23" s="3">
        <f>_xlfn.IFS(B23="c", 8, B23="ss", 10, B23="cf", 8,  B23="2b", 8, B23="3b", 6, B23="rf", 4, B23="lf", 2, B23="1b", 2, B23 ="dh", 1)</f>
        <v>8</v>
      </c>
      <c r="AC23" s="3">
        <f>(G23+N23+O23)</f>
        <v>206</v>
      </c>
      <c r="AD23" s="5">
        <f>P23/AC23</f>
        <v>0.14077669902912621</v>
      </c>
      <c r="AE23" s="5">
        <f>(N23+O23)/AC23</f>
        <v>0.11650485436893204</v>
      </c>
      <c r="AF23" s="4">
        <f>100-((AD23-AE23)*100)</f>
        <v>97.572815533980588</v>
      </c>
      <c r="AG23" s="3">
        <f>(F23-D23)*1000</f>
        <v>143.00000000000003</v>
      </c>
      <c r="AH23" s="3">
        <f>(((AF23+AG23)/2)*(AC23/100)*AB23)/C23</f>
        <v>90.105454545454563</v>
      </c>
    </row>
    <row r="24" spans="1:34" x14ac:dyDescent="0.35">
      <c r="A24" s="3" t="s">
        <v>108</v>
      </c>
      <c r="B24" s="3" t="s">
        <v>18</v>
      </c>
      <c r="C24" s="3">
        <v>25</v>
      </c>
      <c r="D24" s="3">
        <v>0.16700000000000001</v>
      </c>
      <c r="E24" s="3">
        <v>0.23400000000000001</v>
      </c>
      <c r="F24" s="3">
        <v>0.27800000000000002</v>
      </c>
      <c r="G24" s="3">
        <v>252</v>
      </c>
      <c r="H24" s="3">
        <v>42</v>
      </c>
      <c r="I24" s="3">
        <v>7</v>
      </c>
      <c r="J24" s="3">
        <v>0</v>
      </c>
      <c r="K24" s="3">
        <v>7</v>
      </c>
      <c r="L24" s="3">
        <v>25</v>
      </c>
      <c r="M24" s="3">
        <v>22</v>
      </c>
      <c r="N24" s="3">
        <v>5</v>
      </c>
      <c r="O24" s="3">
        <v>18</v>
      </c>
      <c r="P24" s="3">
        <v>76</v>
      </c>
      <c r="Q24" s="3">
        <v>2</v>
      </c>
      <c r="R24" s="3">
        <v>1</v>
      </c>
      <c r="S24" s="6">
        <f>AH24/10</f>
        <v>8.4359999999999999</v>
      </c>
      <c r="T24" s="3">
        <v>40</v>
      </c>
      <c r="U24" s="4">
        <f>(S24*2)+T24</f>
        <v>56.872</v>
      </c>
      <c r="V24" s="4">
        <f>S24+T24</f>
        <v>48.436</v>
      </c>
      <c r="W24" s="3"/>
      <c r="X24" s="3"/>
      <c r="Y24" s="3"/>
      <c r="Z24" s="3"/>
      <c r="AA24" s="3"/>
      <c r="AB24" s="3">
        <f>_xlfn.IFS(B24="c", 8, B24="ss", 10, B24="cf", 8,  B24="2b", 8, B24="3b", 6, B24="rf", 4, B24="lf", 2, B24="1b", 2, B24 ="dh", 1)</f>
        <v>8</v>
      </c>
      <c r="AC24" s="3">
        <f>(G24+N24+O24)</f>
        <v>275</v>
      </c>
      <c r="AD24" s="5">
        <f>P24/AC24</f>
        <v>0.27636363636363637</v>
      </c>
      <c r="AE24" s="5">
        <f>(N24+O24)/AC24</f>
        <v>8.3636363636363634E-2</v>
      </c>
      <c r="AF24" s="4">
        <f>100-((AD24-AE24)*100)</f>
        <v>80.72727272727272</v>
      </c>
      <c r="AG24" s="3">
        <f>(F24-D24)*1000</f>
        <v>111.00000000000001</v>
      </c>
      <c r="AH24" s="3">
        <f>(((AF24+AG24)/2)*(AC24/100)*AB24)/C24</f>
        <v>84.36</v>
      </c>
    </row>
    <row r="25" spans="1:34" x14ac:dyDescent="0.35">
      <c r="A25" s="3" t="s">
        <v>44</v>
      </c>
      <c r="B25" s="3" t="s">
        <v>30</v>
      </c>
      <c r="C25" s="3">
        <v>22</v>
      </c>
      <c r="D25" s="3">
        <v>0.19800000000000001</v>
      </c>
      <c r="E25" s="3">
        <v>0.28399999999999997</v>
      </c>
      <c r="F25" s="3">
        <v>0.37</v>
      </c>
      <c r="G25" s="3">
        <v>162</v>
      </c>
      <c r="H25" s="3">
        <v>32</v>
      </c>
      <c r="I25" s="3">
        <v>5</v>
      </c>
      <c r="J25" s="3">
        <v>1</v>
      </c>
      <c r="K25" s="3">
        <v>7</v>
      </c>
      <c r="L25" s="3">
        <v>20</v>
      </c>
      <c r="M25" s="3">
        <v>16</v>
      </c>
      <c r="N25" s="3">
        <v>1</v>
      </c>
      <c r="O25" s="3">
        <v>19</v>
      </c>
      <c r="P25" s="3">
        <v>62</v>
      </c>
      <c r="Q25" s="3">
        <v>3</v>
      </c>
      <c r="R25" s="3">
        <v>0</v>
      </c>
      <c r="S25" s="6">
        <f>AH25/10</f>
        <v>8.2370909090909077</v>
      </c>
      <c r="T25" s="3">
        <v>40</v>
      </c>
      <c r="U25" s="4">
        <f>(S25*2)+T25</f>
        <v>56.474181818181819</v>
      </c>
      <c r="V25" s="4">
        <f>S25+T25</f>
        <v>48.237090909090909</v>
      </c>
      <c r="W25" s="3"/>
      <c r="X25" s="3"/>
      <c r="Y25" s="3"/>
      <c r="Z25" s="3"/>
      <c r="AA25" s="3"/>
      <c r="AB25" s="3">
        <f>_xlfn.IFS(B25="c", 8, B25="ss", 10, B25="cf", 8,  B25="2b", 8, B25="3b", 6, B25="rf", 4, B25="lf", 2, B25="1b", 2, B25 ="dh", 1)</f>
        <v>8</v>
      </c>
      <c r="AC25" s="3">
        <f>(G25+N25+O25)</f>
        <v>182</v>
      </c>
      <c r="AD25" s="5">
        <f>P25/AC25</f>
        <v>0.34065934065934067</v>
      </c>
      <c r="AE25" s="5">
        <f>(N25+O25)/AC25</f>
        <v>0.10989010989010989</v>
      </c>
      <c r="AF25" s="4">
        <f>100-((AD25-AE25)*100)</f>
        <v>76.92307692307692</v>
      </c>
      <c r="AG25" s="3">
        <f>(F25-D25)*1000</f>
        <v>172</v>
      </c>
      <c r="AH25" s="3">
        <f>(((AF25+AG25)/2)*(AC25/100)*AB25)/C25</f>
        <v>82.37090909090908</v>
      </c>
    </row>
    <row r="26" spans="1:34" x14ac:dyDescent="0.35">
      <c r="A26" s="3" t="s">
        <v>350</v>
      </c>
      <c r="B26" s="3" t="s">
        <v>30</v>
      </c>
      <c r="C26" s="3">
        <v>34</v>
      </c>
      <c r="D26" s="3">
        <v>0.22700000000000001</v>
      </c>
      <c r="E26" s="3">
        <v>0.28000000000000003</v>
      </c>
      <c r="F26" s="3">
        <v>0.36499999999999999</v>
      </c>
      <c r="G26" s="3">
        <v>277</v>
      </c>
      <c r="H26" s="3">
        <v>63</v>
      </c>
      <c r="I26" s="3">
        <v>14</v>
      </c>
      <c r="J26" s="3">
        <v>0</v>
      </c>
      <c r="K26" s="3">
        <v>8</v>
      </c>
      <c r="L26" s="3">
        <v>24</v>
      </c>
      <c r="M26" s="3">
        <v>31</v>
      </c>
      <c r="N26" s="3">
        <v>4</v>
      </c>
      <c r="O26" s="3">
        <v>17</v>
      </c>
      <c r="P26" s="3">
        <v>66</v>
      </c>
      <c r="Q26" s="3">
        <v>0</v>
      </c>
      <c r="R26" s="3">
        <v>1</v>
      </c>
      <c r="S26" s="6">
        <f>AH26/10</f>
        <v>7.8145882352941154</v>
      </c>
      <c r="T26" s="3">
        <v>40</v>
      </c>
      <c r="U26" s="4">
        <f>(S26*2)+T26</f>
        <v>55.629176470588234</v>
      </c>
      <c r="V26" s="4">
        <f>S26+T26</f>
        <v>47.814588235294117</v>
      </c>
      <c r="W26" s="3"/>
      <c r="X26" s="3"/>
      <c r="Y26" s="3"/>
      <c r="Z26" s="3"/>
      <c r="AA26" s="3"/>
      <c r="AB26" s="3">
        <f>_xlfn.IFS(B26="c", 8, B26="ss", 10, B26="cf", 8,  B26="2b", 8, B26="3b", 6, B26="rf", 4, B26="lf", 2, B26="1b", 2, B26 ="dh", 1)</f>
        <v>8</v>
      </c>
      <c r="AC26" s="3">
        <f>(G26+N26+O26)</f>
        <v>298</v>
      </c>
      <c r="AD26" s="5">
        <f>P26/AC26</f>
        <v>0.22147651006711411</v>
      </c>
      <c r="AE26" s="5">
        <f>(N26+O26)/AC26</f>
        <v>7.0469798657718116E-2</v>
      </c>
      <c r="AF26" s="4">
        <f>100-((AD26-AE26)*100)</f>
        <v>84.899328859060404</v>
      </c>
      <c r="AG26" s="3">
        <f>(F26-D26)*1000</f>
        <v>137.99999999999997</v>
      </c>
      <c r="AH26" s="3">
        <f>(((AF26+AG26)/2)*(AC26/100)*AB26)/C26</f>
        <v>78.145882352941157</v>
      </c>
    </row>
    <row r="27" spans="1:34" x14ac:dyDescent="0.35">
      <c r="A27" s="3" t="s">
        <v>322</v>
      </c>
      <c r="B27" s="3" t="s">
        <v>59</v>
      </c>
      <c r="C27" s="3">
        <v>31</v>
      </c>
      <c r="D27" s="3">
        <v>0.223</v>
      </c>
      <c r="E27" s="3">
        <v>0.27900000000000003</v>
      </c>
      <c r="F27" s="3">
        <v>0.31900000000000001</v>
      </c>
      <c r="G27" s="3">
        <v>310</v>
      </c>
      <c r="H27" s="3">
        <v>69</v>
      </c>
      <c r="I27" s="3">
        <v>18</v>
      </c>
      <c r="J27" s="3">
        <v>3</v>
      </c>
      <c r="K27" s="3">
        <v>2</v>
      </c>
      <c r="L27" s="3">
        <v>34</v>
      </c>
      <c r="M27" s="3">
        <v>27</v>
      </c>
      <c r="N27" s="3">
        <v>9</v>
      </c>
      <c r="O27" s="3">
        <v>16</v>
      </c>
      <c r="P27" s="3">
        <v>76</v>
      </c>
      <c r="Q27" s="3">
        <v>12</v>
      </c>
      <c r="R27" s="3">
        <v>2</v>
      </c>
      <c r="S27" s="6">
        <f>AH27/10</f>
        <v>7.814193548387097</v>
      </c>
      <c r="T27" s="3">
        <v>40</v>
      </c>
      <c r="U27" s="4">
        <f>(S27*2)+T27</f>
        <v>55.62838709677419</v>
      </c>
      <c r="V27" s="4">
        <f>S27+T27</f>
        <v>47.814193548387095</v>
      </c>
      <c r="W27" s="3"/>
      <c r="X27" s="3"/>
      <c r="Y27" s="3"/>
      <c r="Z27" s="3"/>
      <c r="AA27" s="3"/>
      <c r="AB27" s="3">
        <f>_xlfn.IFS(B27="c", 8, B27="ss", 10, B27="cf", 8,  B27="2b", 8, B27="3b", 6, B27="rf", 4, B27="lf", 2, B27="1b", 2, B27 ="dh", 1)</f>
        <v>8</v>
      </c>
      <c r="AC27" s="3">
        <f>(G27+N27+O27)</f>
        <v>335</v>
      </c>
      <c r="AD27" s="5">
        <f>P27/AC27</f>
        <v>0.22686567164179106</v>
      </c>
      <c r="AE27" s="5">
        <f>(N27+O27)/AC27</f>
        <v>7.4626865671641784E-2</v>
      </c>
      <c r="AF27" s="4">
        <f>100-((AD27-AE27)*100)</f>
        <v>84.776119402985074</v>
      </c>
      <c r="AG27" s="3">
        <f>(F27-D27)*1000</f>
        <v>96</v>
      </c>
      <c r="AH27" s="3">
        <f>(((AF27+AG27)/2)*(AC27/100)*AB27)/C27</f>
        <v>78.141935483870967</v>
      </c>
    </row>
    <row r="28" spans="1:34" x14ac:dyDescent="0.35">
      <c r="A28" s="3" t="s">
        <v>160</v>
      </c>
      <c r="B28" s="3" t="s">
        <v>30</v>
      </c>
      <c r="C28" s="3">
        <v>26</v>
      </c>
      <c r="D28" s="3">
        <v>0.20100000000000001</v>
      </c>
      <c r="E28" s="3">
        <v>0.27400000000000002</v>
      </c>
      <c r="F28" s="3">
        <v>0.34699999999999998</v>
      </c>
      <c r="G28" s="3">
        <v>199</v>
      </c>
      <c r="H28" s="3">
        <v>40</v>
      </c>
      <c r="I28" s="3">
        <v>8</v>
      </c>
      <c r="J28" s="3">
        <v>0</v>
      </c>
      <c r="K28" s="3">
        <v>7</v>
      </c>
      <c r="L28" s="3">
        <v>29</v>
      </c>
      <c r="M28" s="3">
        <v>18</v>
      </c>
      <c r="N28" s="3">
        <v>1</v>
      </c>
      <c r="O28" s="3">
        <v>20</v>
      </c>
      <c r="P28" s="3">
        <v>64</v>
      </c>
      <c r="Q28" s="3">
        <v>8</v>
      </c>
      <c r="R28" s="3">
        <v>2</v>
      </c>
      <c r="S28" s="6">
        <f>AH28/10</f>
        <v>7.6646153846153853</v>
      </c>
      <c r="T28" s="3">
        <v>40</v>
      </c>
      <c r="U28" s="4">
        <f>(S28*2)+T28</f>
        <v>55.329230769230769</v>
      </c>
      <c r="V28" s="4">
        <f>S28+T28</f>
        <v>47.664615384615388</v>
      </c>
      <c r="W28" s="3"/>
      <c r="X28" s="3"/>
      <c r="Y28" s="3"/>
      <c r="Z28" s="3"/>
      <c r="AA28" s="3"/>
      <c r="AB28" s="3">
        <f>_xlfn.IFS(B28="c", 8, B28="ss", 10, B28="cf", 8,  B28="2b", 8, B28="3b", 6, B28="rf", 4, B28="lf", 2, B28="1b", 2, B28 ="dh", 1)</f>
        <v>8</v>
      </c>
      <c r="AC28" s="3">
        <f>(G28+N28+O28)</f>
        <v>220</v>
      </c>
      <c r="AD28" s="5">
        <f>P28/AC28</f>
        <v>0.29090909090909089</v>
      </c>
      <c r="AE28" s="5">
        <f>(N28+O28)/AC28</f>
        <v>9.5454545454545459E-2</v>
      </c>
      <c r="AF28" s="4">
        <f>100-((AD28-AE28)*100)</f>
        <v>80.454545454545453</v>
      </c>
      <c r="AG28" s="3">
        <f>(F28-D28)*1000</f>
        <v>145.99999999999997</v>
      </c>
      <c r="AH28" s="3">
        <f>(((AF28+AG28)/2)*(AC28/100)*AB28)/C28</f>
        <v>76.646153846153851</v>
      </c>
    </row>
    <row r="29" spans="1:34" x14ac:dyDescent="0.35">
      <c r="A29" s="3" t="s">
        <v>304</v>
      </c>
      <c r="B29" s="3" t="s">
        <v>59</v>
      </c>
      <c r="C29" s="3">
        <v>30</v>
      </c>
      <c r="D29" s="3">
        <v>0.26200000000000001</v>
      </c>
      <c r="E29" s="3">
        <v>0.313</v>
      </c>
      <c r="F29" s="3">
        <v>0.36699999999999999</v>
      </c>
      <c r="G29" s="3">
        <v>267</v>
      </c>
      <c r="H29" s="3">
        <v>70</v>
      </c>
      <c r="I29" s="3">
        <v>14</v>
      </c>
      <c r="J29" s="3">
        <v>1</v>
      </c>
      <c r="K29" s="3">
        <v>4</v>
      </c>
      <c r="L29" s="3">
        <v>51</v>
      </c>
      <c r="M29" s="3">
        <v>32</v>
      </c>
      <c r="N29" s="3">
        <v>1</v>
      </c>
      <c r="O29" s="3">
        <v>19</v>
      </c>
      <c r="P29" s="3">
        <v>50</v>
      </c>
      <c r="Q29" s="3">
        <v>12</v>
      </c>
      <c r="R29" s="3">
        <v>1</v>
      </c>
      <c r="S29" s="6">
        <f>AH29/10</f>
        <v>7.4446666666666674</v>
      </c>
      <c r="T29" s="3">
        <v>40</v>
      </c>
      <c r="U29" s="4">
        <f>(S29*2)+T29</f>
        <v>54.889333333333333</v>
      </c>
      <c r="V29" s="4">
        <f>S29+T29</f>
        <v>47.44466666666667</v>
      </c>
      <c r="W29" s="3"/>
      <c r="X29" s="3"/>
      <c r="Y29" s="3"/>
      <c r="Z29" s="3"/>
      <c r="AA29" s="3"/>
      <c r="AB29" s="3">
        <f>_xlfn.IFS(B29="c", 8, B29="ss", 10, B29="cf", 8,  B29="2b", 8, B29="3b", 6, B29="rf", 4, B29="lf", 2, B29="1b", 2, B29 ="dh", 1)</f>
        <v>8</v>
      </c>
      <c r="AC29" s="3">
        <f>(G29+N29+O29)</f>
        <v>287</v>
      </c>
      <c r="AD29" s="5">
        <f>P29/AC29</f>
        <v>0.17421602787456447</v>
      </c>
      <c r="AE29" s="5">
        <f>(N29+O29)/AC29</f>
        <v>6.968641114982578E-2</v>
      </c>
      <c r="AF29" s="4">
        <f>100-((AD29-AE29)*100)</f>
        <v>89.547038327526138</v>
      </c>
      <c r="AG29" s="3">
        <f>(F29-D29)*1000</f>
        <v>104.99999999999999</v>
      </c>
      <c r="AH29" s="3">
        <f>(((AF29+AG29)/2)*(AC29/100)*AB29)/C29</f>
        <v>74.446666666666673</v>
      </c>
    </row>
    <row r="30" spans="1:34" x14ac:dyDescent="0.35">
      <c r="A30" s="3" t="s">
        <v>335</v>
      </c>
      <c r="B30" s="3" t="s">
        <v>30</v>
      </c>
      <c r="C30" s="3">
        <v>32</v>
      </c>
      <c r="D30" s="3">
        <v>0.20100000000000001</v>
      </c>
      <c r="E30" s="3">
        <v>0.26700000000000002</v>
      </c>
      <c r="F30" s="3">
        <v>0.374</v>
      </c>
      <c r="G30" s="3">
        <v>219</v>
      </c>
      <c r="H30" s="3">
        <v>44</v>
      </c>
      <c r="I30" s="3">
        <v>5</v>
      </c>
      <c r="J30" s="3">
        <v>0</v>
      </c>
      <c r="K30" s="3">
        <v>11</v>
      </c>
      <c r="L30" s="3">
        <v>35</v>
      </c>
      <c r="M30" s="3">
        <v>25</v>
      </c>
      <c r="N30" s="3">
        <v>1</v>
      </c>
      <c r="O30" s="3">
        <v>20</v>
      </c>
      <c r="P30" s="3">
        <v>82</v>
      </c>
      <c r="Q30" s="3">
        <v>14</v>
      </c>
      <c r="R30" s="3">
        <v>5</v>
      </c>
      <c r="S30" s="6">
        <f>AH30/10</f>
        <v>7.4275000000000002</v>
      </c>
      <c r="T30" s="3">
        <v>40</v>
      </c>
      <c r="U30" s="4">
        <f>(S30*2)+T30</f>
        <v>54.855000000000004</v>
      </c>
      <c r="V30" s="4">
        <f>S30+T30</f>
        <v>47.427500000000002</v>
      </c>
      <c r="W30" s="3"/>
      <c r="X30" s="3"/>
      <c r="Y30" s="3"/>
      <c r="Z30" s="3"/>
      <c r="AA30" s="3"/>
      <c r="AB30" s="3">
        <f>_xlfn.IFS(B30="c", 8, B30="ss", 10, B30="cf", 8,  B30="2b", 8, B30="3b", 6, B30="rf", 4, B30="lf", 2, B30="1b", 2, B30 ="dh", 1)</f>
        <v>8</v>
      </c>
      <c r="AC30" s="3">
        <f>(G30+N30+O30)</f>
        <v>240</v>
      </c>
      <c r="AD30" s="5">
        <f>P30/AC30</f>
        <v>0.34166666666666667</v>
      </c>
      <c r="AE30" s="5">
        <f>(N30+O30)/AC30</f>
        <v>8.7499999999999994E-2</v>
      </c>
      <c r="AF30" s="4">
        <f>100-((AD30-AE30)*100)</f>
        <v>74.583333333333343</v>
      </c>
      <c r="AG30" s="3">
        <f>(F30-D30)*1000</f>
        <v>173</v>
      </c>
      <c r="AH30" s="3">
        <f>(((AF30+AG30)/2)*(AC30/100)*AB30)/C30</f>
        <v>74.275000000000006</v>
      </c>
    </row>
    <row r="31" spans="1:34" x14ac:dyDescent="0.35">
      <c r="A31" s="3" t="s">
        <v>21</v>
      </c>
      <c r="B31" s="3" t="s">
        <v>22</v>
      </c>
      <c r="C31" s="3">
        <v>21</v>
      </c>
      <c r="D31" s="3">
        <v>0.29199999999999998</v>
      </c>
      <c r="E31" s="3">
        <v>0.39600000000000002</v>
      </c>
      <c r="F31" s="3">
        <v>0.46300000000000002</v>
      </c>
      <c r="G31" s="3">
        <v>257</v>
      </c>
      <c r="H31" s="3">
        <v>75</v>
      </c>
      <c r="I31" s="3">
        <v>18</v>
      </c>
      <c r="J31" s="3">
        <v>1</v>
      </c>
      <c r="K31" s="3">
        <v>8</v>
      </c>
      <c r="L31" s="3">
        <v>48</v>
      </c>
      <c r="M31" s="3">
        <v>32</v>
      </c>
      <c r="N31" s="3">
        <v>5</v>
      </c>
      <c r="O31" s="3">
        <v>40</v>
      </c>
      <c r="P31" s="3">
        <v>84</v>
      </c>
      <c r="Q31" s="3">
        <v>4</v>
      </c>
      <c r="R31" s="3">
        <v>1</v>
      </c>
      <c r="S31" s="6">
        <f>AH31/10</f>
        <v>7.4230476190476198</v>
      </c>
      <c r="T31" s="3">
        <v>60</v>
      </c>
      <c r="U31" s="4">
        <f>(S31*2)+T31</f>
        <v>74.846095238095245</v>
      </c>
      <c r="V31" s="4">
        <f>S31+T31</f>
        <v>67.423047619047622</v>
      </c>
      <c r="W31" s="3"/>
      <c r="X31" s="3"/>
      <c r="Y31" s="3"/>
      <c r="Z31" s="3"/>
      <c r="AA31" s="3"/>
      <c r="AB31" s="3">
        <f>_xlfn.IFS(B31="c", 8, B31="ss", 10, B31="cf", 8,  B31="2b", 8, B31="3b", 6, B31="rf", 4, B31="lf", 2, B31="1b", 2, B31 ="dh", 1)</f>
        <v>4</v>
      </c>
      <c r="AC31" s="3">
        <f>(G31+N31+O31)</f>
        <v>302</v>
      </c>
      <c r="AD31" s="5">
        <f>P31/AC31</f>
        <v>0.27814569536423839</v>
      </c>
      <c r="AE31" s="5">
        <f>(N31+O31)/AC31</f>
        <v>0.1490066225165563</v>
      </c>
      <c r="AF31" s="4">
        <f>100-((AD31-AE31)*100)</f>
        <v>87.086092715231786</v>
      </c>
      <c r="AG31" s="3">
        <f>(F31-D31)*1000</f>
        <v>171.00000000000003</v>
      </c>
      <c r="AH31" s="3">
        <f>(((AF31+AG31)/2)*(AC31/100)*AB31)/C31</f>
        <v>74.230476190476196</v>
      </c>
    </row>
    <row r="32" spans="1:34" x14ac:dyDescent="0.35">
      <c r="A32" s="3" t="s">
        <v>193</v>
      </c>
      <c r="B32" s="3" t="s">
        <v>22</v>
      </c>
      <c r="C32" s="3">
        <v>27</v>
      </c>
      <c r="D32" s="3">
        <v>0.22</v>
      </c>
      <c r="E32" s="3">
        <v>0.28299999999999997</v>
      </c>
      <c r="F32" s="3">
        <v>0.36599999999999999</v>
      </c>
      <c r="G32" s="3">
        <v>396</v>
      </c>
      <c r="H32" s="3">
        <v>87</v>
      </c>
      <c r="I32" s="3">
        <v>21</v>
      </c>
      <c r="J32" s="3">
        <v>2</v>
      </c>
      <c r="K32" s="3">
        <v>11</v>
      </c>
      <c r="L32" s="3">
        <v>56</v>
      </c>
      <c r="M32" s="3">
        <v>40</v>
      </c>
      <c r="N32" s="3">
        <v>3</v>
      </c>
      <c r="O32" s="3">
        <v>33</v>
      </c>
      <c r="P32" s="3">
        <v>109</v>
      </c>
      <c r="Q32" s="3">
        <v>18</v>
      </c>
      <c r="R32" s="3">
        <v>4</v>
      </c>
      <c r="S32" s="6">
        <f>AH32/10</f>
        <v>7.3312592592592596</v>
      </c>
      <c r="T32" s="3">
        <v>40</v>
      </c>
      <c r="U32" s="4">
        <f>(S32*2)+T32</f>
        <v>54.662518518518517</v>
      </c>
      <c r="V32" s="4">
        <f>S32+T32</f>
        <v>47.331259259259262</v>
      </c>
      <c r="W32" s="3"/>
      <c r="X32" s="3"/>
      <c r="Y32" s="3"/>
      <c r="Z32" s="3"/>
      <c r="AA32" s="3"/>
      <c r="AB32" s="3">
        <f>_xlfn.IFS(B32="c", 8, B32="ss", 10, B32="cf", 8,  B32="2b", 8, B32="3b", 6, B32="rf", 4, B32="lf", 2, B32="1b", 2, B32 ="dh", 1)</f>
        <v>4</v>
      </c>
      <c r="AC32" s="3">
        <f>(G32+N32+O32)</f>
        <v>432</v>
      </c>
      <c r="AD32" s="5">
        <f>P32/AC32</f>
        <v>0.25231481481481483</v>
      </c>
      <c r="AE32" s="5">
        <f>(N32+O32)/AC32</f>
        <v>8.3333333333333329E-2</v>
      </c>
      <c r="AF32" s="4">
        <f>100-((AD32-AE32)*100)</f>
        <v>83.101851851851848</v>
      </c>
      <c r="AG32" s="3">
        <f>(F32-D32)*1000</f>
        <v>146</v>
      </c>
      <c r="AH32" s="3">
        <f>(((AF32+AG32)/2)*(AC32/100)*AB32)/C32</f>
        <v>73.312592592592594</v>
      </c>
    </row>
    <row r="33" spans="1:34" x14ac:dyDescent="0.35">
      <c r="A33" s="3" t="s">
        <v>93</v>
      </c>
      <c r="B33" s="3" t="s">
        <v>25</v>
      </c>
      <c r="C33" s="3">
        <v>24</v>
      </c>
      <c r="D33" s="3">
        <v>0.24099999999999999</v>
      </c>
      <c r="E33" s="3">
        <v>0.29599999999999999</v>
      </c>
      <c r="F33" s="3">
        <v>0.33700000000000002</v>
      </c>
      <c r="G33" s="3">
        <v>187</v>
      </c>
      <c r="H33" s="3">
        <v>45</v>
      </c>
      <c r="I33" s="3">
        <v>9</v>
      </c>
      <c r="J33" s="3">
        <v>3</v>
      </c>
      <c r="K33" s="3">
        <v>1</v>
      </c>
      <c r="L33" s="3">
        <v>22</v>
      </c>
      <c r="M33" s="3">
        <v>18</v>
      </c>
      <c r="N33" s="3">
        <v>5</v>
      </c>
      <c r="O33" s="3">
        <v>10</v>
      </c>
      <c r="P33" s="3">
        <v>61</v>
      </c>
      <c r="Q33" s="3">
        <v>3</v>
      </c>
      <c r="R33" s="3">
        <v>1</v>
      </c>
      <c r="S33" s="6">
        <f>AH33/10</f>
        <v>7.2900000000000018</v>
      </c>
      <c r="T33" s="3">
        <v>40</v>
      </c>
      <c r="U33" s="4">
        <f>(S33*2)+T33</f>
        <v>54.580000000000005</v>
      </c>
      <c r="V33" s="4">
        <f>S33+T33</f>
        <v>47.29</v>
      </c>
      <c r="W33" s="3"/>
      <c r="X33" s="3"/>
      <c r="Y33" s="3"/>
      <c r="Z33" s="3"/>
      <c r="AA33" s="3"/>
      <c r="AB33" s="3">
        <f>_xlfn.IFS(B33="c", 8, B33="ss", 10, B33="cf", 8,  B33="2b", 8, B33="3b", 6, B33="rf", 4, B33="lf", 2, B33="1b", 2, B33 ="dh", 1)</f>
        <v>10</v>
      </c>
      <c r="AC33" s="3">
        <f>(G33+N33+O33)</f>
        <v>202</v>
      </c>
      <c r="AD33" s="5">
        <f>P33/AC33</f>
        <v>0.30198019801980197</v>
      </c>
      <c r="AE33" s="5">
        <f>(N33+O33)/AC33</f>
        <v>7.4257425742574254E-2</v>
      </c>
      <c r="AF33" s="4">
        <f>100-((AD33-AE33)*100)</f>
        <v>77.227722772277232</v>
      </c>
      <c r="AG33" s="3">
        <f>(F33-D33)*1000</f>
        <v>96.000000000000028</v>
      </c>
      <c r="AH33" s="3">
        <f>(((AF33+AG33)/2)*(AC33/100)*AB33)/C33</f>
        <v>72.90000000000002</v>
      </c>
    </row>
    <row r="34" spans="1:34" x14ac:dyDescent="0.35">
      <c r="A34" s="3" t="s">
        <v>45</v>
      </c>
      <c r="B34" s="3" t="s">
        <v>32</v>
      </c>
      <c r="C34" s="3">
        <v>22</v>
      </c>
      <c r="D34" s="3">
        <v>0.214</v>
      </c>
      <c r="E34" s="3">
        <v>0.25900000000000001</v>
      </c>
      <c r="F34" s="3">
        <v>0.379</v>
      </c>
      <c r="G34" s="3">
        <v>206</v>
      </c>
      <c r="H34" s="3">
        <v>44</v>
      </c>
      <c r="I34" s="3">
        <v>7</v>
      </c>
      <c r="J34" s="3">
        <v>0</v>
      </c>
      <c r="K34" s="3">
        <v>9</v>
      </c>
      <c r="L34" s="3">
        <v>17</v>
      </c>
      <c r="M34" s="3">
        <v>23</v>
      </c>
      <c r="N34" s="3">
        <v>3</v>
      </c>
      <c r="O34" s="3">
        <v>10</v>
      </c>
      <c r="P34" s="3">
        <v>68</v>
      </c>
      <c r="Q34" s="3">
        <v>1</v>
      </c>
      <c r="R34" s="3">
        <v>1</v>
      </c>
      <c r="S34" s="6">
        <f>AH34/10</f>
        <v>7.1638636363636365</v>
      </c>
      <c r="T34" s="3">
        <v>50</v>
      </c>
      <c r="U34" s="4">
        <f>(S34*2)+T34</f>
        <v>64.327727272727273</v>
      </c>
      <c r="V34" s="4">
        <f>S34+T34</f>
        <v>57.163863636363637</v>
      </c>
      <c r="W34" s="3"/>
      <c r="X34" s="3"/>
      <c r="Y34" s="3"/>
      <c r="Z34" s="3"/>
      <c r="AA34" s="3"/>
      <c r="AB34" s="3">
        <f>_xlfn.IFS(B34="c", 8, B34="ss", 10, B34="cf", 8,  B34="2b", 8, B34="3b", 6, B34="rf", 4, B34="lf", 2, B34="1b", 2, B34 ="dh", 1)</f>
        <v>6</v>
      </c>
      <c r="AC34" s="3">
        <f>(G34+N34+O34)</f>
        <v>219</v>
      </c>
      <c r="AD34" s="5">
        <f>P34/AC34</f>
        <v>0.31050228310502281</v>
      </c>
      <c r="AE34" s="5">
        <f>(N34+O34)/AC34</f>
        <v>5.9360730593607303E-2</v>
      </c>
      <c r="AF34" s="4">
        <f>100-((AD34-AE34)*100)</f>
        <v>74.885844748858446</v>
      </c>
      <c r="AG34" s="3">
        <f>(F34-D34)*1000</f>
        <v>165</v>
      </c>
      <c r="AH34" s="3">
        <f>(((AF34+AG34)/2)*(AC34/100)*AB34)/C34</f>
        <v>71.638636363636365</v>
      </c>
    </row>
    <row r="35" spans="1:34" x14ac:dyDescent="0.35">
      <c r="A35" s="3" t="s">
        <v>115</v>
      </c>
      <c r="B35" s="3" t="s">
        <v>32</v>
      </c>
      <c r="C35" s="3">
        <v>25</v>
      </c>
      <c r="D35" s="3">
        <v>0.23400000000000001</v>
      </c>
      <c r="E35" s="3">
        <v>0.29799999999999999</v>
      </c>
      <c r="F35" s="3">
        <v>0.41099999999999998</v>
      </c>
      <c r="G35" s="3">
        <v>197</v>
      </c>
      <c r="H35" s="3">
        <v>46</v>
      </c>
      <c r="I35" s="3">
        <v>11</v>
      </c>
      <c r="J35" s="3">
        <v>0</v>
      </c>
      <c r="K35" s="3">
        <v>8</v>
      </c>
      <c r="L35" s="3">
        <v>26</v>
      </c>
      <c r="M35" s="3">
        <v>28</v>
      </c>
      <c r="N35" s="3">
        <v>7</v>
      </c>
      <c r="O35" s="3">
        <v>12</v>
      </c>
      <c r="P35" s="3">
        <v>67</v>
      </c>
      <c r="Q35" s="3">
        <v>2</v>
      </c>
      <c r="R35" s="3">
        <v>2</v>
      </c>
      <c r="S35" s="6">
        <f>AH35/10</f>
        <v>6.6038399999999999</v>
      </c>
      <c r="T35" s="3">
        <v>40</v>
      </c>
      <c r="U35" s="4">
        <f>(S35*2)+T35</f>
        <v>53.207679999999996</v>
      </c>
      <c r="V35" s="4">
        <f>S35+T35</f>
        <v>46.603839999999998</v>
      </c>
      <c r="W35" s="3"/>
      <c r="X35" s="3"/>
      <c r="Y35" s="3"/>
      <c r="Z35" s="3"/>
      <c r="AA35" s="3"/>
      <c r="AB35" s="3">
        <f>_xlfn.IFS(B35="c", 8, B35="ss", 10, B35="cf", 8,  B35="2b", 8, B35="3b", 6, B35="rf", 4, B35="lf", 2, B35="1b", 2, B35 ="dh", 1)</f>
        <v>6</v>
      </c>
      <c r="AC35" s="3">
        <f>(G35+N35+O35)</f>
        <v>216</v>
      </c>
      <c r="AD35" s="5">
        <f>P35/AC35</f>
        <v>0.31018518518518517</v>
      </c>
      <c r="AE35" s="5">
        <f>(N35+O35)/AC35</f>
        <v>8.7962962962962965E-2</v>
      </c>
      <c r="AF35" s="4">
        <f>100-((AD35-AE35)*100)</f>
        <v>77.777777777777771</v>
      </c>
      <c r="AG35" s="3">
        <f>(F35-D35)*1000</f>
        <v>176.99999999999997</v>
      </c>
      <c r="AH35" s="3">
        <f>(((AF35+AG35)/2)*(AC35/100)*AB35)/C35</f>
        <v>66.038399999999996</v>
      </c>
    </row>
    <row r="36" spans="1:34" x14ac:dyDescent="0.35">
      <c r="A36" s="3" t="s">
        <v>181</v>
      </c>
      <c r="B36" s="3" t="s">
        <v>30</v>
      </c>
      <c r="C36" s="3">
        <v>27</v>
      </c>
      <c r="D36" s="3">
        <v>0.217</v>
      </c>
      <c r="E36" s="3">
        <v>0.27800000000000002</v>
      </c>
      <c r="F36" s="3">
        <v>0.32700000000000001</v>
      </c>
      <c r="G36" s="3">
        <v>217</v>
      </c>
      <c r="H36" s="3">
        <v>47</v>
      </c>
      <c r="I36" s="3">
        <v>10</v>
      </c>
      <c r="J36" s="3">
        <v>1</v>
      </c>
      <c r="K36" s="3">
        <v>4</v>
      </c>
      <c r="L36" s="3">
        <v>19</v>
      </c>
      <c r="M36" s="3">
        <v>14</v>
      </c>
      <c r="N36" s="3">
        <v>2</v>
      </c>
      <c r="O36" s="3">
        <v>17</v>
      </c>
      <c r="P36" s="3">
        <v>70</v>
      </c>
      <c r="Q36" s="3">
        <v>9</v>
      </c>
      <c r="R36" s="3">
        <v>4</v>
      </c>
      <c r="S36" s="6">
        <f>AH36/10</f>
        <v>6.586666666666666</v>
      </c>
      <c r="T36" s="3">
        <v>40</v>
      </c>
      <c r="U36" s="4">
        <f>(S36*2)+T36</f>
        <v>53.173333333333332</v>
      </c>
      <c r="V36" s="4">
        <f>S36+T36</f>
        <v>46.586666666666666</v>
      </c>
      <c r="W36" s="3"/>
      <c r="X36" s="3"/>
      <c r="Y36" s="3"/>
      <c r="Z36" s="3"/>
      <c r="AA36" s="3"/>
      <c r="AB36" s="3">
        <f>_xlfn.IFS(B36="c", 8, B36="ss", 10, B36="cf", 8,  B36="2b", 8, B36="3b", 6, B36="rf", 4, B36="lf", 2, B36="1b", 2, B36 ="dh", 1)</f>
        <v>8</v>
      </c>
      <c r="AC36" s="3">
        <f>(G36+N36+O36)</f>
        <v>236</v>
      </c>
      <c r="AD36" s="5">
        <f>P36/AC36</f>
        <v>0.29661016949152541</v>
      </c>
      <c r="AE36" s="5">
        <f>(N36+O36)/AC36</f>
        <v>8.050847457627118E-2</v>
      </c>
      <c r="AF36" s="4">
        <f>100-((AD36-AE36)*100)</f>
        <v>78.389830508474574</v>
      </c>
      <c r="AG36" s="3">
        <f>(F36-D36)*1000</f>
        <v>110.00000000000001</v>
      </c>
      <c r="AH36" s="3">
        <f>(((AF36+AG36)/2)*(AC36/100)*AB36)/C36</f>
        <v>65.86666666666666</v>
      </c>
    </row>
    <row r="37" spans="1:34" x14ac:dyDescent="0.35">
      <c r="A37" s="3" t="s">
        <v>199</v>
      </c>
      <c r="B37" s="3" t="s">
        <v>59</v>
      </c>
      <c r="C37" s="3">
        <v>27</v>
      </c>
      <c r="D37" s="3">
        <v>0.21299999999999999</v>
      </c>
      <c r="E37" s="3">
        <v>0.27300000000000002</v>
      </c>
      <c r="F37" s="3">
        <v>0.34499999999999997</v>
      </c>
      <c r="G37" s="3">
        <v>197</v>
      </c>
      <c r="H37" s="3">
        <v>42</v>
      </c>
      <c r="I37" s="3">
        <v>9</v>
      </c>
      <c r="J37" s="3">
        <v>1</v>
      </c>
      <c r="K37" s="3">
        <v>5</v>
      </c>
      <c r="L37" s="3">
        <v>27</v>
      </c>
      <c r="M37" s="3">
        <v>22</v>
      </c>
      <c r="N37" s="3">
        <v>1</v>
      </c>
      <c r="O37" s="3">
        <v>16</v>
      </c>
      <c r="P37" s="3">
        <v>69</v>
      </c>
      <c r="Q37" s="3">
        <v>8</v>
      </c>
      <c r="R37" s="3">
        <v>1</v>
      </c>
      <c r="S37" s="6">
        <f>AH37/10</f>
        <v>6.5848888888888881</v>
      </c>
      <c r="T37" s="3">
        <v>40</v>
      </c>
      <c r="U37" s="4">
        <f>(S37*2)+T37</f>
        <v>53.169777777777774</v>
      </c>
      <c r="V37" s="4">
        <f>S37+T37</f>
        <v>46.584888888888891</v>
      </c>
      <c r="W37" s="3"/>
      <c r="X37" s="3"/>
      <c r="Y37" s="3"/>
      <c r="Z37" s="3"/>
      <c r="AA37" s="3"/>
      <c r="AB37" s="3">
        <f>_xlfn.IFS(B37="c", 8, B37="ss", 10, B37="cf", 8,  B37="2b", 8, B37="3b", 6, B37="rf", 4, B37="lf", 2, B37="1b", 2, B37 ="dh", 1)</f>
        <v>8</v>
      </c>
      <c r="AC37" s="3">
        <f>(G37+N37+O37)</f>
        <v>214</v>
      </c>
      <c r="AD37" s="5">
        <f>P37/AC37</f>
        <v>0.32242990654205606</v>
      </c>
      <c r="AE37" s="5">
        <f>(N37+O37)/AC37</f>
        <v>7.9439252336448593E-2</v>
      </c>
      <c r="AF37" s="4">
        <f>100-((AD37-AE37)*100)</f>
        <v>75.700934579439263</v>
      </c>
      <c r="AG37" s="3">
        <f>(F37-D37)*1000</f>
        <v>131.99999999999997</v>
      </c>
      <c r="AH37" s="3">
        <f>(((AF37+AG37)/2)*(AC37/100)*AB37)/C37</f>
        <v>65.848888888888879</v>
      </c>
    </row>
    <row r="38" spans="1:34" x14ac:dyDescent="0.35">
      <c r="A38" s="3" t="s">
        <v>268</v>
      </c>
      <c r="B38" s="3" t="s">
        <v>25</v>
      </c>
      <c r="C38" s="3">
        <v>29</v>
      </c>
      <c r="D38" s="3">
        <v>0.23400000000000001</v>
      </c>
      <c r="E38" s="3">
        <v>0.30399999999999999</v>
      </c>
      <c r="F38" s="3">
        <v>0.34499999999999997</v>
      </c>
      <c r="G38" s="3">
        <v>171</v>
      </c>
      <c r="H38" s="3">
        <v>40</v>
      </c>
      <c r="I38" s="3">
        <v>4</v>
      </c>
      <c r="J38" s="3">
        <v>0</v>
      </c>
      <c r="K38" s="3">
        <v>5</v>
      </c>
      <c r="L38" s="3">
        <v>19</v>
      </c>
      <c r="M38" s="3">
        <v>17</v>
      </c>
      <c r="N38" s="3">
        <v>2</v>
      </c>
      <c r="O38" s="3">
        <v>16</v>
      </c>
      <c r="P38" s="3">
        <v>39</v>
      </c>
      <c r="Q38" s="3">
        <v>6</v>
      </c>
      <c r="R38" s="3">
        <v>2</v>
      </c>
      <c r="S38" s="6">
        <f>AH38/10</f>
        <v>6.5136206896551716</v>
      </c>
      <c r="T38" s="3">
        <v>40</v>
      </c>
      <c r="U38" s="4">
        <f>(S38*2)+T38</f>
        <v>53.02724137931034</v>
      </c>
      <c r="V38" s="4">
        <f>S38+T38</f>
        <v>46.51362068965517</v>
      </c>
      <c r="W38" s="3"/>
      <c r="X38" s="3"/>
      <c r="Y38" s="3"/>
      <c r="Z38" s="3"/>
      <c r="AA38" s="3"/>
      <c r="AB38" s="3">
        <f>_xlfn.IFS(B38="c", 8, B38="ss", 10, B38="cf", 8,  B38="2b", 8, B38="3b", 6, B38="rf", 4, B38="lf", 2, B38="1b", 2, B38 ="dh", 1)</f>
        <v>10</v>
      </c>
      <c r="AC38" s="3">
        <f>(G38+N38+O38)</f>
        <v>189</v>
      </c>
      <c r="AD38" s="5">
        <f>P38/AC38</f>
        <v>0.20634920634920634</v>
      </c>
      <c r="AE38" s="5">
        <f>(N38+O38)/AC38</f>
        <v>9.5238095238095233E-2</v>
      </c>
      <c r="AF38" s="4">
        <f>100-((AD38-AE38)*100)</f>
        <v>88.888888888888886</v>
      </c>
      <c r="AG38" s="3">
        <f>(F38-D38)*1000</f>
        <v>110.99999999999996</v>
      </c>
      <c r="AH38" s="3">
        <f>(((AF38+AG38)/2)*(AC38/100)*AB38)/C38</f>
        <v>65.136206896551712</v>
      </c>
    </row>
    <row r="39" spans="1:34" x14ac:dyDescent="0.35">
      <c r="A39" s="3" t="s">
        <v>194</v>
      </c>
      <c r="B39" s="3" t="s">
        <v>30</v>
      </c>
      <c r="C39" s="3">
        <v>27</v>
      </c>
      <c r="D39" s="3">
        <v>0.24399999999999999</v>
      </c>
      <c r="E39" s="3">
        <v>0.26800000000000002</v>
      </c>
      <c r="F39" s="3">
        <v>0.313</v>
      </c>
      <c r="G39" s="3">
        <v>262</v>
      </c>
      <c r="H39" s="3">
        <v>64</v>
      </c>
      <c r="I39" s="3">
        <v>9</v>
      </c>
      <c r="J39" s="3">
        <v>0</v>
      </c>
      <c r="K39" s="3">
        <v>3</v>
      </c>
      <c r="L39" s="3">
        <v>20</v>
      </c>
      <c r="M39" s="3">
        <v>20</v>
      </c>
      <c r="N39" s="3">
        <v>1</v>
      </c>
      <c r="O39" s="3">
        <v>9</v>
      </c>
      <c r="P39" s="3">
        <v>43</v>
      </c>
      <c r="Q39" s="3">
        <v>2</v>
      </c>
      <c r="R39" s="3">
        <v>1</v>
      </c>
      <c r="S39" s="6">
        <f>AH39/10</f>
        <v>6.3211851851851861</v>
      </c>
      <c r="T39" s="3">
        <v>40</v>
      </c>
      <c r="U39" s="4">
        <f>(S39*2)+T39</f>
        <v>52.642370370370372</v>
      </c>
      <c r="V39" s="4">
        <f>S39+T39</f>
        <v>46.321185185185186</v>
      </c>
      <c r="W39" s="3"/>
      <c r="X39" s="3"/>
      <c r="Y39" s="3"/>
      <c r="Z39" s="3"/>
      <c r="AA39" s="3"/>
      <c r="AB39" s="3">
        <f>_xlfn.IFS(B39="c", 8, B39="ss", 10, B39="cf", 8,  B39="2b", 8, B39="3b", 6, B39="rf", 4, B39="lf", 2, B39="1b", 2, B39 ="dh", 1)</f>
        <v>8</v>
      </c>
      <c r="AC39" s="3">
        <f>(G39+N39+O39)</f>
        <v>272</v>
      </c>
      <c r="AD39" s="5">
        <f>P39/AC39</f>
        <v>0.15808823529411764</v>
      </c>
      <c r="AE39" s="5">
        <f>(N39+O39)/AC39</f>
        <v>3.6764705882352942E-2</v>
      </c>
      <c r="AF39" s="4">
        <f>100-((AD39-AE39)*100)</f>
        <v>87.867647058823536</v>
      </c>
      <c r="AG39" s="3">
        <f>(F39-D39)*1000</f>
        <v>69</v>
      </c>
      <c r="AH39" s="3">
        <f>(((AF39+AG39)/2)*(AC39/100)*AB39)/C39</f>
        <v>63.211851851851861</v>
      </c>
    </row>
    <row r="40" spans="1:34" x14ac:dyDescent="0.35">
      <c r="A40" s="3" t="s">
        <v>67</v>
      </c>
      <c r="B40" s="3" t="s">
        <v>59</v>
      </c>
      <c r="C40" s="3">
        <v>23</v>
      </c>
      <c r="D40" s="3">
        <v>0.19</v>
      </c>
      <c r="E40" s="3">
        <v>0.26600000000000001</v>
      </c>
      <c r="F40" s="3">
        <v>0.38100000000000001</v>
      </c>
      <c r="G40" s="3">
        <v>126</v>
      </c>
      <c r="H40" s="3">
        <v>24</v>
      </c>
      <c r="I40" s="3">
        <v>4</v>
      </c>
      <c r="J40" s="3">
        <v>1</v>
      </c>
      <c r="K40" s="3">
        <v>6</v>
      </c>
      <c r="L40" s="3">
        <v>20</v>
      </c>
      <c r="M40" s="3">
        <v>11</v>
      </c>
      <c r="N40" s="3">
        <v>3</v>
      </c>
      <c r="O40" s="3">
        <v>10</v>
      </c>
      <c r="P40" s="3">
        <v>59</v>
      </c>
      <c r="Q40" s="3">
        <v>7</v>
      </c>
      <c r="R40" s="3">
        <v>1</v>
      </c>
      <c r="S40" s="6">
        <f>AH40/10</f>
        <v>6.2346086956521738</v>
      </c>
      <c r="T40" s="3">
        <v>40</v>
      </c>
      <c r="U40" s="4">
        <f>(S40*2)+T40</f>
        <v>52.469217391304348</v>
      </c>
      <c r="V40" s="4">
        <f>S40+T40</f>
        <v>46.23460869565217</v>
      </c>
      <c r="W40" s="3"/>
      <c r="X40" s="3"/>
      <c r="Y40" s="3"/>
      <c r="Z40" s="3"/>
      <c r="AA40" s="3"/>
      <c r="AB40" s="3">
        <f>_xlfn.IFS(B40="c", 8, B40="ss", 10, B40="cf", 8,  B40="2b", 8, B40="3b", 6, B40="rf", 4, B40="lf", 2, B40="1b", 2, B40 ="dh", 1)</f>
        <v>8</v>
      </c>
      <c r="AC40" s="3">
        <f>(G40+N40+O40)</f>
        <v>139</v>
      </c>
      <c r="AD40" s="5">
        <f>P40/AC40</f>
        <v>0.42446043165467628</v>
      </c>
      <c r="AE40" s="5">
        <f>(N40+O40)/AC40</f>
        <v>9.3525179856115109E-2</v>
      </c>
      <c r="AF40" s="4">
        <f>100-((AD40-AE40)*100)</f>
        <v>66.90647482014387</v>
      </c>
      <c r="AG40" s="3">
        <f>(F40-D40)*1000</f>
        <v>191</v>
      </c>
      <c r="AH40" s="3">
        <f>(((AF40+AG40)/2)*(AC40/100)*AB40)/C40</f>
        <v>62.346086956521738</v>
      </c>
    </row>
    <row r="41" spans="1:34" x14ac:dyDescent="0.35">
      <c r="A41" s="3" t="s">
        <v>139</v>
      </c>
      <c r="B41" s="3" t="s">
        <v>25</v>
      </c>
      <c r="C41" s="3">
        <v>26</v>
      </c>
      <c r="D41" s="3">
        <v>0.224</v>
      </c>
      <c r="E41" s="3">
        <v>0.26600000000000001</v>
      </c>
      <c r="F41" s="3">
        <v>0.29299999999999998</v>
      </c>
      <c r="G41" s="3">
        <v>205</v>
      </c>
      <c r="H41" s="3">
        <v>46</v>
      </c>
      <c r="I41" s="3">
        <v>14</v>
      </c>
      <c r="J41" s="3">
        <v>0</v>
      </c>
      <c r="K41" s="3">
        <v>0</v>
      </c>
      <c r="L41" s="3">
        <v>16</v>
      </c>
      <c r="M41" s="3">
        <v>14</v>
      </c>
      <c r="N41" s="3">
        <v>4</v>
      </c>
      <c r="O41" s="3">
        <v>8</v>
      </c>
      <c r="P41" s="3">
        <v>55</v>
      </c>
      <c r="Q41" s="3">
        <v>11</v>
      </c>
      <c r="R41" s="3">
        <v>2</v>
      </c>
      <c r="S41" s="6">
        <f>AH41/10</f>
        <v>6.2255769230769218</v>
      </c>
      <c r="T41" s="3">
        <v>40</v>
      </c>
      <c r="U41" s="4">
        <f>(S41*2)+T41</f>
        <v>52.451153846153844</v>
      </c>
      <c r="V41" s="4">
        <f>S41+T41</f>
        <v>46.225576923076922</v>
      </c>
      <c r="W41" s="3"/>
      <c r="X41" s="3"/>
      <c r="Y41" s="3"/>
      <c r="Z41" s="3"/>
      <c r="AA41" s="3"/>
      <c r="AB41" s="3">
        <f>_xlfn.IFS(B41="c", 8, B41="ss", 10, B41="cf", 8,  B41="2b", 8, B41="3b", 6, B41="rf", 4, B41="lf", 2, B41="1b", 2, B41 ="dh", 1)</f>
        <v>10</v>
      </c>
      <c r="AC41" s="3">
        <f>(G41+N41+O41)</f>
        <v>217</v>
      </c>
      <c r="AD41" s="5">
        <f>P41/AC41</f>
        <v>0.25345622119815669</v>
      </c>
      <c r="AE41" s="5">
        <f>(N41+O41)/AC41</f>
        <v>5.5299539170506916E-2</v>
      </c>
      <c r="AF41" s="4">
        <f>100-((AD41-AE41)*100)</f>
        <v>80.184331797235018</v>
      </c>
      <c r="AG41" s="3">
        <f>(F41-D41)*1000</f>
        <v>68.999999999999972</v>
      </c>
      <c r="AH41" s="3">
        <f>(((AF41+AG41)/2)*(AC41/100)*AB41)/C41</f>
        <v>62.255769230769218</v>
      </c>
    </row>
    <row r="42" spans="1:34" x14ac:dyDescent="0.35">
      <c r="A42" s="3" t="s">
        <v>283</v>
      </c>
      <c r="B42" s="3" t="s">
        <v>25</v>
      </c>
      <c r="C42" s="3">
        <v>30</v>
      </c>
      <c r="D42" s="3">
        <v>0.20200000000000001</v>
      </c>
      <c r="E42" s="3">
        <v>0.23799999999999999</v>
      </c>
      <c r="F42" s="3">
        <v>0.29099999999999998</v>
      </c>
      <c r="G42" s="3">
        <v>203</v>
      </c>
      <c r="H42" s="3">
        <v>41</v>
      </c>
      <c r="I42" s="3">
        <v>7</v>
      </c>
      <c r="J42" s="3">
        <v>1</v>
      </c>
      <c r="K42" s="3">
        <v>3</v>
      </c>
      <c r="L42" s="3">
        <v>13</v>
      </c>
      <c r="M42" s="3">
        <v>13</v>
      </c>
      <c r="N42" s="3">
        <v>0</v>
      </c>
      <c r="O42" s="3">
        <v>10</v>
      </c>
      <c r="P42" s="3">
        <v>47</v>
      </c>
      <c r="Q42" s="3">
        <v>0</v>
      </c>
      <c r="R42" s="3">
        <v>1</v>
      </c>
      <c r="S42" s="6">
        <f>AH42/10</f>
        <v>6.0928333333333313</v>
      </c>
      <c r="T42" s="3">
        <v>40</v>
      </c>
      <c r="U42" s="4">
        <f>(S42*2)+T42</f>
        <v>52.185666666666663</v>
      </c>
      <c r="V42" s="4">
        <f>S42+T42</f>
        <v>46.092833333333331</v>
      </c>
      <c r="W42" s="3"/>
      <c r="X42" s="3"/>
      <c r="Y42" s="3"/>
      <c r="Z42" s="3"/>
      <c r="AA42" s="3"/>
      <c r="AB42" s="3">
        <f>_xlfn.IFS(B42="c", 8, B42="ss", 10, B42="cf", 8,  B42="2b", 8, B42="3b", 6, B42="rf", 4, B42="lf", 2, B42="1b", 2, B42 ="dh", 1)</f>
        <v>10</v>
      </c>
      <c r="AC42" s="3">
        <f>(G42+N42+O42)</f>
        <v>213</v>
      </c>
      <c r="AD42" s="5">
        <f>P42/AC42</f>
        <v>0.22065727699530516</v>
      </c>
      <c r="AE42" s="5">
        <f>(N42+O42)/AC42</f>
        <v>4.6948356807511735E-2</v>
      </c>
      <c r="AF42" s="4">
        <f>100-((AD42-AE42)*100)</f>
        <v>82.629107981220656</v>
      </c>
      <c r="AG42" s="3">
        <f>(F42-D42)*1000</f>
        <v>88.999999999999972</v>
      </c>
      <c r="AH42" s="3">
        <f>(((AF42+AG42)/2)*(AC42/100)*AB42)/C42</f>
        <v>60.928333333333313</v>
      </c>
    </row>
    <row r="43" spans="1:34" x14ac:dyDescent="0.35">
      <c r="A43" s="3" t="s">
        <v>362</v>
      </c>
      <c r="B43" s="3" t="s">
        <v>30</v>
      </c>
      <c r="C43" s="3">
        <v>35</v>
      </c>
      <c r="D43" s="3">
        <v>0.22900000000000001</v>
      </c>
      <c r="E43" s="3">
        <v>0.29799999999999999</v>
      </c>
      <c r="F43" s="3">
        <v>0.29399999999999998</v>
      </c>
      <c r="G43" s="3">
        <v>306</v>
      </c>
      <c r="H43" s="3">
        <v>70</v>
      </c>
      <c r="I43" s="3">
        <v>11</v>
      </c>
      <c r="J43" s="3">
        <v>0</v>
      </c>
      <c r="K43" s="3">
        <v>3</v>
      </c>
      <c r="L43" s="3">
        <v>29</v>
      </c>
      <c r="M43" s="3">
        <v>36</v>
      </c>
      <c r="N43" s="3">
        <v>7</v>
      </c>
      <c r="O43" s="3">
        <v>24</v>
      </c>
      <c r="P43" s="3">
        <v>56</v>
      </c>
      <c r="Q43" s="3">
        <v>5</v>
      </c>
      <c r="R43" s="3">
        <v>1</v>
      </c>
      <c r="S43" s="6">
        <f>AH43/10</f>
        <v>6.0691428571428565</v>
      </c>
      <c r="T43" s="3">
        <v>40</v>
      </c>
      <c r="U43" s="4">
        <f>(S43*2)+T43</f>
        <v>52.138285714285715</v>
      </c>
      <c r="V43" s="4">
        <f>S43+T43</f>
        <v>46.069142857142857</v>
      </c>
      <c r="W43" s="3"/>
      <c r="X43" s="3"/>
      <c r="Y43" s="3"/>
      <c r="Z43" s="3"/>
      <c r="AA43" s="3"/>
      <c r="AB43" s="3">
        <f>_xlfn.IFS(B43="c", 8, B43="ss", 10, B43="cf", 8,  B43="2b", 8, B43="3b", 6, B43="rf", 4, B43="lf", 2, B43="1b", 2, B43 ="dh", 1)</f>
        <v>8</v>
      </c>
      <c r="AC43" s="3">
        <f>(G43+N43+O43)</f>
        <v>337</v>
      </c>
      <c r="AD43" s="5">
        <f>P43/AC43</f>
        <v>0.16617210682492581</v>
      </c>
      <c r="AE43" s="5">
        <f>(N43+O43)/AC43</f>
        <v>9.1988130563798218E-2</v>
      </c>
      <c r="AF43" s="4">
        <f>100-((AD43-AE43)*100)</f>
        <v>92.581602373887236</v>
      </c>
      <c r="AG43" s="3">
        <f>(F43-D43)*1000</f>
        <v>64.999999999999972</v>
      </c>
      <c r="AH43" s="3">
        <f>(((AF43+AG43)/2)*(AC43/100)*AB43)/C43</f>
        <v>60.691428571428567</v>
      </c>
    </row>
    <row r="44" spans="1:34" x14ac:dyDescent="0.35">
      <c r="A44" s="3" t="s">
        <v>233</v>
      </c>
      <c r="B44" s="3" t="s">
        <v>25</v>
      </c>
      <c r="C44" s="3">
        <v>28</v>
      </c>
      <c r="D44" s="3">
        <v>0.27</v>
      </c>
      <c r="E44" s="3">
        <v>0.31900000000000001</v>
      </c>
      <c r="F44" s="3">
        <v>0.437</v>
      </c>
      <c r="G44" s="3">
        <v>126</v>
      </c>
      <c r="H44" s="3">
        <v>34</v>
      </c>
      <c r="I44" s="3">
        <v>9</v>
      </c>
      <c r="J44" s="3">
        <v>0</v>
      </c>
      <c r="K44" s="3">
        <v>4</v>
      </c>
      <c r="L44" s="3">
        <v>19</v>
      </c>
      <c r="M44" s="3">
        <v>16</v>
      </c>
      <c r="N44" s="3">
        <v>2</v>
      </c>
      <c r="O44" s="3">
        <v>7</v>
      </c>
      <c r="P44" s="3">
        <v>32</v>
      </c>
      <c r="Q44" s="3">
        <v>2</v>
      </c>
      <c r="R44" s="3">
        <v>1</v>
      </c>
      <c r="S44" s="6">
        <f>AH44/10</f>
        <v>6.0258928571428569</v>
      </c>
      <c r="T44" s="3">
        <v>40</v>
      </c>
      <c r="U44" s="4">
        <f>(S44*2)+T44</f>
        <v>52.051785714285714</v>
      </c>
      <c r="V44" s="4">
        <f>S44+T44</f>
        <v>46.025892857142857</v>
      </c>
      <c r="W44" s="3"/>
      <c r="X44" s="3"/>
      <c r="Y44" s="3"/>
      <c r="Z44" s="3"/>
      <c r="AA44" s="3"/>
      <c r="AB44" s="3">
        <f>_xlfn.IFS(B44="c", 8, B44="ss", 10, B44="cf", 8,  B44="2b", 8, B44="3b", 6, B44="rf", 4, B44="lf", 2, B44="1b", 2, B44 ="dh", 1)</f>
        <v>10</v>
      </c>
      <c r="AC44" s="3">
        <f>(G44+N44+O44)</f>
        <v>135</v>
      </c>
      <c r="AD44" s="5">
        <f>P44/AC44</f>
        <v>0.23703703703703705</v>
      </c>
      <c r="AE44" s="5">
        <f>(N44+O44)/AC44</f>
        <v>6.6666666666666666E-2</v>
      </c>
      <c r="AF44" s="4">
        <f>100-((AD44-AE44)*100)</f>
        <v>82.962962962962962</v>
      </c>
      <c r="AG44" s="3">
        <f>(F44-D44)*1000</f>
        <v>166.99999999999997</v>
      </c>
      <c r="AH44" s="3">
        <f>(((AF44+AG44)/2)*(AC44/100)*AB44)/C44</f>
        <v>60.258928571428569</v>
      </c>
    </row>
    <row r="45" spans="1:34" x14ac:dyDescent="0.35">
      <c r="A45" s="3" t="s">
        <v>60</v>
      </c>
      <c r="B45" s="3" t="s">
        <v>59</v>
      </c>
      <c r="C45" s="3">
        <v>23</v>
      </c>
      <c r="D45" s="3">
        <v>0.223</v>
      </c>
      <c r="E45" s="3">
        <v>0.25700000000000001</v>
      </c>
      <c r="F45" s="3">
        <v>0.315</v>
      </c>
      <c r="G45" s="3">
        <v>197</v>
      </c>
      <c r="H45" s="3">
        <v>44</v>
      </c>
      <c r="I45" s="3">
        <v>9</v>
      </c>
      <c r="J45" s="3">
        <v>0</v>
      </c>
      <c r="K45" s="3">
        <v>3</v>
      </c>
      <c r="L45" s="3">
        <v>22</v>
      </c>
      <c r="M45" s="3">
        <v>18</v>
      </c>
      <c r="N45" s="3">
        <v>1</v>
      </c>
      <c r="O45" s="3">
        <v>8</v>
      </c>
      <c r="P45" s="3">
        <v>62</v>
      </c>
      <c r="Q45" s="3">
        <v>4</v>
      </c>
      <c r="R45" s="3">
        <v>0</v>
      </c>
      <c r="S45" s="6">
        <f>AH45/10</f>
        <v>5.9568695652173922</v>
      </c>
      <c r="T45" s="3">
        <v>50</v>
      </c>
      <c r="U45" s="4">
        <f>(S45*2)+T45</f>
        <v>61.913739130434784</v>
      </c>
      <c r="V45" s="4">
        <f>S45+T45</f>
        <v>55.956869565217389</v>
      </c>
      <c r="W45" s="3"/>
      <c r="X45" s="3"/>
      <c r="Y45" s="3"/>
      <c r="Z45" s="3"/>
      <c r="AA45" s="3"/>
      <c r="AB45" s="3">
        <f>_xlfn.IFS(B45="c", 8, B45="ss", 10, B45="cf", 8,  B45="2b", 8, B45="3b", 6, B45="rf", 4, B45="lf", 2, B45="1b", 2, B45 ="dh", 1)</f>
        <v>8</v>
      </c>
      <c r="AC45" s="3">
        <f>(G45+N45+O45)</f>
        <v>206</v>
      </c>
      <c r="AD45" s="5">
        <f>P45/AC45</f>
        <v>0.30097087378640774</v>
      </c>
      <c r="AE45" s="5">
        <f>(N45+O45)/AC45</f>
        <v>4.3689320388349516E-2</v>
      </c>
      <c r="AF45" s="4">
        <f>100-((AD45-AE45)*100)</f>
        <v>74.271844660194176</v>
      </c>
      <c r="AG45" s="3">
        <f>(F45-D45)*1000</f>
        <v>92</v>
      </c>
      <c r="AH45" s="3">
        <f>(((AF45+AG45)/2)*(AC45/100)*AB45)/C45</f>
        <v>59.568695652173922</v>
      </c>
    </row>
    <row r="46" spans="1:34" x14ac:dyDescent="0.35">
      <c r="A46" s="3" t="s">
        <v>38</v>
      </c>
      <c r="B46" s="3" t="s">
        <v>32</v>
      </c>
      <c r="C46" s="3">
        <v>22</v>
      </c>
      <c r="D46" s="3">
        <v>0.23400000000000001</v>
      </c>
      <c r="E46" s="3">
        <v>0.252</v>
      </c>
      <c r="F46" s="3">
        <v>0.32200000000000001</v>
      </c>
      <c r="G46" s="3">
        <v>261</v>
      </c>
      <c r="H46" s="3">
        <v>61</v>
      </c>
      <c r="I46" s="3">
        <v>11</v>
      </c>
      <c r="J46" s="3">
        <v>0</v>
      </c>
      <c r="K46" s="3">
        <v>4</v>
      </c>
      <c r="L46" s="3">
        <v>26</v>
      </c>
      <c r="M46" s="3">
        <v>29</v>
      </c>
      <c r="N46" s="3">
        <v>0</v>
      </c>
      <c r="O46" s="3">
        <v>8</v>
      </c>
      <c r="P46" s="3">
        <v>78</v>
      </c>
      <c r="Q46" s="3">
        <v>5</v>
      </c>
      <c r="R46" s="3">
        <v>3</v>
      </c>
      <c r="S46" s="6">
        <f>AH46/10</f>
        <v>5.9416363636363627</v>
      </c>
      <c r="T46" s="3">
        <v>40</v>
      </c>
      <c r="U46" s="4">
        <f>(S46*2)+T46</f>
        <v>51.883272727272725</v>
      </c>
      <c r="V46" s="4">
        <f>S46+T46</f>
        <v>45.941636363636363</v>
      </c>
      <c r="W46" s="3"/>
      <c r="X46" s="3"/>
      <c r="Y46" s="3"/>
      <c r="Z46" s="3"/>
      <c r="AA46" s="3"/>
      <c r="AB46" s="3">
        <f>_xlfn.IFS(B46="c", 8, B46="ss", 10, B46="cf", 8,  B46="2b", 8, B46="3b", 6, B46="rf", 4, B46="lf", 2, B46="1b", 2, B46 ="dh", 1)</f>
        <v>6</v>
      </c>
      <c r="AC46" s="3">
        <f>(G46+N46+O46)</f>
        <v>269</v>
      </c>
      <c r="AD46" s="5">
        <f>P46/AC46</f>
        <v>0.2899628252788104</v>
      </c>
      <c r="AE46" s="5">
        <f>(N46+O46)/AC46</f>
        <v>2.9739776951672861E-2</v>
      </c>
      <c r="AF46" s="4">
        <f>100-((AD46-AE46)*100)</f>
        <v>73.977695167286242</v>
      </c>
      <c r="AG46" s="3">
        <f>(F46-D46)*1000</f>
        <v>88</v>
      </c>
      <c r="AH46" s="3">
        <f>(((AF46+AG46)/2)*(AC46/100)*AB46)/C46</f>
        <v>59.416363636363627</v>
      </c>
    </row>
    <row r="47" spans="1:34" x14ac:dyDescent="0.35">
      <c r="A47" s="3" t="s">
        <v>50</v>
      </c>
      <c r="B47" s="3" t="s">
        <v>25</v>
      </c>
      <c r="C47" s="3">
        <v>22</v>
      </c>
      <c r="D47" s="3">
        <v>0.17199999999999999</v>
      </c>
      <c r="E47" s="3">
        <v>0.219</v>
      </c>
      <c r="F47" s="3">
        <v>0.35399999999999998</v>
      </c>
      <c r="G47" s="3">
        <v>99</v>
      </c>
      <c r="H47" s="3">
        <v>17</v>
      </c>
      <c r="I47" s="3">
        <v>3</v>
      </c>
      <c r="J47" s="3">
        <v>0</v>
      </c>
      <c r="K47" s="3">
        <v>5</v>
      </c>
      <c r="L47" s="3">
        <v>11</v>
      </c>
      <c r="M47" s="3">
        <v>12</v>
      </c>
      <c r="N47" s="3">
        <v>0</v>
      </c>
      <c r="O47" s="3">
        <v>6</v>
      </c>
      <c r="P47" s="3">
        <v>44</v>
      </c>
      <c r="Q47" s="3">
        <v>2</v>
      </c>
      <c r="R47" s="3">
        <v>1</v>
      </c>
      <c r="S47" s="6">
        <f>AH47/10</f>
        <v>5.8659090909090903</v>
      </c>
      <c r="T47" s="3">
        <v>40</v>
      </c>
      <c r="U47" s="4">
        <f>(S47*2)+T47</f>
        <v>51.731818181818184</v>
      </c>
      <c r="V47" s="4">
        <f>S47+T47</f>
        <v>45.865909090909092</v>
      </c>
      <c r="W47" s="3"/>
      <c r="X47" s="3"/>
      <c r="Y47" s="3"/>
      <c r="Z47" s="3"/>
      <c r="AA47" s="3"/>
      <c r="AB47" s="3">
        <f>_xlfn.IFS(B47="c", 8, B47="ss", 10, B47="cf", 8,  B47="2b", 8, B47="3b", 6, B47="rf", 4, B47="lf", 2, B47="1b", 2, B47 ="dh", 1)</f>
        <v>10</v>
      </c>
      <c r="AC47" s="3">
        <f>(G47+N47+O47)</f>
        <v>105</v>
      </c>
      <c r="AD47" s="5">
        <f>P47/AC47</f>
        <v>0.41904761904761906</v>
      </c>
      <c r="AE47" s="5">
        <f>(N47+O47)/AC47</f>
        <v>5.7142857142857141E-2</v>
      </c>
      <c r="AF47" s="4">
        <f>100-((AD47-AE47)*100)</f>
        <v>63.80952380952381</v>
      </c>
      <c r="AG47" s="3">
        <f>(F47-D47)*1000</f>
        <v>182</v>
      </c>
      <c r="AH47" s="3">
        <f>(((AF47+AG47)/2)*(AC47/100)*AB47)/C47</f>
        <v>58.659090909090907</v>
      </c>
    </row>
    <row r="48" spans="1:34" x14ac:dyDescent="0.35">
      <c r="A48" s="3" t="s">
        <v>17</v>
      </c>
      <c r="B48" s="3" t="s">
        <v>18</v>
      </c>
      <c r="C48" s="3">
        <v>20</v>
      </c>
      <c r="D48" s="3">
        <v>0.16500000000000001</v>
      </c>
      <c r="E48" s="3">
        <v>0.22900000000000001</v>
      </c>
      <c r="F48" s="3">
        <v>0.33</v>
      </c>
      <c r="G48" s="3">
        <v>109</v>
      </c>
      <c r="H48" s="3">
        <v>18</v>
      </c>
      <c r="I48" s="3">
        <v>6</v>
      </c>
      <c r="J48" s="3">
        <v>0</v>
      </c>
      <c r="K48" s="3">
        <v>4</v>
      </c>
      <c r="L48" s="3">
        <v>10</v>
      </c>
      <c r="M48" s="3">
        <v>15</v>
      </c>
      <c r="N48" s="3">
        <v>3</v>
      </c>
      <c r="O48" s="3">
        <v>6</v>
      </c>
      <c r="P48" s="3">
        <v>30</v>
      </c>
      <c r="Q48" s="3">
        <v>0</v>
      </c>
      <c r="R48" s="3">
        <v>0</v>
      </c>
      <c r="S48" s="6">
        <f>AH48/10</f>
        <v>5.8339999999999996</v>
      </c>
      <c r="T48" s="3">
        <v>60</v>
      </c>
      <c r="U48" s="4">
        <f>(S48*2)+T48</f>
        <v>71.668000000000006</v>
      </c>
      <c r="V48" s="4">
        <f>S48+T48</f>
        <v>65.834000000000003</v>
      </c>
      <c r="W48" s="3"/>
      <c r="X48" s="3"/>
      <c r="Y48" s="3"/>
      <c r="Z48" s="3"/>
      <c r="AA48" s="3"/>
      <c r="AB48" s="3">
        <f>_xlfn.IFS(B48="c", 8, B48="ss", 10, B48="cf", 8,  B48="2b", 8, B48="3b", 6, B48="rf", 4, B48="lf", 2, B48="1b", 2, B48 ="dh", 1)</f>
        <v>8</v>
      </c>
      <c r="AC48" s="3">
        <f>(G48+N48+O48)</f>
        <v>118</v>
      </c>
      <c r="AD48" s="5">
        <f>P48/AC48</f>
        <v>0.25423728813559321</v>
      </c>
      <c r="AE48" s="5">
        <f>(N48+O48)/AC48</f>
        <v>7.6271186440677971E-2</v>
      </c>
      <c r="AF48" s="4">
        <f>100-((AD48-AE48)*100)</f>
        <v>82.203389830508485</v>
      </c>
      <c r="AG48" s="3">
        <f>(F48-D48)*1000</f>
        <v>165</v>
      </c>
      <c r="AH48" s="3">
        <f>(((AF48+AG48)/2)*(AC48/100)*AB48)/C48</f>
        <v>58.339999999999996</v>
      </c>
    </row>
    <row r="49" spans="1:34" x14ac:dyDescent="0.35">
      <c r="A49" s="3" t="s">
        <v>206</v>
      </c>
      <c r="B49" s="3" t="s">
        <v>47</v>
      </c>
      <c r="C49" s="3">
        <v>27</v>
      </c>
      <c r="D49" s="3">
        <v>0.28799999999999998</v>
      </c>
      <c r="E49" s="3">
        <v>0.36799999999999999</v>
      </c>
      <c r="F49" s="3">
        <v>0.54400000000000004</v>
      </c>
      <c r="G49" s="3">
        <v>399</v>
      </c>
      <c r="H49" s="3">
        <v>115</v>
      </c>
      <c r="I49" s="3">
        <v>21</v>
      </c>
      <c r="J49" s="3">
        <v>3</v>
      </c>
      <c r="K49" s="3">
        <v>25</v>
      </c>
      <c r="L49" s="3">
        <v>61</v>
      </c>
      <c r="M49" s="3">
        <v>73</v>
      </c>
      <c r="N49" s="3">
        <v>5</v>
      </c>
      <c r="O49" s="3">
        <v>48</v>
      </c>
      <c r="P49" s="3">
        <v>125</v>
      </c>
      <c r="Q49" s="3">
        <v>5</v>
      </c>
      <c r="R49" s="3">
        <v>1</v>
      </c>
      <c r="S49" s="6">
        <f>AH49/10</f>
        <v>5.6930370370370378</v>
      </c>
      <c r="T49" s="3">
        <v>40</v>
      </c>
      <c r="U49" s="4">
        <f>(S49*2)+T49</f>
        <v>51.386074074074074</v>
      </c>
      <c r="V49" s="4">
        <f>S49+T49</f>
        <v>45.693037037037037</v>
      </c>
      <c r="W49" s="3"/>
      <c r="X49" s="3"/>
      <c r="Y49" s="3"/>
      <c r="Z49" s="3"/>
      <c r="AA49" s="3"/>
      <c r="AB49" s="3">
        <f>_xlfn.IFS(B49="c", 8, B49="ss", 10, B49="cf", 8,  B49="2b", 8, B49="3b", 6, B49="rf", 4, B49="lf", 2, B49="1b", 2, B49 ="dh", 1)</f>
        <v>2</v>
      </c>
      <c r="AC49" s="3">
        <f>(G49+N49+O49)</f>
        <v>452</v>
      </c>
      <c r="AD49" s="5">
        <f>P49/AC49</f>
        <v>0.27654867256637167</v>
      </c>
      <c r="AE49" s="5">
        <f>(N49+O49)/AC49</f>
        <v>0.11725663716814159</v>
      </c>
      <c r="AF49" s="4">
        <f>100-((AD49-AE49)*100)</f>
        <v>84.070796460176993</v>
      </c>
      <c r="AG49" s="3">
        <f>(F49-D49)*1000</f>
        <v>256.00000000000006</v>
      </c>
      <c r="AH49" s="3">
        <f>(((AF49+AG49)/2)*(AC49/100)*AB49)/C49</f>
        <v>56.930370370370376</v>
      </c>
    </row>
    <row r="50" spans="1:34" x14ac:dyDescent="0.35">
      <c r="A50" s="3" t="s">
        <v>368</v>
      </c>
      <c r="B50" s="3" t="s">
        <v>18</v>
      </c>
      <c r="C50" s="3">
        <v>36</v>
      </c>
      <c r="D50" s="3">
        <v>0.19700000000000001</v>
      </c>
      <c r="E50" s="3">
        <v>0.255</v>
      </c>
      <c r="F50" s="3">
        <v>0.34300000000000003</v>
      </c>
      <c r="G50" s="3">
        <v>213</v>
      </c>
      <c r="H50" s="3">
        <v>42</v>
      </c>
      <c r="I50" s="3">
        <v>13</v>
      </c>
      <c r="J50" s="3">
        <v>0</v>
      </c>
      <c r="K50" s="3">
        <v>6</v>
      </c>
      <c r="L50" s="3">
        <v>16</v>
      </c>
      <c r="M50" s="3">
        <v>21</v>
      </c>
      <c r="N50" s="3">
        <v>4</v>
      </c>
      <c r="O50" s="3">
        <v>13</v>
      </c>
      <c r="P50" s="3">
        <v>74</v>
      </c>
      <c r="Q50" s="3">
        <v>0</v>
      </c>
      <c r="R50" s="3">
        <v>0</v>
      </c>
      <c r="S50" s="6">
        <f>AH50/10</f>
        <v>5.6533333333333342</v>
      </c>
      <c r="T50" s="3">
        <v>40</v>
      </c>
      <c r="U50" s="4">
        <f>(S50*2)+T50</f>
        <v>51.306666666666672</v>
      </c>
      <c r="V50" s="4">
        <f>S50+T50</f>
        <v>45.653333333333336</v>
      </c>
      <c r="W50" s="3"/>
      <c r="X50" s="3"/>
      <c r="Y50" s="3"/>
      <c r="Z50" s="3"/>
      <c r="AA50" s="3"/>
      <c r="AB50" s="3">
        <f>_xlfn.IFS(B50="c", 8, B50="ss", 10, B50="cf", 8,  B50="2b", 8, B50="3b", 6, B50="rf", 4, B50="lf", 2, B50="1b", 2, B50 ="dh", 1)</f>
        <v>8</v>
      </c>
      <c r="AC50" s="3">
        <f>(G50+N50+O50)</f>
        <v>230</v>
      </c>
      <c r="AD50" s="5">
        <f>P50/AC50</f>
        <v>0.32173913043478258</v>
      </c>
      <c r="AE50" s="5">
        <f>(N50+O50)/AC50</f>
        <v>7.3913043478260873E-2</v>
      </c>
      <c r="AF50" s="4">
        <f>100-((AD50-AE50)*100)</f>
        <v>75.217391304347828</v>
      </c>
      <c r="AG50" s="3">
        <f>(F50-D50)*1000</f>
        <v>146.00000000000003</v>
      </c>
      <c r="AH50" s="3">
        <f>(((AF50+AG50)/2)*(AC50/100)*AB50)/C50</f>
        <v>56.533333333333339</v>
      </c>
    </row>
    <row r="51" spans="1:34" x14ac:dyDescent="0.35">
      <c r="A51" s="3" t="s">
        <v>237</v>
      </c>
      <c r="B51" s="3" t="s">
        <v>18</v>
      </c>
      <c r="C51" s="3">
        <v>28</v>
      </c>
      <c r="D51" s="3">
        <v>0.23100000000000001</v>
      </c>
      <c r="E51" s="3">
        <v>0.26200000000000001</v>
      </c>
      <c r="F51" s="3">
        <v>0.375</v>
      </c>
      <c r="G51" s="3">
        <v>160</v>
      </c>
      <c r="H51" s="3">
        <v>37</v>
      </c>
      <c r="I51" s="3">
        <v>8</v>
      </c>
      <c r="J51" s="3">
        <v>0</v>
      </c>
      <c r="K51" s="3">
        <v>5</v>
      </c>
      <c r="L51" s="3">
        <v>16</v>
      </c>
      <c r="M51" s="3">
        <v>19</v>
      </c>
      <c r="N51" s="3">
        <v>0</v>
      </c>
      <c r="O51" s="3">
        <v>7</v>
      </c>
      <c r="P51" s="3">
        <v>22</v>
      </c>
      <c r="Q51" s="3">
        <v>0</v>
      </c>
      <c r="R51" s="3">
        <v>0</v>
      </c>
      <c r="S51" s="6">
        <f>AH51/10</f>
        <v>5.6068571428571428</v>
      </c>
      <c r="T51" s="3">
        <v>40</v>
      </c>
      <c r="U51" s="4">
        <f>(S51*2)+T51</f>
        <v>51.213714285714289</v>
      </c>
      <c r="V51" s="4">
        <f>S51+T51</f>
        <v>45.606857142857145</v>
      </c>
      <c r="W51" s="3"/>
      <c r="X51" s="3"/>
      <c r="Y51" s="3"/>
      <c r="Z51" s="3"/>
      <c r="AA51" s="3"/>
      <c r="AB51" s="3">
        <f>_xlfn.IFS(B51="c", 8, B51="ss", 10, B51="cf", 8,  B51="2b", 8, B51="3b", 6, B51="rf", 4, B51="lf", 2, B51="1b", 2, B51 ="dh", 1)</f>
        <v>8</v>
      </c>
      <c r="AC51" s="3">
        <f>(G51+N51+O51)</f>
        <v>167</v>
      </c>
      <c r="AD51" s="5">
        <f>P51/AC51</f>
        <v>0.1317365269461078</v>
      </c>
      <c r="AE51" s="5">
        <f>(N51+O51)/AC51</f>
        <v>4.1916167664670656E-2</v>
      </c>
      <c r="AF51" s="4">
        <f>100-((AD51-AE51)*100)</f>
        <v>91.017964071856284</v>
      </c>
      <c r="AG51" s="3">
        <f>(F51-D51)*1000</f>
        <v>144</v>
      </c>
      <c r="AH51" s="3">
        <f>(((AF51+AG51)/2)*(AC51/100)*AB51)/C51</f>
        <v>56.068571428571424</v>
      </c>
    </row>
    <row r="52" spans="1:34" x14ac:dyDescent="0.35">
      <c r="A52" s="3" t="s">
        <v>342</v>
      </c>
      <c r="B52" s="3" t="s">
        <v>32</v>
      </c>
      <c r="C52" s="3">
        <v>33</v>
      </c>
      <c r="D52" s="3">
        <v>0.20300000000000001</v>
      </c>
      <c r="E52" s="3">
        <v>0.255</v>
      </c>
      <c r="F52" s="3">
        <v>0.36599999999999999</v>
      </c>
      <c r="G52" s="3">
        <v>232</v>
      </c>
      <c r="H52" s="3">
        <v>47</v>
      </c>
      <c r="I52" s="3">
        <v>8</v>
      </c>
      <c r="J52" s="3">
        <v>0</v>
      </c>
      <c r="K52" s="3">
        <v>10</v>
      </c>
      <c r="L52" s="3">
        <v>30</v>
      </c>
      <c r="M52" s="3">
        <v>35</v>
      </c>
      <c r="N52" s="3">
        <v>0</v>
      </c>
      <c r="O52" s="3">
        <v>18</v>
      </c>
      <c r="P52" s="3">
        <v>68</v>
      </c>
      <c r="Q52" s="3">
        <v>0</v>
      </c>
      <c r="R52" s="3">
        <v>0</v>
      </c>
      <c r="S52" s="6">
        <f>AH52/10</f>
        <v>5.5227272727272716</v>
      </c>
      <c r="T52" s="3">
        <v>40</v>
      </c>
      <c r="U52" s="4">
        <f>(S52*2)+T52</f>
        <v>51.045454545454547</v>
      </c>
      <c r="V52" s="4">
        <f>S52+T52</f>
        <v>45.522727272727273</v>
      </c>
      <c r="W52" s="3"/>
      <c r="X52" s="3"/>
      <c r="Y52" s="3"/>
      <c r="Z52" s="3"/>
      <c r="AA52" s="3"/>
      <c r="AB52" s="3">
        <f>_xlfn.IFS(B52="c", 8, B52="ss", 10, B52="cf", 8,  B52="2b", 8, B52="3b", 6, B52="rf", 4, B52="lf", 2, B52="1b", 2, B52 ="dh", 1)</f>
        <v>6</v>
      </c>
      <c r="AC52" s="3">
        <f>(G52+N52+O52)</f>
        <v>250</v>
      </c>
      <c r="AD52" s="5">
        <f>P52/AC52</f>
        <v>0.27200000000000002</v>
      </c>
      <c r="AE52" s="5">
        <f>(N52+O52)/AC52</f>
        <v>7.1999999999999995E-2</v>
      </c>
      <c r="AF52" s="4">
        <f>100-((AD52-AE52)*100)</f>
        <v>80</v>
      </c>
      <c r="AG52" s="3">
        <f>(F52-D52)*1000</f>
        <v>162.99999999999997</v>
      </c>
      <c r="AH52" s="3">
        <f>(((AF52+AG52)/2)*(AC52/100)*AB52)/C52</f>
        <v>55.227272727272712</v>
      </c>
    </row>
    <row r="53" spans="1:34" x14ac:dyDescent="0.35">
      <c r="A53" s="3" t="s">
        <v>235</v>
      </c>
      <c r="B53" s="3" t="s">
        <v>59</v>
      </c>
      <c r="C53" s="3">
        <v>28</v>
      </c>
      <c r="D53" s="3">
        <v>0.13400000000000001</v>
      </c>
      <c r="E53" s="3">
        <v>0.216</v>
      </c>
      <c r="F53" s="3">
        <v>0.32100000000000001</v>
      </c>
      <c r="G53" s="3">
        <v>134</v>
      </c>
      <c r="H53" s="3">
        <v>18</v>
      </c>
      <c r="I53" s="3">
        <v>5</v>
      </c>
      <c r="J53" s="3">
        <v>1</v>
      </c>
      <c r="K53" s="3">
        <v>6</v>
      </c>
      <c r="L53" s="3">
        <v>19</v>
      </c>
      <c r="M53" s="3">
        <v>11</v>
      </c>
      <c r="N53" s="3">
        <v>2</v>
      </c>
      <c r="O53" s="3">
        <v>12</v>
      </c>
      <c r="P53" s="3">
        <v>63</v>
      </c>
      <c r="Q53" s="3">
        <v>1</v>
      </c>
      <c r="R53" s="3">
        <v>0</v>
      </c>
      <c r="S53" s="6">
        <f>AH53/10</f>
        <v>5.3680000000000003</v>
      </c>
      <c r="T53" s="3">
        <v>40</v>
      </c>
      <c r="U53" s="4">
        <f>(S53*2)+T53</f>
        <v>50.736000000000004</v>
      </c>
      <c r="V53" s="4">
        <f>S53+T53</f>
        <v>45.368000000000002</v>
      </c>
      <c r="W53" s="3"/>
      <c r="X53" s="3"/>
      <c r="Y53" s="3"/>
      <c r="Z53" s="3"/>
      <c r="AA53" s="3"/>
      <c r="AB53" s="3">
        <f>_xlfn.IFS(B53="c", 8, B53="ss", 10, B53="cf", 8,  B53="2b", 8, B53="3b", 6, B53="rf", 4, B53="lf", 2, B53="1b", 2, B53 ="dh", 1)</f>
        <v>8</v>
      </c>
      <c r="AC53" s="3">
        <f>(G53+N53+O53)</f>
        <v>148</v>
      </c>
      <c r="AD53" s="5">
        <f>P53/AC53</f>
        <v>0.42567567567567566</v>
      </c>
      <c r="AE53" s="5">
        <f>(N53+O53)/AC53</f>
        <v>9.45945945945946E-2</v>
      </c>
      <c r="AF53" s="4">
        <f>100-((AD53-AE53)*100)</f>
        <v>66.891891891891902</v>
      </c>
      <c r="AG53" s="3">
        <f>(F53-D53)*1000</f>
        <v>187</v>
      </c>
      <c r="AH53" s="3">
        <f>(((AF53+AG53)/2)*(AC53/100)*AB53)/C53</f>
        <v>53.68</v>
      </c>
    </row>
    <row r="54" spans="1:34" x14ac:dyDescent="0.35">
      <c r="A54" s="3" t="s">
        <v>90</v>
      </c>
      <c r="B54" s="3" t="s">
        <v>32</v>
      </c>
      <c r="C54" s="3">
        <v>24</v>
      </c>
      <c r="D54" s="3">
        <v>0.224</v>
      </c>
      <c r="E54" s="3">
        <v>0.311</v>
      </c>
      <c r="F54" s="3">
        <v>0.36599999999999999</v>
      </c>
      <c r="G54" s="3">
        <v>161</v>
      </c>
      <c r="H54" s="3">
        <v>36</v>
      </c>
      <c r="I54" s="3">
        <v>9</v>
      </c>
      <c r="J54" s="3">
        <v>1</v>
      </c>
      <c r="K54" s="3">
        <v>4</v>
      </c>
      <c r="L54" s="3">
        <v>18</v>
      </c>
      <c r="M54" s="3">
        <v>11</v>
      </c>
      <c r="N54" s="3">
        <v>0</v>
      </c>
      <c r="O54" s="3">
        <v>21</v>
      </c>
      <c r="P54" s="3">
        <v>36</v>
      </c>
      <c r="Q54" s="3">
        <v>2</v>
      </c>
      <c r="R54" s="3">
        <v>0</v>
      </c>
      <c r="S54" s="6">
        <f>AH54/10</f>
        <v>5.3179999999999996</v>
      </c>
      <c r="T54" s="3">
        <v>40</v>
      </c>
      <c r="U54" s="4">
        <f>(S54*2)+T54</f>
        <v>50.635999999999996</v>
      </c>
      <c r="V54" s="4">
        <f>S54+T54</f>
        <v>45.317999999999998</v>
      </c>
      <c r="W54" s="3"/>
      <c r="X54" s="3"/>
      <c r="Y54" s="3"/>
      <c r="Z54" s="3"/>
      <c r="AA54" s="3"/>
      <c r="AB54" s="3">
        <f>_xlfn.IFS(B54="c", 8, B54="ss", 10, B54="cf", 8,  B54="2b", 8, B54="3b", 6, B54="rf", 4, B54="lf", 2, B54="1b", 2, B54 ="dh", 1)</f>
        <v>6</v>
      </c>
      <c r="AC54" s="3">
        <f>(G54+N54+O54)</f>
        <v>182</v>
      </c>
      <c r="AD54" s="5">
        <f>P54/AC54</f>
        <v>0.19780219780219779</v>
      </c>
      <c r="AE54" s="5">
        <f>(N54+O54)/AC54</f>
        <v>0.11538461538461539</v>
      </c>
      <c r="AF54" s="4">
        <f>100-((AD54-AE54)*100)</f>
        <v>91.758241758241752</v>
      </c>
      <c r="AG54" s="3">
        <f>(F54-D54)*1000</f>
        <v>142</v>
      </c>
      <c r="AH54" s="3">
        <f>(((AF54+AG54)/2)*(AC54/100)*AB54)/C54</f>
        <v>53.18</v>
      </c>
    </row>
    <row r="55" spans="1:34" x14ac:dyDescent="0.35">
      <c r="A55" s="3" t="s">
        <v>173</v>
      </c>
      <c r="B55" s="3" t="s">
        <v>22</v>
      </c>
      <c r="C55" s="3">
        <v>27</v>
      </c>
      <c r="D55" s="3">
        <v>0.22600000000000001</v>
      </c>
      <c r="E55" s="3">
        <v>0.27300000000000002</v>
      </c>
      <c r="F55" s="3">
        <v>0.435</v>
      </c>
      <c r="G55" s="3">
        <v>230</v>
      </c>
      <c r="H55" s="3">
        <v>52</v>
      </c>
      <c r="I55" s="3">
        <v>8</v>
      </c>
      <c r="J55" s="3">
        <v>2</v>
      </c>
      <c r="K55" s="3">
        <v>12</v>
      </c>
      <c r="L55" s="3">
        <v>31</v>
      </c>
      <c r="M55" s="3">
        <v>41</v>
      </c>
      <c r="N55" s="3">
        <v>1</v>
      </c>
      <c r="O55" s="3">
        <v>16</v>
      </c>
      <c r="P55" s="3">
        <v>67</v>
      </c>
      <c r="Q55" s="3">
        <v>2</v>
      </c>
      <c r="R55" s="3">
        <v>2</v>
      </c>
      <c r="S55" s="6">
        <f>AH55/10</f>
        <v>5.2831851851851859</v>
      </c>
      <c r="T55" s="3">
        <v>40</v>
      </c>
      <c r="U55" s="4">
        <f>(S55*2)+T55</f>
        <v>50.566370370370372</v>
      </c>
      <c r="V55" s="4">
        <f>S55+T55</f>
        <v>45.283185185185189</v>
      </c>
      <c r="W55" s="3"/>
      <c r="X55" s="3"/>
      <c r="Y55" s="3"/>
      <c r="Z55" s="3"/>
      <c r="AA55" s="3"/>
      <c r="AB55" s="3">
        <f>_xlfn.IFS(B55="c", 8, B55="ss", 10, B55="cf", 8,  B55="2b", 8, B55="3b", 6, B55="rf", 4, B55="lf", 2, B55="1b", 2, B55 ="dh", 1)</f>
        <v>4</v>
      </c>
      <c r="AC55" s="3">
        <f>(G55+N55+O55)</f>
        <v>247</v>
      </c>
      <c r="AD55" s="5">
        <f>P55/AC55</f>
        <v>0.27125506072874495</v>
      </c>
      <c r="AE55" s="5">
        <f>(N55+O55)/AC55</f>
        <v>6.8825910931174086E-2</v>
      </c>
      <c r="AF55" s="4">
        <f>100-((AD55-AE55)*100)</f>
        <v>79.757085020242911</v>
      </c>
      <c r="AG55" s="3">
        <f>(F55-D55)*1000</f>
        <v>209</v>
      </c>
      <c r="AH55" s="3">
        <f>(((AF55+AG55)/2)*(AC55/100)*AB55)/C55</f>
        <v>52.831851851851859</v>
      </c>
    </row>
    <row r="56" spans="1:34" x14ac:dyDescent="0.35">
      <c r="A56" s="3" t="s">
        <v>106</v>
      </c>
      <c r="B56" s="3" t="s">
        <v>59</v>
      </c>
      <c r="C56" s="3">
        <v>25</v>
      </c>
      <c r="D56" s="3">
        <v>0.23</v>
      </c>
      <c r="E56" s="3">
        <v>0.27400000000000002</v>
      </c>
      <c r="F56" s="3">
        <v>0.372</v>
      </c>
      <c r="G56" s="3">
        <v>148</v>
      </c>
      <c r="H56" s="3">
        <v>34</v>
      </c>
      <c r="I56" s="3">
        <v>8</v>
      </c>
      <c r="J56" s="3">
        <v>2</v>
      </c>
      <c r="K56" s="3">
        <v>3</v>
      </c>
      <c r="L56" s="3">
        <v>18</v>
      </c>
      <c r="M56" s="3">
        <v>8</v>
      </c>
      <c r="N56" s="3">
        <v>3</v>
      </c>
      <c r="O56" s="3">
        <v>6</v>
      </c>
      <c r="P56" s="3">
        <v>61</v>
      </c>
      <c r="Q56" s="3">
        <v>6</v>
      </c>
      <c r="R56" s="3">
        <v>0</v>
      </c>
      <c r="S56" s="6">
        <f>AH56/10</f>
        <v>5.2470400000000001</v>
      </c>
      <c r="T56" s="3">
        <v>40</v>
      </c>
      <c r="U56" s="4">
        <f>(S56*2)+T56</f>
        <v>50.494079999999997</v>
      </c>
      <c r="V56" s="4">
        <f>S56+T56</f>
        <v>45.247039999999998</v>
      </c>
      <c r="W56" s="3"/>
      <c r="X56" s="3"/>
      <c r="Y56" s="3"/>
      <c r="Z56" s="3"/>
      <c r="AA56" s="3"/>
      <c r="AB56" s="3">
        <f>_xlfn.IFS(B56="c", 8, B56="ss", 10, B56="cf", 8,  B56="2b", 8, B56="3b", 6, B56="rf", 4, B56="lf", 2, B56="1b", 2, B56 ="dh", 1)</f>
        <v>8</v>
      </c>
      <c r="AC56" s="3">
        <f>(G56+N56+O56)</f>
        <v>157</v>
      </c>
      <c r="AD56" s="5">
        <f>P56/AC56</f>
        <v>0.38853503184713378</v>
      </c>
      <c r="AE56" s="5">
        <f>(N56+O56)/AC56</f>
        <v>5.7324840764331211E-2</v>
      </c>
      <c r="AF56" s="4">
        <f>100-((AD56-AE56)*100)</f>
        <v>66.878980891719749</v>
      </c>
      <c r="AG56" s="3">
        <f>(F56-D56)*1000</f>
        <v>142</v>
      </c>
      <c r="AH56" s="3">
        <f>(((AF56+AG56)/2)*(AC56/100)*AB56)/C56</f>
        <v>52.470399999999998</v>
      </c>
    </row>
    <row r="57" spans="1:34" x14ac:dyDescent="0.35">
      <c r="A57" s="3" t="s">
        <v>158</v>
      </c>
      <c r="B57" s="3" t="s">
        <v>59</v>
      </c>
      <c r="C57" s="3">
        <v>26</v>
      </c>
      <c r="D57" s="3">
        <v>0.14699999999999999</v>
      </c>
      <c r="E57" s="3">
        <v>0.28100000000000003</v>
      </c>
      <c r="F57" s="3">
        <v>0.253</v>
      </c>
      <c r="G57" s="3">
        <v>150</v>
      </c>
      <c r="H57" s="3">
        <v>22</v>
      </c>
      <c r="I57" s="3">
        <v>7</v>
      </c>
      <c r="J57" s="3">
        <v>0</v>
      </c>
      <c r="K57" s="3">
        <v>3</v>
      </c>
      <c r="L57" s="3">
        <v>15</v>
      </c>
      <c r="M57" s="3">
        <v>10</v>
      </c>
      <c r="N57" s="3">
        <v>4</v>
      </c>
      <c r="O57" s="3">
        <v>24</v>
      </c>
      <c r="P57" s="3">
        <v>57</v>
      </c>
      <c r="Q57" s="3">
        <v>7</v>
      </c>
      <c r="R57" s="3">
        <v>1</v>
      </c>
      <c r="S57" s="6">
        <f>AH57/10</f>
        <v>5.1950769230769236</v>
      </c>
      <c r="T57" s="3">
        <v>40</v>
      </c>
      <c r="U57" s="4">
        <f>(S57*2)+T57</f>
        <v>50.390153846153851</v>
      </c>
      <c r="V57" s="4">
        <f>S57+T57</f>
        <v>45.195076923076925</v>
      </c>
      <c r="W57" s="3"/>
      <c r="X57" s="3"/>
      <c r="Y57" s="3"/>
      <c r="Z57" s="3"/>
      <c r="AA57" s="3"/>
      <c r="AB57" s="3">
        <f>_xlfn.IFS(B57="c", 8, B57="ss", 10, B57="cf", 8,  B57="2b", 8, B57="3b", 6, B57="rf", 4, B57="lf", 2, B57="1b", 2, B57 ="dh", 1)</f>
        <v>8</v>
      </c>
      <c r="AC57" s="3">
        <f>(G57+N57+O57)</f>
        <v>178</v>
      </c>
      <c r="AD57" s="5">
        <f>P57/AC57</f>
        <v>0.3202247191011236</v>
      </c>
      <c r="AE57" s="5">
        <f>(N57+O57)/AC57</f>
        <v>0.15730337078651685</v>
      </c>
      <c r="AF57" s="4">
        <f>100-((AD57-AE57)*100)</f>
        <v>83.707865168539328</v>
      </c>
      <c r="AG57" s="3">
        <f>(F57-D57)*1000</f>
        <v>106.00000000000001</v>
      </c>
      <c r="AH57" s="3">
        <f>(((AF57+AG57)/2)*(AC57/100)*AB57)/C57</f>
        <v>51.950769230769232</v>
      </c>
    </row>
    <row r="58" spans="1:34" x14ac:dyDescent="0.35">
      <c r="A58" s="3" t="s">
        <v>100</v>
      </c>
      <c r="B58" s="3" t="s">
        <v>32</v>
      </c>
      <c r="C58" s="3">
        <v>24</v>
      </c>
      <c r="D58" s="3">
        <v>0.253</v>
      </c>
      <c r="E58" s="3">
        <v>0.29399999999999998</v>
      </c>
      <c r="F58" s="3">
        <v>0.31</v>
      </c>
      <c r="G58" s="3">
        <v>277</v>
      </c>
      <c r="H58" s="3">
        <v>70</v>
      </c>
      <c r="I58" s="3">
        <v>13</v>
      </c>
      <c r="J58" s="3">
        <v>0</v>
      </c>
      <c r="K58" s="3">
        <v>1</v>
      </c>
      <c r="L58" s="3">
        <v>36</v>
      </c>
      <c r="M58" s="3">
        <v>21</v>
      </c>
      <c r="N58" s="3">
        <v>1</v>
      </c>
      <c r="O58" s="3">
        <v>15</v>
      </c>
      <c r="P58" s="3">
        <v>64</v>
      </c>
      <c r="Q58" s="3">
        <v>5</v>
      </c>
      <c r="R58" s="3">
        <v>1</v>
      </c>
      <c r="S58" s="6">
        <f>AH58/10</f>
        <v>5.1501250000000001</v>
      </c>
      <c r="T58" s="3">
        <v>40</v>
      </c>
      <c r="U58" s="4">
        <f>(S58*2)+T58</f>
        <v>50.300249999999998</v>
      </c>
      <c r="V58" s="4">
        <f>S58+T58</f>
        <v>45.150125000000003</v>
      </c>
      <c r="W58" s="3"/>
      <c r="X58" s="3"/>
      <c r="Y58" s="3"/>
      <c r="Z58" s="3"/>
      <c r="AA58" s="3"/>
      <c r="AB58" s="3">
        <f>_xlfn.IFS(B58="c", 8, B58="ss", 10, B58="cf", 8,  B58="2b", 8, B58="3b", 6, B58="rf", 4, B58="lf", 2, B58="1b", 2, B58 ="dh", 1)</f>
        <v>6</v>
      </c>
      <c r="AC58" s="3">
        <f>(G58+N58+O58)</f>
        <v>293</v>
      </c>
      <c r="AD58" s="5">
        <f>P58/AC58</f>
        <v>0.21843003412969283</v>
      </c>
      <c r="AE58" s="5">
        <f>(N58+O58)/AC58</f>
        <v>5.4607508532423209E-2</v>
      </c>
      <c r="AF58" s="4">
        <f>100-((AD58-AE58)*100)</f>
        <v>83.617747440273035</v>
      </c>
      <c r="AG58" s="3">
        <f>(F58-D58)*1000</f>
        <v>56.999999999999993</v>
      </c>
      <c r="AH58" s="3">
        <f>(((AF58+AG58)/2)*(AC58/100)*AB58)/C58</f>
        <v>51.501249999999999</v>
      </c>
    </row>
    <row r="59" spans="1:34" x14ac:dyDescent="0.35">
      <c r="A59" s="3" t="s">
        <v>120</v>
      </c>
      <c r="B59" s="3" t="s">
        <v>32</v>
      </c>
      <c r="C59" s="3">
        <v>25</v>
      </c>
      <c r="D59" s="3">
        <v>0.16400000000000001</v>
      </c>
      <c r="E59" s="3">
        <v>0.223</v>
      </c>
      <c r="F59" s="3">
        <v>0.25</v>
      </c>
      <c r="G59" s="3">
        <v>244</v>
      </c>
      <c r="H59" s="3">
        <v>40</v>
      </c>
      <c r="I59" s="3">
        <v>6</v>
      </c>
      <c r="J59" s="3">
        <v>0</v>
      </c>
      <c r="K59" s="3">
        <v>5</v>
      </c>
      <c r="L59" s="3">
        <v>24</v>
      </c>
      <c r="M59" s="3">
        <v>20</v>
      </c>
      <c r="N59" s="3">
        <v>2</v>
      </c>
      <c r="O59" s="3">
        <v>17</v>
      </c>
      <c r="P59" s="3">
        <v>80</v>
      </c>
      <c r="Q59" s="3">
        <v>9</v>
      </c>
      <c r="R59" s="3">
        <v>0</v>
      </c>
      <c r="S59" s="6">
        <f>AH59/10</f>
        <v>5.1381600000000001</v>
      </c>
      <c r="T59" s="3">
        <v>40</v>
      </c>
      <c r="U59" s="4">
        <f>(S59*2)+T59</f>
        <v>50.276319999999998</v>
      </c>
      <c r="V59" s="4">
        <f>S59+T59</f>
        <v>45.138159999999999</v>
      </c>
      <c r="W59" s="3"/>
      <c r="X59" s="3"/>
      <c r="Y59" s="3"/>
      <c r="Z59" s="3"/>
      <c r="AA59" s="3"/>
      <c r="AB59" s="3">
        <f>_xlfn.IFS(B59="c", 8, B59="ss", 10, B59="cf", 8,  B59="2b", 8, B59="3b", 6, B59="rf", 4, B59="lf", 2, B59="1b", 2, B59 ="dh", 1)</f>
        <v>6</v>
      </c>
      <c r="AC59" s="3">
        <f>(G59+N59+O59)</f>
        <v>263</v>
      </c>
      <c r="AD59" s="5">
        <f>P59/AC59</f>
        <v>0.30418250950570341</v>
      </c>
      <c r="AE59" s="5">
        <f>(N59+O59)/AC59</f>
        <v>7.2243346007604556E-2</v>
      </c>
      <c r="AF59" s="4">
        <f>100-((AD59-AE59)*100)</f>
        <v>76.806083650190118</v>
      </c>
      <c r="AG59" s="3">
        <f>(F59-D59)*1000</f>
        <v>86</v>
      </c>
      <c r="AH59" s="3">
        <f>(((AF59+AG59)/2)*(AC59/100)*AB59)/C59</f>
        <v>51.381599999999999</v>
      </c>
    </row>
    <row r="60" spans="1:34" x14ac:dyDescent="0.35">
      <c r="A60" s="3" t="s">
        <v>191</v>
      </c>
      <c r="B60" s="3" t="s">
        <v>30</v>
      </c>
      <c r="C60" s="3">
        <v>27</v>
      </c>
      <c r="D60" s="3">
        <v>0.26400000000000001</v>
      </c>
      <c r="E60" s="3">
        <v>0.309</v>
      </c>
      <c r="F60" s="3">
        <v>0.36799999999999999</v>
      </c>
      <c r="G60" s="3">
        <v>174</v>
      </c>
      <c r="H60" s="3">
        <v>46</v>
      </c>
      <c r="I60" s="3">
        <v>9</v>
      </c>
      <c r="J60" s="3">
        <v>0</v>
      </c>
      <c r="K60" s="3">
        <v>3</v>
      </c>
      <c r="L60" s="3">
        <v>25</v>
      </c>
      <c r="M60" s="3">
        <v>23</v>
      </c>
      <c r="N60" s="3">
        <v>3</v>
      </c>
      <c r="O60" s="3">
        <v>9</v>
      </c>
      <c r="P60" s="3">
        <v>45</v>
      </c>
      <c r="Q60" s="3">
        <v>4</v>
      </c>
      <c r="R60" s="3">
        <v>1</v>
      </c>
      <c r="S60" s="6">
        <f>AH60/10</f>
        <v>5.1324444444444444</v>
      </c>
      <c r="T60" s="3">
        <v>40</v>
      </c>
      <c r="U60" s="4">
        <f>(S60*2)+T60</f>
        <v>50.264888888888891</v>
      </c>
      <c r="V60" s="4">
        <f>S60+T60</f>
        <v>45.132444444444445</v>
      </c>
      <c r="W60" s="3"/>
      <c r="X60" s="3"/>
      <c r="Y60" s="3"/>
      <c r="Z60" s="3"/>
      <c r="AA60" s="3"/>
      <c r="AB60" s="3">
        <f>_xlfn.IFS(B60="c", 8, B60="ss", 10, B60="cf", 8,  B60="2b", 8, B60="3b", 6, B60="rf", 4, B60="lf", 2, B60="1b", 2, B60 ="dh", 1)</f>
        <v>8</v>
      </c>
      <c r="AC60" s="3">
        <f>(G60+N60+O60)</f>
        <v>186</v>
      </c>
      <c r="AD60" s="5">
        <f>P60/AC60</f>
        <v>0.24193548387096775</v>
      </c>
      <c r="AE60" s="5">
        <f>(N60+O60)/AC60</f>
        <v>6.4516129032258063E-2</v>
      </c>
      <c r="AF60" s="4">
        <f>100-((AD60-AE60)*100)</f>
        <v>82.258064516129025</v>
      </c>
      <c r="AG60" s="3">
        <f>(F60-D60)*1000</f>
        <v>103.99999999999999</v>
      </c>
      <c r="AH60" s="3">
        <f>(((AF60+AG60)/2)*(AC60/100)*AB60)/C60</f>
        <v>51.324444444444445</v>
      </c>
    </row>
    <row r="61" spans="1:34" x14ac:dyDescent="0.35">
      <c r="A61" s="3" t="s">
        <v>240</v>
      </c>
      <c r="B61" s="3" t="s">
        <v>30</v>
      </c>
      <c r="C61" s="3">
        <v>28</v>
      </c>
      <c r="D61" s="3">
        <v>0.19700000000000001</v>
      </c>
      <c r="E61" s="3">
        <v>0.29499999999999998</v>
      </c>
      <c r="F61" s="3">
        <v>0.27300000000000002</v>
      </c>
      <c r="G61" s="3">
        <v>183</v>
      </c>
      <c r="H61" s="3">
        <v>36</v>
      </c>
      <c r="I61" s="3">
        <v>4</v>
      </c>
      <c r="J61" s="3">
        <v>2</v>
      </c>
      <c r="K61" s="3">
        <v>2</v>
      </c>
      <c r="L61" s="3">
        <v>20</v>
      </c>
      <c r="M61" s="3">
        <v>13</v>
      </c>
      <c r="N61" s="3">
        <v>4</v>
      </c>
      <c r="O61" s="3">
        <v>22</v>
      </c>
      <c r="P61" s="3">
        <v>35</v>
      </c>
      <c r="Q61" s="3">
        <v>7</v>
      </c>
      <c r="R61" s="3">
        <v>1</v>
      </c>
      <c r="S61" s="6">
        <f>AH61/10</f>
        <v>5.1262857142857134</v>
      </c>
      <c r="T61" s="3">
        <v>40</v>
      </c>
      <c r="U61" s="4">
        <f>(S61*2)+T61</f>
        <v>50.252571428571429</v>
      </c>
      <c r="V61" s="4">
        <f>S61+T61</f>
        <v>45.126285714285714</v>
      </c>
      <c r="W61" s="3"/>
      <c r="X61" s="3"/>
      <c r="Y61" s="3"/>
      <c r="Z61" s="3"/>
      <c r="AA61" s="3"/>
      <c r="AB61" s="3">
        <f>_xlfn.IFS(B61="c", 8, B61="ss", 10, B61="cf", 8,  B61="2b", 8, B61="3b", 6, B61="rf", 4, B61="lf", 2, B61="1b", 2, B61 ="dh", 1)</f>
        <v>8</v>
      </c>
      <c r="AC61" s="3">
        <f>(G61+N61+O61)</f>
        <v>209</v>
      </c>
      <c r="AD61" s="5">
        <f>P61/AC61</f>
        <v>0.1674641148325359</v>
      </c>
      <c r="AE61" s="5">
        <f>(N61+O61)/AC61</f>
        <v>0.12440191387559808</v>
      </c>
      <c r="AF61" s="4">
        <f>100-((AD61-AE61)*100)</f>
        <v>95.693779904306211</v>
      </c>
      <c r="AG61" s="3">
        <f>(F61-D61)*1000</f>
        <v>76.000000000000014</v>
      </c>
      <c r="AH61" s="3">
        <f>(((AF61+AG61)/2)*(AC61/100)*AB61)/C61</f>
        <v>51.262857142857136</v>
      </c>
    </row>
    <row r="62" spans="1:34" x14ac:dyDescent="0.35">
      <c r="A62" s="3" t="s">
        <v>87</v>
      </c>
      <c r="B62" s="3" t="s">
        <v>32</v>
      </c>
      <c r="C62" s="3">
        <v>24</v>
      </c>
      <c r="D62" s="3">
        <v>0.22600000000000001</v>
      </c>
      <c r="E62" s="3">
        <v>0.29299999999999998</v>
      </c>
      <c r="F62" s="3">
        <v>0.36899999999999999</v>
      </c>
      <c r="G62" s="3">
        <v>168</v>
      </c>
      <c r="H62" s="3">
        <v>38</v>
      </c>
      <c r="I62" s="3">
        <v>6</v>
      </c>
      <c r="J62" s="3">
        <v>0</v>
      </c>
      <c r="K62" s="3">
        <v>6</v>
      </c>
      <c r="L62" s="3">
        <v>19</v>
      </c>
      <c r="M62" s="3">
        <v>10</v>
      </c>
      <c r="N62" s="3">
        <v>1</v>
      </c>
      <c r="O62" s="3">
        <v>15</v>
      </c>
      <c r="P62" s="3">
        <v>54</v>
      </c>
      <c r="Q62" s="3">
        <v>4</v>
      </c>
      <c r="R62" s="3">
        <v>0</v>
      </c>
      <c r="S62" s="6">
        <f>AH62/10</f>
        <v>5.1140000000000008</v>
      </c>
      <c r="T62" s="3">
        <v>40</v>
      </c>
      <c r="U62" s="4">
        <f>(S62*2)+T62</f>
        <v>50.228000000000002</v>
      </c>
      <c r="V62" s="4">
        <f>S62+T62</f>
        <v>45.114000000000004</v>
      </c>
      <c r="W62" s="3"/>
      <c r="X62" s="3"/>
      <c r="Y62" s="3"/>
      <c r="Z62" s="3"/>
      <c r="AA62" s="3"/>
      <c r="AB62" s="3">
        <f>_xlfn.IFS(B62="c", 8, B62="ss", 10, B62="cf", 8,  B62="2b", 8, B62="3b", 6, B62="rf", 4, B62="lf", 2, B62="1b", 2, B62 ="dh", 1)</f>
        <v>6</v>
      </c>
      <c r="AC62" s="3">
        <f>(G62+N62+O62)</f>
        <v>184</v>
      </c>
      <c r="AD62" s="5">
        <f>P62/AC62</f>
        <v>0.29347826086956524</v>
      </c>
      <c r="AE62" s="5">
        <f>(N62+O62)/AC62</f>
        <v>8.6956521739130432E-2</v>
      </c>
      <c r="AF62" s="4">
        <f>100-((AD62-AE62)*100)</f>
        <v>79.347826086956516</v>
      </c>
      <c r="AG62" s="3">
        <f>(F62-D62)*1000</f>
        <v>143</v>
      </c>
      <c r="AH62" s="3">
        <f>(((AF62+AG62)/2)*(AC62/100)*AB62)/C62</f>
        <v>51.140000000000008</v>
      </c>
    </row>
    <row r="63" spans="1:34" x14ac:dyDescent="0.35">
      <c r="A63" s="3" t="s">
        <v>236</v>
      </c>
      <c r="B63" s="3" t="s">
        <v>59</v>
      </c>
      <c r="C63" s="3">
        <v>28</v>
      </c>
      <c r="D63" s="3">
        <v>0.22600000000000001</v>
      </c>
      <c r="E63" s="3">
        <v>0.29799999999999999</v>
      </c>
      <c r="F63" s="3">
        <v>0.34799999999999998</v>
      </c>
      <c r="G63" s="3">
        <v>155</v>
      </c>
      <c r="H63" s="3">
        <v>35</v>
      </c>
      <c r="I63" s="3">
        <v>6</v>
      </c>
      <c r="J63" s="3">
        <v>2</v>
      </c>
      <c r="K63" s="3">
        <v>3</v>
      </c>
      <c r="L63" s="3">
        <v>25</v>
      </c>
      <c r="M63" s="3">
        <v>19</v>
      </c>
      <c r="N63" s="3">
        <v>1</v>
      </c>
      <c r="O63" s="3">
        <v>15</v>
      </c>
      <c r="P63" s="3">
        <v>47</v>
      </c>
      <c r="Q63" s="3">
        <v>7</v>
      </c>
      <c r="R63" s="3">
        <v>2</v>
      </c>
      <c r="S63" s="6">
        <f>AH63/10</f>
        <v>4.9802857142857135</v>
      </c>
      <c r="T63" s="3">
        <v>40</v>
      </c>
      <c r="U63" s="4">
        <f>(S63*2)+T63</f>
        <v>49.960571428571427</v>
      </c>
      <c r="V63" s="4">
        <f>S63+T63</f>
        <v>44.980285714285714</v>
      </c>
      <c r="W63" s="3"/>
      <c r="X63" s="3"/>
      <c r="Y63" s="3"/>
      <c r="Z63" s="3"/>
      <c r="AA63" s="3"/>
      <c r="AB63" s="3">
        <f>_xlfn.IFS(B63="c", 8, B63="ss", 10, B63="cf", 8,  B63="2b", 8, B63="3b", 6, B63="rf", 4, B63="lf", 2, B63="1b", 2, B63 ="dh", 1)</f>
        <v>8</v>
      </c>
      <c r="AC63" s="3">
        <f>(G63+N63+O63)</f>
        <v>171</v>
      </c>
      <c r="AD63" s="5">
        <f>P63/AC63</f>
        <v>0.27485380116959063</v>
      </c>
      <c r="AE63" s="5">
        <f>(N63+O63)/AC63</f>
        <v>9.3567251461988299E-2</v>
      </c>
      <c r="AF63" s="4">
        <f>100-((AD63-AE63)*100)</f>
        <v>81.871345029239762</v>
      </c>
      <c r="AG63" s="3">
        <f>(F63-D63)*1000</f>
        <v>121.99999999999997</v>
      </c>
      <c r="AH63" s="3">
        <f>(((AF63+AG63)/2)*(AC63/100)*AB63)/C63</f>
        <v>49.802857142857135</v>
      </c>
    </row>
    <row r="64" spans="1:34" x14ac:dyDescent="0.35">
      <c r="A64" s="3" t="s">
        <v>269</v>
      </c>
      <c r="B64" s="3" t="s">
        <v>28</v>
      </c>
      <c r="C64" s="3">
        <v>29</v>
      </c>
      <c r="D64" s="3">
        <v>0.22800000000000001</v>
      </c>
      <c r="E64" s="3">
        <v>0.307</v>
      </c>
      <c r="F64" s="3">
        <v>0.38100000000000001</v>
      </c>
      <c r="G64" s="3">
        <v>540</v>
      </c>
      <c r="H64" s="3">
        <v>123</v>
      </c>
      <c r="I64" s="3">
        <v>23</v>
      </c>
      <c r="J64" s="3">
        <v>3</v>
      </c>
      <c r="K64" s="3">
        <v>18</v>
      </c>
      <c r="L64" s="3">
        <v>64</v>
      </c>
      <c r="M64" s="3">
        <v>84</v>
      </c>
      <c r="N64" s="3">
        <v>2</v>
      </c>
      <c r="O64" s="3">
        <v>62</v>
      </c>
      <c r="P64" s="3">
        <v>159</v>
      </c>
      <c r="Q64" s="3">
        <v>1</v>
      </c>
      <c r="R64" s="3">
        <v>0</v>
      </c>
      <c r="S64" s="6">
        <f>AH64/10</f>
        <v>4.9417931034482754</v>
      </c>
      <c r="T64" s="3">
        <v>40</v>
      </c>
      <c r="U64" s="4">
        <f>(S64*2)+T64</f>
        <v>49.883586206896553</v>
      </c>
      <c r="V64" s="4">
        <f>S64+T64</f>
        <v>44.941793103448276</v>
      </c>
      <c r="W64" s="3"/>
      <c r="X64" s="3"/>
      <c r="Y64" s="3"/>
      <c r="Z64" s="3"/>
      <c r="AA64" s="3"/>
      <c r="AB64" s="3">
        <f>_xlfn.IFS(B64="c", 8, B64="ss", 10, B64="cf", 8,  B64="2b", 8, B64="3b", 6, B64="rf", 4, B64="lf", 2, B64="1b", 2, B64 ="dh", 1)</f>
        <v>2</v>
      </c>
      <c r="AC64" s="3">
        <f>(G64+N64+O64)</f>
        <v>604</v>
      </c>
      <c r="AD64" s="5">
        <f>P64/AC64</f>
        <v>0.26324503311258279</v>
      </c>
      <c r="AE64" s="5">
        <f>(N64+O64)/AC64</f>
        <v>0.10596026490066225</v>
      </c>
      <c r="AF64" s="4">
        <f>100-((AD64-AE64)*100)</f>
        <v>84.271523178807939</v>
      </c>
      <c r="AG64" s="3">
        <f>(F64-D64)*1000</f>
        <v>153</v>
      </c>
      <c r="AH64" s="3">
        <f>(((AF64+AG64)/2)*(AC64/100)*AB64)/C64</f>
        <v>49.417931034482756</v>
      </c>
    </row>
    <row r="65" spans="1:34" x14ac:dyDescent="0.35">
      <c r="A65" s="3" t="s">
        <v>95</v>
      </c>
      <c r="B65" s="3" t="s">
        <v>18</v>
      </c>
      <c r="C65" s="3">
        <v>24</v>
      </c>
      <c r="D65" s="3">
        <v>0.20399999999999999</v>
      </c>
      <c r="E65" s="3">
        <v>0.25800000000000001</v>
      </c>
      <c r="F65" s="3">
        <v>0.32400000000000001</v>
      </c>
      <c r="G65" s="3">
        <v>142</v>
      </c>
      <c r="H65" s="3">
        <v>29</v>
      </c>
      <c r="I65" s="3">
        <v>5</v>
      </c>
      <c r="J65" s="3">
        <v>0</v>
      </c>
      <c r="K65" s="3">
        <v>4</v>
      </c>
      <c r="L65" s="3">
        <v>15</v>
      </c>
      <c r="M65" s="3">
        <v>24</v>
      </c>
      <c r="N65" s="3">
        <v>1</v>
      </c>
      <c r="O65" s="3">
        <v>10</v>
      </c>
      <c r="P65" s="3">
        <v>58</v>
      </c>
      <c r="Q65" s="3">
        <v>0</v>
      </c>
      <c r="R65" s="3">
        <v>0</v>
      </c>
      <c r="S65" s="6">
        <f>AH65/10</f>
        <v>4.8266666666666671</v>
      </c>
      <c r="T65" s="3">
        <v>40</v>
      </c>
      <c r="U65" s="4">
        <f>(S65*2)+T65</f>
        <v>49.653333333333336</v>
      </c>
      <c r="V65" s="4">
        <f>S65+T65</f>
        <v>44.826666666666668</v>
      </c>
      <c r="W65" s="3"/>
      <c r="X65" s="3"/>
      <c r="Y65" s="3"/>
      <c r="Z65" s="3"/>
      <c r="AA65" s="3"/>
      <c r="AB65" s="3">
        <f>_xlfn.IFS(B65="c", 8, B65="ss", 10, B65="cf", 8,  B65="2b", 8, B65="3b", 6, B65="rf", 4, B65="lf", 2, B65="1b", 2, B65 ="dh", 1)</f>
        <v>8</v>
      </c>
      <c r="AC65" s="3">
        <f>(G65+N65+O65)</f>
        <v>153</v>
      </c>
      <c r="AD65" s="5">
        <f>P65/AC65</f>
        <v>0.37908496732026142</v>
      </c>
      <c r="AE65" s="5">
        <f>(N65+O65)/AC65</f>
        <v>7.1895424836601302E-2</v>
      </c>
      <c r="AF65" s="4">
        <f>100-((AD65-AE65)*100)</f>
        <v>69.281045751633982</v>
      </c>
      <c r="AG65" s="3">
        <f>(F65-D65)*1000</f>
        <v>120.00000000000003</v>
      </c>
      <c r="AH65" s="3">
        <f>(((AF65+AG65)/2)*(AC65/100)*AB65)/C65</f>
        <v>48.266666666666673</v>
      </c>
    </row>
    <row r="66" spans="1:34" x14ac:dyDescent="0.35">
      <c r="A66" s="3" t="s">
        <v>33</v>
      </c>
      <c r="B66" s="3" t="s">
        <v>22</v>
      </c>
      <c r="C66" s="3">
        <v>22</v>
      </c>
      <c r="D66" s="3">
        <v>0.157</v>
      </c>
      <c r="E66" s="3">
        <v>0.23699999999999999</v>
      </c>
      <c r="F66" s="3">
        <v>0.29499999999999998</v>
      </c>
      <c r="G66" s="3">
        <v>210</v>
      </c>
      <c r="H66" s="3">
        <v>33</v>
      </c>
      <c r="I66" s="3">
        <v>6</v>
      </c>
      <c r="J66" s="3">
        <v>1</v>
      </c>
      <c r="K66" s="3">
        <v>7</v>
      </c>
      <c r="L66" s="3">
        <v>19</v>
      </c>
      <c r="M66" s="3">
        <v>18</v>
      </c>
      <c r="N66" s="3">
        <v>4</v>
      </c>
      <c r="O66" s="3">
        <v>18</v>
      </c>
      <c r="P66" s="3">
        <v>52</v>
      </c>
      <c r="Q66" s="3">
        <v>1</v>
      </c>
      <c r="R66" s="3">
        <v>0</v>
      </c>
      <c r="S66" s="6">
        <f>AH66/10</f>
        <v>4.7469090909090896</v>
      </c>
      <c r="T66" s="3">
        <v>60</v>
      </c>
      <c r="U66" s="4">
        <f>(S66*2)+T66</f>
        <v>69.493818181818185</v>
      </c>
      <c r="V66" s="4">
        <f>S66+T66</f>
        <v>64.746909090909085</v>
      </c>
      <c r="W66" s="3"/>
      <c r="X66" s="3"/>
      <c r="Y66" s="3"/>
      <c r="Z66" s="3"/>
      <c r="AA66" s="3"/>
      <c r="AB66" s="3">
        <f>_xlfn.IFS(B66="c", 8, B66="ss", 10, B66="cf", 8,  B66="2b", 8, B66="3b", 6, B66="rf", 4, B66="lf", 2, B66="1b", 2, B66 ="dh", 1)</f>
        <v>4</v>
      </c>
      <c r="AC66" s="3">
        <f>(G66+N66+O66)</f>
        <v>232</v>
      </c>
      <c r="AD66" s="5">
        <f>P66/AC66</f>
        <v>0.22413793103448276</v>
      </c>
      <c r="AE66" s="5">
        <f>(N66+O66)/AC66</f>
        <v>9.4827586206896547E-2</v>
      </c>
      <c r="AF66" s="4">
        <f>100-((AD66-AE66)*100)</f>
        <v>87.068965517241381</v>
      </c>
      <c r="AG66" s="3">
        <f>(F66-D66)*1000</f>
        <v>137.99999999999997</v>
      </c>
      <c r="AH66" s="3">
        <f>(((AF66+AG66)/2)*(AC66/100)*AB66)/C66</f>
        <v>47.469090909090895</v>
      </c>
    </row>
    <row r="67" spans="1:34" x14ac:dyDescent="0.35">
      <c r="A67" s="3" t="s">
        <v>159</v>
      </c>
      <c r="B67" s="3" t="s">
        <v>59</v>
      </c>
      <c r="C67" s="3">
        <v>26</v>
      </c>
      <c r="D67" s="3">
        <v>0.20499999999999999</v>
      </c>
      <c r="E67" s="3">
        <v>0.22600000000000001</v>
      </c>
      <c r="F67" s="3">
        <v>0.30399999999999999</v>
      </c>
      <c r="G67" s="3">
        <v>171</v>
      </c>
      <c r="H67" s="3">
        <v>35</v>
      </c>
      <c r="I67" s="3">
        <v>6</v>
      </c>
      <c r="J67" s="3">
        <v>1</v>
      </c>
      <c r="K67" s="3">
        <v>3</v>
      </c>
      <c r="L67" s="3">
        <v>13</v>
      </c>
      <c r="M67" s="3">
        <v>17</v>
      </c>
      <c r="N67" s="3">
        <v>0</v>
      </c>
      <c r="O67" s="3">
        <v>5</v>
      </c>
      <c r="P67" s="3">
        <v>50</v>
      </c>
      <c r="Q67" s="3">
        <v>9</v>
      </c>
      <c r="R67" s="3">
        <v>3</v>
      </c>
      <c r="S67" s="6">
        <f>AH67/10</f>
        <v>4.6959999999999997</v>
      </c>
      <c r="T67" s="3">
        <v>40</v>
      </c>
      <c r="U67" s="4">
        <f>(S67*2)+T67</f>
        <v>49.391999999999996</v>
      </c>
      <c r="V67" s="4">
        <f>S67+T67</f>
        <v>44.695999999999998</v>
      </c>
      <c r="W67" s="3"/>
      <c r="X67" s="3"/>
      <c r="Y67" s="3"/>
      <c r="Z67" s="3"/>
      <c r="AA67" s="3"/>
      <c r="AB67" s="3">
        <f>_xlfn.IFS(B67="c", 8, B67="ss", 10, B67="cf", 8,  B67="2b", 8, B67="3b", 6, B67="rf", 4, B67="lf", 2, B67="1b", 2, B67 ="dh", 1)</f>
        <v>8</v>
      </c>
      <c r="AC67" s="3">
        <f>(G67+N67+O67)</f>
        <v>176</v>
      </c>
      <c r="AD67" s="5">
        <f>P67/AC67</f>
        <v>0.28409090909090912</v>
      </c>
      <c r="AE67" s="5">
        <f>(N67+O67)/AC67</f>
        <v>2.8409090909090908E-2</v>
      </c>
      <c r="AF67" s="4">
        <f>100-((AD67-AE67)*100)</f>
        <v>74.431818181818173</v>
      </c>
      <c r="AG67" s="3">
        <f>(F67-D67)*1000</f>
        <v>99</v>
      </c>
      <c r="AH67" s="3">
        <f>(((AF67+AG67)/2)*(AC67/100)*AB67)/C67</f>
        <v>46.96</v>
      </c>
    </row>
    <row r="68" spans="1:34" x14ac:dyDescent="0.35">
      <c r="A68" s="3" t="s">
        <v>62</v>
      </c>
      <c r="B68" s="3" t="s">
        <v>22</v>
      </c>
      <c r="C68" s="3">
        <v>23</v>
      </c>
      <c r="D68" s="3">
        <v>0.221</v>
      </c>
      <c r="E68" s="3">
        <v>0.26600000000000001</v>
      </c>
      <c r="F68" s="3">
        <v>0.42399999999999999</v>
      </c>
      <c r="G68" s="3">
        <v>172</v>
      </c>
      <c r="H68" s="3">
        <v>38</v>
      </c>
      <c r="I68" s="3">
        <v>9</v>
      </c>
      <c r="J68" s="3">
        <v>1</v>
      </c>
      <c r="K68" s="3">
        <v>8</v>
      </c>
      <c r="L68" s="3">
        <v>26</v>
      </c>
      <c r="M68" s="3">
        <v>22</v>
      </c>
      <c r="N68" s="3">
        <v>0</v>
      </c>
      <c r="O68" s="3">
        <v>11</v>
      </c>
      <c r="P68" s="3">
        <v>27</v>
      </c>
      <c r="Q68" s="3">
        <v>4</v>
      </c>
      <c r="R68" s="3">
        <v>0</v>
      </c>
      <c r="S68" s="6">
        <f>AH68/10</f>
        <v>4.6825217391304355</v>
      </c>
      <c r="T68" s="3">
        <v>40</v>
      </c>
      <c r="U68" s="4">
        <f>(S68*2)+T68</f>
        <v>49.365043478260873</v>
      </c>
      <c r="V68" s="4">
        <f>S68+T68</f>
        <v>44.682521739130436</v>
      </c>
      <c r="W68" s="3"/>
      <c r="X68" s="3"/>
      <c r="Y68" s="3"/>
      <c r="Z68" s="3"/>
      <c r="AA68" s="3"/>
      <c r="AB68" s="3">
        <f>_xlfn.IFS(B68="c", 8, B68="ss", 10, B68="cf", 8,  B68="2b", 8, B68="3b", 6, B68="rf", 4, B68="lf", 2, B68="1b", 2, B68 ="dh", 1)</f>
        <v>4</v>
      </c>
      <c r="AC68" s="3">
        <f>(G68+N68+O68)</f>
        <v>183</v>
      </c>
      <c r="AD68" s="5">
        <f>P68/AC68</f>
        <v>0.14754098360655737</v>
      </c>
      <c r="AE68" s="5">
        <f>(N68+O68)/AC68</f>
        <v>6.0109289617486336E-2</v>
      </c>
      <c r="AF68" s="4">
        <f>100-((AD68-AE68)*100)</f>
        <v>91.256830601092901</v>
      </c>
      <c r="AG68" s="3">
        <f>(F68-D68)*1000</f>
        <v>203</v>
      </c>
      <c r="AH68" s="3">
        <f>(((AF68+AG68)/2)*(AC68/100)*AB68)/C68</f>
        <v>46.825217391304356</v>
      </c>
    </row>
    <row r="69" spans="1:34" x14ac:dyDescent="0.35">
      <c r="A69" s="3" t="s">
        <v>147</v>
      </c>
      <c r="B69" s="3" t="s">
        <v>30</v>
      </c>
      <c r="C69" s="3">
        <v>26</v>
      </c>
      <c r="D69" s="3">
        <v>0.28000000000000003</v>
      </c>
      <c r="E69" s="3">
        <v>0.314</v>
      </c>
      <c r="F69" s="3">
        <v>0.38500000000000001</v>
      </c>
      <c r="G69" s="3">
        <v>161</v>
      </c>
      <c r="H69" s="3">
        <v>45</v>
      </c>
      <c r="I69" s="3">
        <v>6</v>
      </c>
      <c r="J69" s="3">
        <v>1</v>
      </c>
      <c r="K69" s="3">
        <v>3</v>
      </c>
      <c r="L69" s="3">
        <v>19</v>
      </c>
      <c r="M69" s="3">
        <v>17</v>
      </c>
      <c r="N69" s="3">
        <v>1</v>
      </c>
      <c r="O69" s="3">
        <v>7</v>
      </c>
      <c r="P69" s="3">
        <v>52</v>
      </c>
      <c r="Q69" s="3">
        <v>13</v>
      </c>
      <c r="R69" s="3">
        <v>1</v>
      </c>
      <c r="S69" s="6">
        <f>AH69/10</f>
        <v>4.653076923076922</v>
      </c>
      <c r="T69" s="3">
        <v>40</v>
      </c>
      <c r="U69" s="4">
        <f>(S69*2)+T69</f>
        <v>49.306153846153848</v>
      </c>
      <c r="V69" s="4">
        <f>S69+T69</f>
        <v>44.653076923076924</v>
      </c>
      <c r="W69" s="3"/>
      <c r="X69" s="3"/>
      <c r="Y69" s="3"/>
      <c r="Z69" s="3"/>
      <c r="AA69" s="3"/>
      <c r="AB69" s="3">
        <f>_xlfn.IFS(B69="c", 8, B69="ss", 10, B69="cf", 8,  B69="2b", 8, B69="3b", 6, B69="rf", 4, B69="lf", 2, B69="1b", 2, B69 ="dh", 1)</f>
        <v>8</v>
      </c>
      <c r="AC69" s="3">
        <f>(G69+N69+O69)</f>
        <v>169</v>
      </c>
      <c r="AD69" s="5">
        <f>P69/AC69</f>
        <v>0.30769230769230771</v>
      </c>
      <c r="AE69" s="5">
        <f>(N69+O69)/AC69</f>
        <v>4.7337278106508875E-2</v>
      </c>
      <c r="AF69" s="4">
        <f>100-((AD69-AE69)*100)</f>
        <v>73.964497041420117</v>
      </c>
      <c r="AG69" s="3">
        <f>(F69-D69)*1000</f>
        <v>104.99999999999999</v>
      </c>
      <c r="AH69" s="3">
        <f>(((AF69+AG69)/2)*(AC69/100)*AB69)/C69</f>
        <v>46.530769230769224</v>
      </c>
    </row>
    <row r="70" spans="1:34" x14ac:dyDescent="0.35">
      <c r="A70" s="3" t="s">
        <v>256</v>
      </c>
      <c r="B70" s="3" t="s">
        <v>30</v>
      </c>
      <c r="C70" s="3">
        <v>29</v>
      </c>
      <c r="D70" s="3">
        <v>0.253</v>
      </c>
      <c r="E70" s="3">
        <v>0.28499999999999998</v>
      </c>
      <c r="F70" s="3">
        <v>0.37</v>
      </c>
      <c r="G70" s="3">
        <v>154</v>
      </c>
      <c r="H70" s="3">
        <v>39</v>
      </c>
      <c r="I70" s="3">
        <v>9</v>
      </c>
      <c r="J70" s="3">
        <v>0</v>
      </c>
      <c r="K70" s="3">
        <v>3</v>
      </c>
      <c r="L70" s="3">
        <v>14</v>
      </c>
      <c r="M70" s="3">
        <v>21</v>
      </c>
      <c r="N70" s="3">
        <v>2</v>
      </c>
      <c r="O70" s="3">
        <v>6</v>
      </c>
      <c r="P70" s="3">
        <v>26</v>
      </c>
      <c r="Q70" s="3">
        <v>1</v>
      </c>
      <c r="R70" s="3">
        <v>3</v>
      </c>
      <c r="S70" s="6">
        <f>AH70/10</f>
        <v>4.6005517241379312</v>
      </c>
      <c r="T70" s="3">
        <v>40</v>
      </c>
      <c r="U70" s="4">
        <f>(S70*2)+T70</f>
        <v>49.201103448275859</v>
      </c>
      <c r="V70" s="4">
        <f>S70+T70</f>
        <v>44.600551724137929</v>
      </c>
      <c r="W70" s="3"/>
      <c r="X70" s="3"/>
      <c r="Y70" s="3"/>
      <c r="Z70" s="3"/>
      <c r="AA70" s="3"/>
      <c r="AB70" s="3">
        <f>_xlfn.IFS(B70="c", 8, B70="ss", 10, B70="cf", 8,  B70="2b", 8, B70="3b", 6, B70="rf", 4, B70="lf", 2, B70="1b", 2, B70 ="dh", 1)</f>
        <v>8</v>
      </c>
      <c r="AC70" s="3">
        <f>(G70+N70+O70)</f>
        <v>162</v>
      </c>
      <c r="AD70" s="5">
        <f>P70/AC70</f>
        <v>0.16049382716049382</v>
      </c>
      <c r="AE70" s="5">
        <f>(N70+O70)/AC70</f>
        <v>4.9382716049382713E-2</v>
      </c>
      <c r="AF70" s="4">
        <f>100-((AD70-AE70)*100)</f>
        <v>88.888888888888886</v>
      </c>
      <c r="AG70" s="3">
        <f>(F70-D70)*1000</f>
        <v>117</v>
      </c>
      <c r="AH70" s="3">
        <f>(((AF70+AG70)/2)*(AC70/100)*AB70)/C70</f>
        <v>46.005517241379316</v>
      </c>
    </row>
    <row r="71" spans="1:34" x14ac:dyDescent="0.35">
      <c r="A71" s="3" t="s">
        <v>43</v>
      </c>
      <c r="B71" s="3" t="s">
        <v>32</v>
      </c>
      <c r="C71" s="3">
        <v>22</v>
      </c>
      <c r="D71" s="3">
        <v>0.22800000000000001</v>
      </c>
      <c r="E71" s="3">
        <v>0.27200000000000002</v>
      </c>
      <c r="F71" s="3">
        <v>0.40200000000000002</v>
      </c>
      <c r="G71" s="3">
        <v>127</v>
      </c>
      <c r="H71" s="3">
        <v>29</v>
      </c>
      <c r="I71" s="3">
        <v>8</v>
      </c>
      <c r="J71" s="3">
        <v>1</v>
      </c>
      <c r="K71" s="3">
        <v>4</v>
      </c>
      <c r="L71" s="3">
        <v>20</v>
      </c>
      <c r="M71" s="3">
        <v>10</v>
      </c>
      <c r="N71" s="3">
        <v>0</v>
      </c>
      <c r="O71" s="3">
        <v>8</v>
      </c>
      <c r="P71" s="3">
        <v>41</v>
      </c>
      <c r="Q71" s="3">
        <v>0</v>
      </c>
      <c r="R71" s="3">
        <v>2</v>
      </c>
      <c r="S71" s="6">
        <f>AH71/10</f>
        <v>4.5940909090909106</v>
      </c>
      <c r="T71" s="3">
        <v>50</v>
      </c>
      <c r="U71" s="4">
        <f>(S71*2)+T71</f>
        <v>59.188181818181818</v>
      </c>
      <c r="V71" s="4">
        <f>S71+T71</f>
        <v>54.594090909090909</v>
      </c>
      <c r="W71" s="3"/>
      <c r="X71" s="3"/>
      <c r="Y71" s="3"/>
      <c r="Z71" s="3"/>
      <c r="AA71" s="3"/>
      <c r="AB71" s="3">
        <f>_xlfn.IFS(B71="c", 8, B71="ss", 10, B71="cf", 8,  B71="2b", 8, B71="3b", 6, B71="rf", 4, B71="lf", 2, B71="1b", 2, B71 ="dh", 1)</f>
        <v>6</v>
      </c>
      <c r="AC71" s="3">
        <f>(G71+N71+O71)</f>
        <v>135</v>
      </c>
      <c r="AD71" s="5">
        <f>P71/AC71</f>
        <v>0.3037037037037037</v>
      </c>
      <c r="AE71" s="5">
        <f>(N71+O71)/AC71</f>
        <v>5.9259259259259262E-2</v>
      </c>
      <c r="AF71" s="4">
        <f>100-((AD71-AE71)*100)</f>
        <v>75.555555555555557</v>
      </c>
      <c r="AG71" s="3">
        <f>(F71-D71)*1000</f>
        <v>174.00000000000003</v>
      </c>
      <c r="AH71" s="3">
        <f>(((AF71+AG71)/2)*(AC71/100)*AB71)/C71</f>
        <v>45.940909090909102</v>
      </c>
    </row>
    <row r="72" spans="1:34" x14ac:dyDescent="0.35">
      <c r="A72" s="3" t="s">
        <v>261</v>
      </c>
      <c r="B72" s="3" t="s">
        <v>59</v>
      </c>
      <c r="C72" s="3">
        <v>29</v>
      </c>
      <c r="D72" s="3">
        <v>0.23200000000000001</v>
      </c>
      <c r="E72" s="3">
        <v>0.28999999999999998</v>
      </c>
      <c r="F72" s="3">
        <v>0.45500000000000002</v>
      </c>
      <c r="G72" s="3">
        <v>99</v>
      </c>
      <c r="H72" s="3">
        <v>23</v>
      </c>
      <c r="I72" s="3">
        <v>5</v>
      </c>
      <c r="J72" s="3">
        <v>1</v>
      </c>
      <c r="K72" s="3">
        <v>5</v>
      </c>
      <c r="L72" s="3">
        <v>18</v>
      </c>
      <c r="M72" s="3">
        <v>20</v>
      </c>
      <c r="N72" s="3">
        <v>1</v>
      </c>
      <c r="O72" s="3">
        <v>7</v>
      </c>
      <c r="P72" s="3">
        <v>21</v>
      </c>
      <c r="Q72" s="3">
        <v>4</v>
      </c>
      <c r="R72" s="3">
        <v>0</v>
      </c>
      <c r="S72" s="6">
        <f>AH72/10</f>
        <v>4.5877241379310352</v>
      </c>
      <c r="T72" s="3">
        <v>40</v>
      </c>
      <c r="U72" s="4">
        <f>(S72*2)+T72</f>
        <v>49.175448275862067</v>
      </c>
      <c r="V72" s="4">
        <f>S72+T72</f>
        <v>44.587724137931033</v>
      </c>
      <c r="W72" s="3"/>
      <c r="X72" s="3"/>
      <c r="Y72" s="3"/>
      <c r="Z72" s="3"/>
      <c r="AA72" s="3"/>
      <c r="AB72" s="3">
        <f>_xlfn.IFS(B72="c", 8, B72="ss", 10, B72="cf", 8,  B72="2b", 8, B72="3b", 6, B72="rf", 4, B72="lf", 2, B72="1b", 2, B72 ="dh", 1)</f>
        <v>8</v>
      </c>
      <c r="AC72" s="3">
        <f>(G72+N72+O72)</f>
        <v>107</v>
      </c>
      <c r="AD72" s="5">
        <f>P72/AC72</f>
        <v>0.19626168224299065</v>
      </c>
      <c r="AE72" s="5">
        <f>(N72+O72)/AC72</f>
        <v>7.476635514018691E-2</v>
      </c>
      <c r="AF72" s="4">
        <f>100-((AD72-AE72)*100)</f>
        <v>87.850467289719631</v>
      </c>
      <c r="AG72" s="3">
        <f>(F72-D72)*1000</f>
        <v>223</v>
      </c>
      <c r="AH72" s="3">
        <f>(((AF72+AG72)/2)*(AC72/100)*AB72)/C72</f>
        <v>45.877241379310348</v>
      </c>
    </row>
    <row r="73" spans="1:34" x14ac:dyDescent="0.35">
      <c r="A73" s="3" t="s">
        <v>264</v>
      </c>
      <c r="B73" s="3" t="s">
        <v>18</v>
      </c>
      <c r="C73" s="3">
        <v>29</v>
      </c>
      <c r="D73" s="3">
        <v>0.22</v>
      </c>
      <c r="E73" s="3">
        <v>0.28999999999999998</v>
      </c>
      <c r="F73" s="3">
        <v>0.47299999999999998</v>
      </c>
      <c r="G73" s="3">
        <v>91</v>
      </c>
      <c r="H73" s="3">
        <v>20</v>
      </c>
      <c r="I73" s="3">
        <v>8</v>
      </c>
      <c r="J73" s="3">
        <v>0</v>
      </c>
      <c r="K73" s="3">
        <v>5</v>
      </c>
      <c r="L73" s="3">
        <v>17</v>
      </c>
      <c r="M73" s="3">
        <v>8</v>
      </c>
      <c r="N73" s="3">
        <v>4</v>
      </c>
      <c r="O73" s="3">
        <v>5</v>
      </c>
      <c r="P73" s="3">
        <v>37</v>
      </c>
      <c r="Q73" s="3">
        <v>0</v>
      </c>
      <c r="R73" s="3">
        <v>0</v>
      </c>
      <c r="S73" s="6">
        <f>AH73/10</f>
        <v>4.4827586206896557</v>
      </c>
      <c r="T73" s="3">
        <v>40</v>
      </c>
      <c r="U73" s="4">
        <f>(S73*2)+T73</f>
        <v>48.96551724137931</v>
      </c>
      <c r="V73" s="4">
        <f>S73+T73</f>
        <v>44.482758620689658</v>
      </c>
      <c r="W73" s="3"/>
      <c r="X73" s="3"/>
      <c r="Y73" s="3"/>
      <c r="Z73" s="3"/>
      <c r="AA73" s="3"/>
      <c r="AB73" s="3">
        <f>_xlfn.IFS(B73="c", 8, B73="ss", 10, B73="cf", 8,  B73="2b", 8, B73="3b", 6, B73="rf", 4, B73="lf", 2, B73="1b", 2, B73 ="dh", 1)</f>
        <v>8</v>
      </c>
      <c r="AC73" s="3">
        <f>(G73+N73+O73)</f>
        <v>100</v>
      </c>
      <c r="AD73" s="5">
        <f>P73/AC73</f>
        <v>0.37</v>
      </c>
      <c r="AE73" s="5">
        <f>(N73+O73)/AC73</f>
        <v>0.09</v>
      </c>
      <c r="AF73" s="4">
        <f>100-((AD73-AE73)*100)</f>
        <v>72</v>
      </c>
      <c r="AG73" s="3">
        <f>(F73-D73)*1000</f>
        <v>253</v>
      </c>
      <c r="AH73" s="3">
        <f>(((AF73+AG73)/2)*(AC73/100)*AB73)/C73</f>
        <v>44.827586206896555</v>
      </c>
    </row>
    <row r="74" spans="1:34" x14ac:dyDescent="0.35">
      <c r="A74" s="3" t="s">
        <v>91</v>
      </c>
      <c r="B74" s="3" t="s">
        <v>25</v>
      </c>
      <c r="C74" s="3">
        <v>24</v>
      </c>
      <c r="D74" s="3">
        <v>0.2</v>
      </c>
      <c r="E74" s="3">
        <v>0.27300000000000002</v>
      </c>
      <c r="F74" s="3">
        <v>0.36299999999999999</v>
      </c>
      <c r="G74" s="3">
        <v>80</v>
      </c>
      <c r="H74" s="3">
        <v>16</v>
      </c>
      <c r="I74" s="3">
        <v>1</v>
      </c>
      <c r="J74" s="3">
        <v>0</v>
      </c>
      <c r="K74" s="3">
        <v>4</v>
      </c>
      <c r="L74" s="3">
        <v>9</v>
      </c>
      <c r="M74" s="3">
        <v>8</v>
      </c>
      <c r="N74" s="3">
        <v>2</v>
      </c>
      <c r="O74" s="3">
        <v>6</v>
      </c>
      <c r="P74" s="3">
        <v>25</v>
      </c>
      <c r="Q74" s="3">
        <v>4</v>
      </c>
      <c r="R74" s="3">
        <v>0</v>
      </c>
      <c r="S74" s="6">
        <f>AH74/10</f>
        <v>4.4674999999999994</v>
      </c>
      <c r="T74" s="3">
        <v>40</v>
      </c>
      <c r="U74" s="4">
        <f>(S74*2)+T74</f>
        <v>48.935000000000002</v>
      </c>
      <c r="V74" s="4">
        <f>S74+T74</f>
        <v>44.467500000000001</v>
      </c>
      <c r="W74" s="3"/>
      <c r="X74" s="3"/>
      <c r="Y74" s="3"/>
      <c r="Z74" s="3"/>
      <c r="AA74" s="3"/>
      <c r="AB74" s="3">
        <f>_xlfn.IFS(B74="c", 8, B74="ss", 10, B74="cf", 8,  B74="2b", 8, B74="3b", 6, B74="rf", 4, B74="lf", 2, B74="1b", 2, B74 ="dh", 1)</f>
        <v>10</v>
      </c>
      <c r="AC74" s="3">
        <f>(G74+N74+O74)</f>
        <v>88</v>
      </c>
      <c r="AD74" s="5">
        <f>P74/AC74</f>
        <v>0.28409090909090912</v>
      </c>
      <c r="AE74" s="5">
        <f>(N74+O74)/AC74</f>
        <v>9.0909090909090912E-2</v>
      </c>
      <c r="AF74" s="4">
        <f>100-((AD74-AE74)*100)</f>
        <v>80.681818181818187</v>
      </c>
      <c r="AG74" s="3">
        <f>(F74-D74)*1000</f>
        <v>162.99999999999997</v>
      </c>
      <c r="AH74" s="3">
        <f>(((AF74+AG74)/2)*(AC74/100)*AB74)/C74</f>
        <v>44.67499999999999</v>
      </c>
    </row>
    <row r="75" spans="1:34" x14ac:dyDescent="0.35">
      <c r="A75" s="3" t="s">
        <v>355</v>
      </c>
      <c r="B75" s="3" t="s">
        <v>18</v>
      </c>
      <c r="C75" s="3">
        <v>34</v>
      </c>
      <c r="D75" s="3">
        <v>0.189</v>
      </c>
      <c r="E75" s="3">
        <v>0.27100000000000002</v>
      </c>
      <c r="F75" s="3">
        <v>0.27400000000000002</v>
      </c>
      <c r="G75" s="3">
        <v>190</v>
      </c>
      <c r="H75" s="3">
        <v>36</v>
      </c>
      <c r="I75" s="3">
        <v>7</v>
      </c>
      <c r="J75" s="3">
        <v>0</v>
      </c>
      <c r="K75" s="3">
        <v>3</v>
      </c>
      <c r="L75" s="3">
        <v>14</v>
      </c>
      <c r="M75" s="3">
        <v>14</v>
      </c>
      <c r="N75" s="3">
        <v>4</v>
      </c>
      <c r="O75" s="3">
        <v>18</v>
      </c>
      <c r="P75" s="3">
        <v>35</v>
      </c>
      <c r="Q75" s="3">
        <v>1</v>
      </c>
      <c r="R75" s="3">
        <v>1</v>
      </c>
      <c r="S75" s="6">
        <f>AH75/10</f>
        <v>4.461176470588236</v>
      </c>
      <c r="T75" s="3">
        <v>40</v>
      </c>
      <c r="U75" s="4">
        <f>(S75*2)+T75</f>
        <v>48.92235294117647</v>
      </c>
      <c r="V75" s="4">
        <f>S75+T75</f>
        <v>44.461176470588235</v>
      </c>
      <c r="W75" s="3"/>
      <c r="X75" s="3"/>
      <c r="Y75" s="3"/>
      <c r="Z75" s="3"/>
      <c r="AA75" s="3"/>
      <c r="AB75" s="3">
        <f>_xlfn.IFS(B75="c", 8, B75="ss", 10, B75="cf", 8,  B75="2b", 8, B75="3b", 6, B75="rf", 4, B75="lf", 2, B75="1b", 2, B75 ="dh", 1)</f>
        <v>8</v>
      </c>
      <c r="AC75" s="3">
        <f>(G75+N75+O75)</f>
        <v>212</v>
      </c>
      <c r="AD75" s="5">
        <f>P75/AC75</f>
        <v>0.1650943396226415</v>
      </c>
      <c r="AE75" s="5">
        <f>(N75+O75)/AC75</f>
        <v>0.10377358490566038</v>
      </c>
      <c r="AF75" s="4">
        <f>100-((AD75-AE75)*100)</f>
        <v>93.867924528301884</v>
      </c>
      <c r="AG75" s="3">
        <f>(F75-D75)*1000</f>
        <v>85.000000000000014</v>
      </c>
      <c r="AH75" s="3">
        <f>(((AF75+AG75)/2)*(AC75/100)*AB75)/C75</f>
        <v>44.611764705882358</v>
      </c>
    </row>
    <row r="76" spans="1:34" x14ac:dyDescent="0.35">
      <c r="A76" s="3" t="s">
        <v>284</v>
      </c>
      <c r="B76" s="3" t="s">
        <v>47</v>
      </c>
      <c r="C76" s="3">
        <v>30</v>
      </c>
      <c r="D76" s="3">
        <v>0.24</v>
      </c>
      <c r="E76" s="3">
        <v>0.307</v>
      </c>
      <c r="F76" s="3">
        <v>0.43099999999999999</v>
      </c>
      <c r="G76" s="3">
        <v>420</v>
      </c>
      <c r="H76" s="3">
        <v>101</v>
      </c>
      <c r="I76" s="3">
        <v>16</v>
      </c>
      <c r="J76" s="3">
        <v>2</v>
      </c>
      <c r="K76" s="3">
        <v>20</v>
      </c>
      <c r="L76" s="3">
        <v>57</v>
      </c>
      <c r="M76" s="3">
        <v>63</v>
      </c>
      <c r="N76" s="3">
        <v>3</v>
      </c>
      <c r="O76" s="3">
        <v>40</v>
      </c>
      <c r="P76" s="3">
        <v>82</v>
      </c>
      <c r="Q76" s="3">
        <v>1</v>
      </c>
      <c r="R76" s="3">
        <v>0</v>
      </c>
      <c r="S76" s="6">
        <f>AH76/10</f>
        <v>4.3610999999999995</v>
      </c>
      <c r="T76" s="3">
        <v>40</v>
      </c>
      <c r="U76" s="4">
        <f>(S76*2)+T76</f>
        <v>48.722200000000001</v>
      </c>
      <c r="V76" s="4">
        <f>S76+T76</f>
        <v>44.3611</v>
      </c>
      <c r="W76" s="3"/>
      <c r="X76" s="3"/>
      <c r="Y76" s="3"/>
      <c r="Z76" s="3"/>
      <c r="AA76" s="3"/>
      <c r="AB76" s="3">
        <f>_xlfn.IFS(B76="c", 8, B76="ss", 10, B76="cf", 8,  B76="2b", 8, B76="3b", 6, B76="rf", 4, B76="lf", 2, B76="1b", 2, B76 ="dh", 1)</f>
        <v>2</v>
      </c>
      <c r="AC76" s="3">
        <f>(G76+N76+O76)</f>
        <v>463</v>
      </c>
      <c r="AD76" s="5">
        <f>P76/AC76</f>
        <v>0.17710583153347731</v>
      </c>
      <c r="AE76" s="5">
        <f>(N76+O76)/AC76</f>
        <v>9.2872570194384454E-2</v>
      </c>
      <c r="AF76" s="4">
        <f>100-((AD76-AE76)*100)</f>
        <v>91.576673866090715</v>
      </c>
      <c r="AG76" s="3">
        <f>(F76-D76)*1000</f>
        <v>191</v>
      </c>
      <c r="AH76" s="3">
        <f>(((AF76+AG76)/2)*(AC76/100)*AB76)/C76</f>
        <v>43.610999999999997</v>
      </c>
    </row>
    <row r="77" spans="1:34" x14ac:dyDescent="0.35">
      <c r="A77" s="3" t="s">
        <v>223</v>
      </c>
      <c r="B77" s="3" t="s">
        <v>18</v>
      </c>
      <c r="C77" s="3">
        <v>28</v>
      </c>
      <c r="D77" s="3">
        <v>0.187</v>
      </c>
      <c r="E77" s="3">
        <v>0.28499999999999998</v>
      </c>
      <c r="F77" s="3">
        <v>0.25900000000000001</v>
      </c>
      <c r="G77" s="3">
        <v>166</v>
      </c>
      <c r="H77" s="3">
        <v>31</v>
      </c>
      <c r="I77" s="3">
        <v>6</v>
      </c>
      <c r="J77" s="3">
        <v>0</v>
      </c>
      <c r="K77" s="3">
        <v>2</v>
      </c>
      <c r="L77" s="3">
        <v>21</v>
      </c>
      <c r="M77" s="3">
        <v>17</v>
      </c>
      <c r="N77" s="3">
        <v>1</v>
      </c>
      <c r="O77" s="3">
        <v>23</v>
      </c>
      <c r="P77" s="3">
        <v>47</v>
      </c>
      <c r="Q77" s="3">
        <v>0</v>
      </c>
      <c r="R77" s="3">
        <v>0</v>
      </c>
      <c r="S77" s="6">
        <f>AH77/10</f>
        <v>4.339999999999999</v>
      </c>
      <c r="T77" s="3">
        <v>40</v>
      </c>
      <c r="U77" s="4">
        <f>(S77*2)+T77</f>
        <v>48.68</v>
      </c>
      <c r="V77" s="4">
        <f>S77+T77</f>
        <v>44.339999999999996</v>
      </c>
      <c r="W77" s="3"/>
      <c r="X77" s="3"/>
      <c r="Y77" s="3"/>
      <c r="Z77" s="3"/>
      <c r="AA77" s="3"/>
      <c r="AB77" s="3">
        <f>_xlfn.IFS(B77="c", 8, B77="ss", 10, B77="cf", 8,  B77="2b", 8, B77="3b", 6, B77="rf", 4, B77="lf", 2, B77="1b", 2, B77 ="dh", 1)</f>
        <v>8</v>
      </c>
      <c r="AC77" s="3">
        <f>(G77+N77+O77)</f>
        <v>190</v>
      </c>
      <c r="AD77" s="5">
        <f>P77/AC77</f>
        <v>0.24736842105263157</v>
      </c>
      <c r="AE77" s="5">
        <f>(N77+O77)/AC77</f>
        <v>0.12631578947368421</v>
      </c>
      <c r="AF77" s="4">
        <f>100-((AD77-AE77)*100)</f>
        <v>87.89473684210526</v>
      </c>
      <c r="AG77" s="3">
        <f>(F77-D77)*1000</f>
        <v>72.000000000000014</v>
      </c>
      <c r="AH77" s="3">
        <f>(((AF77+AG77)/2)*(AC77/100)*AB77)/C77</f>
        <v>43.399999999999991</v>
      </c>
    </row>
    <row r="78" spans="1:34" x14ac:dyDescent="0.35">
      <c r="A78" s="3" t="s">
        <v>208</v>
      </c>
      <c r="B78" s="3" t="s">
        <v>59</v>
      </c>
      <c r="C78" s="3">
        <v>27</v>
      </c>
      <c r="D78" s="3">
        <v>0.19700000000000001</v>
      </c>
      <c r="E78" s="3">
        <v>0.29599999999999999</v>
      </c>
      <c r="F78" s="3">
        <v>0.33300000000000002</v>
      </c>
      <c r="G78" s="3">
        <v>117</v>
      </c>
      <c r="H78" s="3">
        <v>23</v>
      </c>
      <c r="I78" s="3">
        <v>7</v>
      </c>
      <c r="J78" s="3">
        <v>0</v>
      </c>
      <c r="K78" s="3">
        <v>3</v>
      </c>
      <c r="L78" s="3">
        <v>15</v>
      </c>
      <c r="M78" s="3">
        <v>12</v>
      </c>
      <c r="N78" s="3">
        <v>0</v>
      </c>
      <c r="O78" s="3">
        <v>17</v>
      </c>
      <c r="P78" s="3">
        <v>41</v>
      </c>
      <c r="Q78" s="3">
        <v>3</v>
      </c>
      <c r="R78" s="3">
        <v>2</v>
      </c>
      <c r="S78" s="6">
        <f>AH78/10</f>
        <v>4.3294814814814817</v>
      </c>
      <c r="T78" s="3">
        <v>40</v>
      </c>
      <c r="U78" s="4">
        <f>(S78*2)+T78</f>
        <v>48.65896296296296</v>
      </c>
      <c r="V78" s="4">
        <f>S78+T78</f>
        <v>44.32948148148148</v>
      </c>
      <c r="W78" s="3"/>
      <c r="X78" s="3"/>
      <c r="Y78" s="3"/>
      <c r="Z78" s="3"/>
      <c r="AA78" s="3"/>
      <c r="AB78" s="3">
        <f>_xlfn.IFS(B78="c", 8, B78="ss", 10, B78="cf", 8,  B78="2b", 8, B78="3b", 6, B78="rf", 4, B78="lf", 2, B78="1b", 2, B78 ="dh", 1)</f>
        <v>8</v>
      </c>
      <c r="AC78" s="3">
        <f>(G78+N78+O78)</f>
        <v>134</v>
      </c>
      <c r="AD78" s="5">
        <f>P78/AC78</f>
        <v>0.30597014925373134</v>
      </c>
      <c r="AE78" s="5">
        <f>(N78+O78)/AC78</f>
        <v>0.12686567164179105</v>
      </c>
      <c r="AF78" s="4">
        <f>100-((AD78-AE78)*100)</f>
        <v>82.089552238805965</v>
      </c>
      <c r="AG78" s="3">
        <f>(F78-D78)*1000</f>
        <v>136</v>
      </c>
      <c r="AH78" s="3">
        <f>(((AF78+AG78)/2)*(AC78/100)*AB78)/C78</f>
        <v>43.294814814814814</v>
      </c>
    </row>
    <row r="79" spans="1:34" x14ac:dyDescent="0.35">
      <c r="A79" s="3" t="s">
        <v>351</v>
      </c>
      <c r="B79" s="3" t="s">
        <v>18</v>
      </c>
      <c r="C79" s="3">
        <v>34</v>
      </c>
      <c r="D79" s="3">
        <v>0.28899999999999998</v>
      </c>
      <c r="E79" s="3">
        <v>0.36099999999999999</v>
      </c>
      <c r="F79" s="3">
        <v>0.41599999999999998</v>
      </c>
      <c r="G79" s="3">
        <v>149</v>
      </c>
      <c r="H79" s="3">
        <v>43</v>
      </c>
      <c r="I79" s="3">
        <v>8</v>
      </c>
      <c r="J79" s="3">
        <v>1</v>
      </c>
      <c r="K79" s="3">
        <v>3</v>
      </c>
      <c r="L79" s="3">
        <v>25</v>
      </c>
      <c r="M79" s="3">
        <v>20</v>
      </c>
      <c r="N79" s="3">
        <v>6</v>
      </c>
      <c r="O79" s="3">
        <v>12</v>
      </c>
      <c r="P79" s="3">
        <v>31</v>
      </c>
      <c r="Q79" s="3">
        <v>2</v>
      </c>
      <c r="R79" s="3">
        <v>0</v>
      </c>
      <c r="S79" s="6">
        <f>AH79/10</f>
        <v>4.3069411764705885</v>
      </c>
      <c r="T79" s="3">
        <v>40</v>
      </c>
      <c r="U79" s="4">
        <f>(S79*2)+T79</f>
        <v>48.613882352941175</v>
      </c>
      <c r="V79" s="4">
        <f>S79+T79</f>
        <v>44.306941176470588</v>
      </c>
      <c r="W79" s="3"/>
      <c r="X79" s="3"/>
      <c r="Y79" s="3"/>
      <c r="Z79" s="3"/>
      <c r="AA79" s="3"/>
      <c r="AB79" s="3">
        <f>_xlfn.IFS(B79="c", 8, B79="ss", 10, B79="cf", 8,  B79="2b", 8, B79="3b", 6, B79="rf", 4, B79="lf", 2, B79="1b", 2, B79 ="dh", 1)</f>
        <v>8</v>
      </c>
      <c r="AC79" s="3">
        <f>(G79+N79+O79)</f>
        <v>167</v>
      </c>
      <c r="AD79" s="5">
        <f>P79/AC79</f>
        <v>0.18562874251497005</v>
      </c>
      <c r="AE79" s="5">
        <f>(N79+O79)/AC79</f>
        <v>0.10778443113772455</v>
      </c>
      <c r="AF79" s="4">
        <f>100-((AD79-AE79)*100)</f>
        <v>92.215568862275447</v>
      </c>
      <c r="AG79" s="3">
        <f>(F79-D79)*1000</f>
        <v>127</v>
      </c>
      <c r="AH79" s="3">
        <f>(((AF79+AG79)/2)*(AC79/100)*AB79)/C79</f>
        <v>43.069411764705883</v>
      </c>
    </row>
    <row r="80" spans="1:34" x14ac:dyDescent="0.35">
      <c r="A80" s="3" t="s">
        <v>310</v>
      </c>
      <c r="B80" s="3" t="s">
        <v>32</v>
      </c>
      <c r="C80" s="3">
        <v>31</v>
      </c>
      <c r="D80" s="3">
        <v>0.22800000000000001</v>
      </c>
      <c r="E80" s="3">
        <v>0.26900000000000002</v>
      </c>
      <c r="F80" s="3">
        <v>0.373</v>
      </c>
      <c r="G80" s="3">
        <v>193</v>
      </c>
      <c r="H80" s="3">
        <v>44</v>
      </c>
      <c r="I80" s="3">
        <v>10</v>
      </c>
      <c r="J80" s="3">
        <v>0</v>
      </c>
      <c r="K80" s="3">
        <v>6</v>
      </c>
      <c r="L80" s="3">
        <v>18</v>
      </c>
      <c r="M80" s="3">
        <v>23</v>
      </c>
      <c r="N80" s="3">
        <v>1</v>
      </c>
      <c r="O80" s="3">
        <v>11</v>
      </c>
      <c r="P80" s="3">
        <v>70</v>
      </c>
      <c r="Q80" s="3">
        <v>4</v>
      </c>
      <c r="R80" s="3">
        <v>0</v>
      </c>
      <c r="S80" s="6">
        <f>AH80/10</f>
        <v>4.2991935483870964</v>
      </c>
      <c r="T80" s="3">
        <v>40</v>
      </c>
      <c r="U80" s="4">
        <f>(S80*2)+T80</f>
        <v>48.598387096774189</v>
      </c>
      <c r="V80" s="4">
        <f>S80+T80</f>
        <v>44.299193548387095</v>
      </c>
      <c r="W80" s="3"/>
      <c r="X80" s="3"/>
      <c r="Y80" s="3"/>
      <c r="Z80" s="3"/>
      <c r="AA80" s="3"/>
      <c r="AB80" s="3">
        <f>_xlfn.IFS(B80="c", 8, B80="ss", 10, B80="cf", 8,  B80="2b", 8, B80="3b", 6, B80="rf", 4, B80="lf", 2, B80="1b", 2, B80 ="dh", 1)</f>
        <v>6</v>
      </c>
      <c r="AC80" s="3">
        <f>(G80+N80+O80)</f>
        <v>205</v>
      </c>
      <c r="AD80" s="5">
        <f>P80/AC80</f>
        <v>0.34146341463414637</v>
      </c>
      <c r="AE80" s="5">
        <f>(N80+O80)/AC80</f>
        <v>5.8536585365853662E-2</v>
      </c>
      <c r="AF80" s="4">
        <f>100-((AD80-AE80)*100)</f>
        <v>71.707317073170728</v>
      </c>
      <c r="AG80" s="3">
        <f>(F80-D80)*1000</f>
        <v>145</v>
      </c>
      <c r="AH80" s="3">
        <f>(((AF80+AG80)/2)*(AC80/100)*AB80)/C80</f>
        <v>42.991935483870961</v>
      </c>
    </row>
    <row r="81" spans="1:34" x14ac:dyDescent="0.35">
      <c r="A81" s="3" t="s">
        <v>301</v>
      </c>
      <c r="B81" s="3" t="s">
        <v>18</v>
      </c>
      <c r="C81" s="3">
        <v>30</v>
      </c>
      <c r="D81" s="3">
        <v>0.187</v>
      </c>
      <c r="E81" s="3">
        <v>0.27700000000000002</v>
      </c>
      <c r="F81" s="3">
        <v>0.33300000000000002</v>
      </c>
      <c r="G81" s="3">
        <v>123</v>
      </c>
      <c r="H81" s="3">
        <v>23</v>
      </c>
      <c r="I81" s="3">
        <v>5</v>
      </c>
      <c r="J81" s="3">
        <v>2</v>
      </c>
      <c r="K81" s="3">
        <v>3</v>
      </c>
      <c r="L81" s="3">
        <v>14</v>
      </c>
      <c r="M81" s="3">
        <v>19</v>
      </c>
      <c r="N81" s="3">
        <v>1</v>
      </c>
      <c r="O81" s="3">
        <v>15</v>
      </c>
      <c r="P81" s="3">
        <v>39</v>
      </c>
      <c r="Q81" s="3">
        <v>0</v>
      </c>
      <c r="R81" s="3">
        <v>0</v>
      </c>
      <c r="S81" s="6">
        <f>AH81/10</f>
        <v>4.2525333333333339</v>
      </c>
      <c r="T81" s="3">
        <v>40</v>
      </c>
      <c r="U81" s="4">
        <f>(S81*2)+T81</f>
        <v>48.505066666666664</v>
      </c>
      <c r="V81" s="4">
        <f>S81+T81</f>
        <v>44.252533333333332</v>
      </c>
      <c r="W81" s="3"/>
      <c r="X81" s="3"/>
      <c r="Y81" s="3"/>
      <c r="Z81" s="3"/>
      <c r="AA81" s="3"/>
      <c r="AB81" s="3">
        <f>_xlfn.IFS(B81="c", 8, B81="ss", 10, B81="cf", 8,  B81="2b", 8, B81="3b", 6, B81="rf", 4, B81="lf", 2, B81="1b", 2, B81 ="dh", 1)</f>
        <v>8</v>
      </c>
      <c r="AC81" s="3">
        <f>(G81+N81+O81)</f>
        <v>139</v>
      </c>
      <c r="AD81" s="5">
        <f>P81/AC81</f>
        <v>0.2805755395683453</v>
      </c>
      <c r="AE81" s="5">
        <f>(N81+O81)/AC81</f>
        <v>0.11510791366906475</v>
      </c>
      <c r="AF81" s="4">
        <f>100-((AD81-AE81)*100)</f>
        <v>83.453237410071949</v>
      </c>
      <c r="AG81" s="3">
        <f>(F81-D81)*1000</f>
        <v>146.00000000000003</v>
      </c>
      <c r="AH81" s="3">
        <f>(((AF81+AG81)/2)*(AC81/100)*AB81)/C81</f>
        <v>42.525333333333343</v>
      </c>
    </row>
    <row r="82" spans="1:34" x14ac:dyDescent="0.35">
      <c r="A82" s="3" t="s">
        <v>356</v>
      </c>
      <c r="B82" s="3" t="s">
        <v>18</v>
      </c>
      <c r="C82" s="3">
        <v>34</v>
      </c>
      <c r="D82" s="3">
        <v>0.29099999999999998</v>
      </c>
      <c r="E82" s="3">
        <v>0.32100000000000001</v>
      </c>
      <c r="F82" s="3">
        <v>0.54400000000000004</v>
      </c>
      <c r="G82" s="3">
        <v>103</v>
      </c>
      <c r="H82" s="3">
        <v>30</v>
      </c>
      <c r="I82" s="3">
        <v>8</v>
      </c>
      <c r="J82" s="3">
        <v>0</v>
      </c>
      <c r="K82" s="3">
        <v>6</v>
      </c>
      <c r="L82" s="3">
        <v>13</v>
      </c>
      <c r="M82" s="3">
        <v>21</v>
      </c>
      <c r="N82" s="3">
        <v>0</v>
      </c>
      <c r="O82" s="3">
        <v>5</v>
      </c>
      <c r="P82" s="3">
        <v>32</v>
      </c>
      <c r="Q82" s="3">
        <v>0</v>
      </c>
      <c r="R82" s="3">
        <v>0</v>
      </c>
      <c r="S82" s="6">
        <f>AH82/10</f>
        <v>4.1675294117647068</v>
      </c>
      <c r="T82" s="3">
        <v>40</v>
      </c>
      <c r="U82" s="4">
        <f>(S82*2)+T82</f>
        <v>48.335058823529415</v>
      </c>
      <c r="V82" s="4">
        <f>S82+T82</f>
        <v>44.167529411764704</v>
      </c>
      <c r="W82" s="3"/>
      <c r="X82" s="3"/>
      <c r="Y82" s="3"/>
      <c r="Z82" s="3"/>
      <c r="AA82" s="3"/>
      <c r="AB82" s="3">
        <f>_xlfn.IFS(B82="c", 8, B82="ss", 10, B82="cf", 8,  B82="2b", 8, B82="3b", 6, B82="rf", 4, B82="lf", 2, B82="1b", 2, B82 ="dh", 1)</f>
        <v>8</v>
      </c>
      <c r="AC82" s="3">
        <f>(G82+N82+O82)</f>
        <v>108</v>
      </c>
      <c r="AD82" s="5">
        <f>P82/AC82</f>
        <v>0.29629629629629628</v>
      </c>
      <c r="AE82" s="5">
        <f>(N82+O82)/AC82</f>
        <v>4.6296296296296294E-2</v>
      </c>
      <c r="AF82" s="4">
        <f>100-((AD82-AE82)*100)</f>
        <v>75</v>
      </c>
      <c r="AG82" s="3">
        <f>(F82-D82)*1000</f>
        <v>253.00000000000006</v>
      </c>
      <c r="AH82" s="3">
        <f>(((AF82+AG82)/2)*(AC82/100)*AB82)/C82</f>
        <v>41.67529411764707</v>
      </c>
    </row>
    <row r="83" spans="1:34" x14ac:dyDescent="0.35">
      <c r="A83" s="3" t="s">
        <v>94</v>
      </c>
      <c r="B83" s="3" t="s">
        <v>59</v>
      </c>
      <c r="C83" s="3">
        <v>24</v>
      </c>
      <c r="D83" s="3">
        <v>0.224</v>
      </c>
      <c r="E83" s="3">
        <v>0.28000000000000003</v>
      </c>
      <c r="F83" s="3">
        <v>0.28899999999999998</v>
      </c>
      <c r="G83" s="3">
        <v>152</v>
      </c>
      <c r="H83" s="3">
        <v>34</v>
      </c>
      <c r="I83" s="3">
        <v>3</v>
      </c>
      <c r="J83" s="3">
        <v>2</v>
      </c>
      <c r="K83" s="3">
        <v>1</v>
      </c>
      <c r="L83" s="3">
        <v>23</v>
      </c>
      <c r="M83" s="3">
        <v>18</v>
      </c>
      <c r="N83" s="3">
        <v>0</v>
      </c>
      <c r="O83" s="3">
        <v>13</v>
      </c>
      <c r="P83" s="3">
        <v>40</v>
      </c>
      <c r="Q83" s="3">
        <v>12</v>
      </c>
      <c r="R83" s="3">
        <v>2</v>
      </c>
      <c r="S83" s="6">
        <f>AH83/10</f>
        <v>4.0874999999999995</v>
      </c>
      <c r="T83" s="3">
        <v>40</v>
      </c>
      <c r="U83" s="4">
        <f>(S83*2)+T83</f>
        <v>48.174999999999997</v>
      </c>
      <c r="V83" s="4">
        <f>S83+T83</f>
        <v>44.087499999999999</v>
      </c>
      <c r="W83" s="3"/>
      <c r="X83" s="3"/>
      <c r="Y83" s="3"/>
      <c r="Z83" s="3"/>
      <c r="AA83" s="3"/>
      <c r="AB83" s="3">
        <f>_xlfn.IFS(B83="c", 8, B83="ss", 10, B83="cf", 8,  B83="2b", 8, B83="3b", 6, B83="rf", 4, B83="lf", 2, B83="1b", 2, B83 ="dh", 1)</f>
        <v>8</v>
      </c>
      <c r="AC83" s="3">
        <f>(G83+N83+O83)</f>
        <v>165</v>
      </c>
      <c r="AD83" s="5">
        <f>P83/AC83</f>
        <v>0.24242424242424243</v>
      </c>
      <c r="AE83" s="5">
        <f>(N83+O83)/AC83</f>
        <v>7.8787878787878782E-2</v>
      </c>
      <c r="AF83" s="4">
        <f>100-((AD83-AE83)*100)</f>
        <v>83.63636363636364</v>
      </c>
      <c r="AG83" s="3">
        <f>(F83-D83)*1000</f>
        <v>64.999999999999972</v>
      </c>
      <c r="AH83" s="3">
        <f>(((AF83+AG83)/2)*(AC83/100)*AB83)/C83</f>
        <v>40.874999999999993</v>
      </c>
    </row>
    <row r="84" spans="1:34" x14ac:dyDescent="0.35">
      <c r="A84" s="3" t="s">
        <v>305</v>
      </c>
      <c r="B84" s="3" t="s">
        <v>18</v>
      </c>
      <c r="C84" s="3">
        <v>30</v>
      </c>
      <c r="D84" s="3">
        <v>0.218</v>
      </c>
      <c r="E84" s="3">
        <v>0.34899999999999998</v>
      </c>
      <c r="F84" s="3">
        <v>0.28799999999999998</v>
      </c>
      <c r="G84" s="3">
        <v>156</v>
      </c>
      <c r="H84" s="3">
        <v>34</v>
      </c>
      <c r="I84" s="3">
        <v>6</v>
      </c>
      <c r="J84" s="3">
        <v>1</v>
      </c>
      <c r="K84" s="3">
        <v>1</v>
      </c>
      <c r="L84" s="3">
        <v>16</v>
      </c>
      <c r="M84" s="3">
        <v>16</v>
      </c>
      <c r="N84" s="3">
        <v>3</v>
      </c>
      <c r="O84" s="3">
        <v>29</v>
      </c>
      <c r="P84" s="3">
        <v>46</v>
      </c>
      <c r="Q84" s="3">
        <v>1</v>
      </c>
      <c r="R84" s="3">
        <v>1</v>
      </c>
      <c r="S84" s="6">
        <f>AH84/10</f>
        <v>4.0746666666666664</v>
      </c>
      <c r="T84" s="3">
        <v>40</v>
      </c>
      <c r="U84" s="4">
        <f>(S84*2)+T84</f>
        <v>48.149333333333331</v>
      </c>
      <c r="V84" s="4">
        <f>S84+T84</f>
        <v>44.074666666666666</v>
      </c>
      <c r="W84" s="3"/>
      <c r="X84" s="3"/>
      <c r="Y84" s="3"/>
      <c r="Z84" s="3"/>
      <c r="AA84" s="3"/>
      <c r="AB84" s="3">
        <f>_xlfn.IFS(B84="c", 8, B84="ss", 10, B84="cf", 8,  B84="2b", 8, B84="3b", 6, B84="rf", 4, B84="lf", 2, B84="1b", 2, B84 ="dh", 1)</f>
        <v>8</v>
      </c>
      <c r="AC84" s="3">
        <f>(G84+N84+O84)</f>
        <v>188</v>
      </c>
      <c r="AD84" s="5">
        <f>P84/AC84</f>
        <v>0.24468085106382978</v>
      </c>
      <c r="AE84" s="5">
        <f>(N84+O84)/AC84</f>
        <v>0.1702127659574468</v>
      </c>
      <c r="AF84" s="4">
        <f>100-((AD84-AE84)*100)</f>
        <v>92.553191489361708</v>
      </c>
      <c r="AG84" s="3">
        <f>(F84-D84)*1000</f>
        <v>69.999999999999986</v>
      </c>
      <c r="AH84" s="3">
        <f>(((AF84+AG84)/2)*(AC84/100)*AB84)/C84</f>
        <v>40.746666666666663</v>
      </c>
    </row>
    <row r="85" spans="1:34" x14ac:dyDescent="0.35">
      <c r="A85" s="3" t="s">
        <v>81</v>
      </c>
      <c r="B85" s="3" t="s">
        <v>30</v>
      </c>
      <c r="C85" s="3">
        <v>24</v>
      </c>
      <c r="D85" s="3">
        <v>0.22800000000000001</v>
      </c>
      <c r="E85" s="3">
        <v>0.25800000000000001</v>
      </c>
      <c r="F85" s="3">
        <v>0.34200000000000003</v>
      </c>
      <c r="G85" s="3">
        <v>114</v>
      </c>
      <c r="H85" s="3">
        <v>26</v>
      </c>
      <c r="I85" s="3">
        <v>4</v>
      </c>
      <c r="J85" s="3">
        <v>0</v>
      </c>
      <c r="K85" s="3">
        <v>3</v>
      </c>
      <c r="L85" s="3">
        <v>13</v>
      </c>
      <c r="M85" s="3">
        <v>15</v>
      </c>
      <c r="N85" s="3">
        <v>0</v>
      </c>
      <c r="O85" s="3">
        <v>5</v>
      </c>
      <c r="P85" s="3">
        <v>19</v>
      </c>
      <c r="Q85" s="3">
        <v>1</v>
      </c>
      <c r="R85" s="3">
        <v>1</v>
      </c>
      <c r="S85" s="6">
        <f>AH85/10</f>
        <v>4.0110000000000001</v>
      </c>
      <c r="T85" s="3">
        <v>40</v>
      </c>
      <c r="U85" s="4">
        <f>(S85*2)+T85</f>
        <v>48.021999999999998</v>
      </c>
      <c r="V85" s="4">
        <f>S85+T85</f>
        <v>44.011000000000003</v>
      </c>
      <c r="W85" s="3"/>
      <c r="X85" s="3"/>
      <c r="Y85" s="3"/>
      <c r="Z85" s="3"/>
      <c r="AA85" s="3"/>
      <c r="AB85" s="3">
        <f>_xlfn.IFS(B85="c", 8, B85="ss", 10, B85="cf", 8,  B85="2b", 8, B85="3b", 6, B85="rf", 4, B85="lf", 2, B85="1b", 2, B85 ="dh", 1)</f>
        <v>8</v>
      </c>
      <c r="AC85" s="3">
        <f>(G85+N85+O85)</f>
        <v>119</v>
      </c>
      <c r="AD85" s="5">
        <f>P85/AC85</f>
        <v>0.15966386554621848</v>
      </c>
      <c r="AE85" s="5">
        <f>(N85+O85)/AC85</f>
        <v>4.2016806722689079E-2</v>
      </c>
      <c r="AF85" s="4">
        <f>100-((AD85-AE85)*100)</f>
        <v>88.235294117647058</v>
      </c>
      <c r="AG85" s="3">
        <f>(F85-D85)*1000</f>
        <v>114.00000000000001</v>
      </c>
      <c r="AH85" s="3">
        <f>(((AF85+AG85)/2)*(AC85/100)*AB85)/C85</f>
        <v>40.11</v>
      </c>
    </row>
    <row r="86" spans="1:34" x14ac:dyDescent="0.35">
      <c r="A86" s="3" t="s">
        <v>162</v>
      </c>
      <c r="B86" s="3" t="s">
        <v>59</v>
      </c>
      <c r="C86" s="3">
        <v>26</v>
      </c>
      <c r="D86" s="3">
        <v>0.20300000000000001</v>
      </c>
      <c r="E86" s="3">
        <v>0.248</v>
      </c>
      <c r="F86" s="3">
        <v>0.30399999999999999</v>
      </c>
      <c r="G86" s="3">
        <v>138</v>
      </c>
      <c r="H86" s="3">
        <v>28</v>
      </c>
      <c r="I86" s="3">
        <v>7</v>
      </c>
      <c r="J86" s="3">
        <v>2</v>
      </c>
      <c r="K86" s="3">
        <v>1</v>
      </c>
      <c r="L86" s="3">
        <v>12</v>
      </c>
      <c r="M86" s="3">
        <v>7</v>
      </c>
      <c r="N86" s="3">
        <v>4</v>
      </c>
      <c r="O86" s="3">
        <v>5</v>
      </c>
      <c r="P86" s="3">
        <v>47</v>
      </c>
      <c r="Q86" s="3">
        <v>7</v>
      </c>
      <c r="R86" s="3">
        <v>1</v>
      </c>
      <c r="S86" s="6">
        <f>AH86/10</f>
        <v>3.9610769230769227</v>
      </c>
      <c r="T86" s="3">
        <v>40</v>
      </c>
      <c r="U86" s="4">
        <f>(S86*2)+T86</f>
        <v>47.922153846153847</v>
      </c>
      <c r="V86" s="4">
        <f>S86+T86</f>
        <v>43.961076923076924</v>
      </c>
      <c r="W86" s="3"/>
      <c r="X86" s="3"/>
      <c r="Y86" s="3"/>
      <c r="Z86" s="3"/>
      <c r="AA86" s="3"/>
      <c r="AB86" s="3">
        <f>_xlfn.IFS(B86="c", 8, B86="ss", 10, B86="cf", 8,  B86="2b", 8, B86="3b", 6, B86="rf", 4, B86="lf", 2, B86="1b", 2, B86 ="dh", 1)</f>
        <v>8</v>
      </c>
      <c r="AC86" s="3">
        <f>(G86+N86+O86)</f>
        <v>147</v>
      </c>
      <c r="AD86" s="5">
        <f>P86/AC86</f>
        <v>0.31972789115646261</v>
      </c>
      <c r="AE86" s="5">
        <f>(N86+O86)/AC86</f>
        <v>6.1224489795918366E-2</v>
      </c>
      <c r="AF86" s="4">
        <f>100-((AD86-AE86)*100)</f>
        <v>74.149659863945573</v>
      </c>
      <c r="AG86" s="3">
        <f>(F86-D86)*1000</f>
        <v>100.99999999999997</v>
      </c>
      <c r="AH86" s="3">
        <f>(((AF86+AG86)/2)*(AC86/100)*AB86)/C86</f>
        <v>39.610769230769229</v>
      </c>
    </row>
    <row r="87" spans="1:34" x14ac:dyDescent="0.35">
      <c r="A87" s="3" t="s">
        <v>364</v>
      </c>
      <c r="B87" s="3" t="s">
        <v>18</v>
      </c>
      <c r="C87" s="3">
        <v>35</v>
      </c>
      <c r="D87" s="3">
        <v>0.26</v>
      </c>
      <c r="E87" s="3">
        <v>0.32400000000000001</v>
      </c>
      <c r="F87" s="3">
        <v>0.43099999999999999</v>
      </c>
      <c r="G87" s="3">
        <v>123</v>
      </c>
      <c r="H87" s="3">
        <v>32</v>
      </c>
      <c r="I87" s="3">
        <v>6</v>
      </c>
      <c r="J87" s="3">
        <v>0</v>
      </c>
      <c r="K87" s="3">
        <v>5</v>
      </c>
      <c r="L87" s="3">
        <v>18</v>
      </c>
      <c r="M87" s="3">
        <v>17</v>
      </c>
      <c r="N87" s="3">
        <v>4</v>
      </c>
      <c r="O87" s="3">
        <v>8</v>
      </c>
      <c r="P87" s="3">
        <v>33</v>
      </c>
      <c r="Q87" s="3">
        <v>0</v>
      </c>
      <c r="R87" s="3">
        <v>0</v>
      </c>
      <c r="S87" s="6">
        <f>AH87/10</f>
        <v>3.9411428571428564</v>
      </c>
      <c r="T87" s="3">
        <v>40</v>
      </c>
      <c r="U87" s="4">
        <f>(S87*2)+T87</f>
        <v>47.882285714285715</v>
      </c>
      <c r="V87" s="4">
        <f>S87+T87</f>
        <v>43.941142857142857</v>
      </c>
      <c r="W87" s="3"/>
      <c r="X87" s="3"/>
      <c r="Y87" s="3"/>
      <c r="Z87" s="3"/>
      <c r="AA87" s="3"/>
      <c r="AB87" s="3">
        <f>_xlfn.IFS(B87="c", 8, B87="ss", 10, B87="cf", 8,  B87="2b", 8, B87="3b", 6, B87="rf", 4, B87="lf", 2, B87="1b", 2, B87 ="dh", 1)</f>
        <v>8</v>
      </c>
      <c r="AC87" s="3">
        <f>(G87+N87+O87)</f>
        <v>135</v>
      </c>
      <c r="AD87" s="5">
        <f>P87/AC87</f>
        <v>0.24444444444444444</v>
      </c>
      <c r="AE87" s="5">
        <f>(N87+O87)/AC87</f>
        <v>8.8888888888888892E-2</v>
      </c>
      <c r="AF87" s="4">
        <f>100-((AD87-AE87)*100)</f>
        <v>84.444444444444443</v>
      </c>
      <c r="AG87" s="3">
        <f>(F87-D87)*1000</f>
        <v>170.99999999999997</v>
      </c>
      <c r="AH87" s="3">
        <f>(((AF87+AG87)/2)*(AC87/100)*AB87)/C87</f>
        <v>39.411428571428566</v>
      </c>
    </row>
    <row r="88" spans="1:34" x14ac:dyDescent="0.35">
      <c r="A88" s="3" t="s">
        <v>177</v>
      </c>
      <c r="B88" s="3" t="s">
        <v>47</v>
      </c>
      <c r="C88" s="3">
        <v>27</v>
      </c>
      <c r="D88" s="3">
        <v>0.26300000000000001</v>
      </c>
      <c r="E88" s="3">
        <v>0.36799999999999999</v>
      </c>
      <c r="F88" s="3">
        <v>0.41099999999999998</v>
      </c>
      <c r="G88" s="3">
        <v>372</v>
      </c>
      <c r="H88" s="3">
        <v>98</v>
      </c>
      <c r="I88" s="3">
        <v>22</v>
      </c>
      <c r="J88" s="3">
        <v>3</v>
      </c>
      <c r="K88" s="3">
        <v>9</v>
      </c>
      <c r="L88" s="3">
        <v>56</v>
      </c>
      <c r="M88" s="3">
        <v>54</v>
      </c>
      <c r="N88" s="3">
        <v>6</v>
      </c>
      <c r="O88" s="3">
        <v>57</v>
      </c>
      <c r="P88" s="3">
        <v>93</v>
      </c>
      <c r="Q88" s="3">
        <v>16</v>
      </c>
      <c r="R88" s="3">
        <v>7</v>
      </c>
      <c r="S88" s="6">
        <f>AH88/10</f>
        <v>3.8844444444444433</v>
      </c>
      <c r="T88" s="3">
        <v>40</v>
      </c>
      <c r="U88" s="4">
        <f>(S88*2)+T88</f>
        <v>47.768888888888888</v>
      </c>
      <c r="V88" s="4">
        <f>S88+T88</f>
        <v>43.884444444444441</v>
      </c>
      <c r="W88" s="3"/>
      <c r="X88" s="3"/>
      <c r="Y88" s="3"/>
      <c r="Z88" s="3"/>
      <c r="AA88" s="3"/>
      <c r="AB88" s="3">
        <f>_xlfn.IFS(B88="c", 8, B88="ss", 10, B88="cf", 8,  B88="2b", 8, B88="3b", 6, B88="rf", 4, B88="lf", 2, B88="1b", 2, B88 ="dh", 1)</f>
        <v>2</v>
      </c>
      <c r="AC88" s="3">
        <f>(G88+N88+O88)</f>
        <v>435</v>
      </c>
      <c r="AD88" s="5">
        <f>P88/AC88</f>
        <v>0.21379310344827587</v>
      </c>
      <c r="AE88" s="5">
        <f>(N88+O88)/AC88</f>
        <v>0.14482758620689656</v>
      </c>
      <c r="AF88" s="4">
        <f>100-((AD88-AE88)*100)</f>
        <v>93.103448275862064</v>
      </c>
      <c r="AG88" s="3">
        <f>(F88-D88)*1000</f>
        <v>147.99999999999997</v>
      </c>
      <c r="AH88" s="3">
        <f>(((AF88+AG88)/2)*(AC88/100)*AB88)/C88</f>
        <v>38.844444444444434</v>
      </c>
    </row>
    <row r="89" spans="1:34" x14ac:dyDescent="0.35">
      <c r="A89" s="3" t="s">
        <v>263</v>
      </c>
      <c r="B89" s="3" t="s">
        <v>59</v>
      </c>
      <c r="C89" s="3">
        <v>29</v>
      </c>
      <c r="D89" s="3">
        <v>0.216</v>
      </c>
      <c r="E89" s="3">
        <v>0.28100000000000003</v>
      </c>
      <c r="F89" s="3">
        <v>0.32800000000000001</v>
      </c>
      <c r="G89" s="3">
        <v>134</v>
      </c>
      <c r="H89" s="3">
        <v>29</v>
      </c>
      <c r="I89" s="3">
        <v>6</v>
      </c>
      <c r="J89" s="3">
        <v>0</v>
      </c>
      <c r="K89" s="3">
        <v>3</v>
      </c>
      <c r="L89" s="3">
        <v>19</v>
      </c>
      <c r="M89" s="3">
        <v>11</v>
      </c>
      <c r="N89" s="3">
        <v>3</v>
      </c>
      <c r="O89" s="3">
        <v>9</v>
      </c>
      <c r="P89" s="3">
        <v>48</v>
      </c>
      <c r="Q89" s="3">
        <v>7</v>
      </c>
      <c r="R89" s="3">
        <v>0</v>
      </c>
      <c r="S89" s="6">
        <f>AH89/10</f>
        <v>3.7726896551724147</v>
      </c>
      <c r="T89" s="3">
        <v>40</v>
      </c>
      <c r="U89" s="4">
        <f>(S89*2)+T89</f>
        <v>47.545379310344828</v>
      </c>
      <c r="V89" s="4">
        <f>S89+T89</f>
        <v>43.772689655172414</v>
      </c>
      <c r="W89" s="3"/>
      <c r="X89" s="3"/>
      <c r="Y89" s="3"/>
      <c r="Z89" s="3"/>
      <c r="AA89" s="3"/>
      <c r="AB89" s="3">
        <f>_xlfn.IFS(B89="c", 8, B89="ss", 10, B89="cf", 8,  B89="2b", 8, B89="3b", 6, B89="rf", 4, B89="lf", 2, B89="1b", 2, B89 ="dh", 1)</f>
        <v>8</v>
      </c>
      <c r="AC89" s="3">
        <f>(G89+N89+O89)</f>
        <v>146</v>
      </c>
      <c r="AD89" s="5">
        <f>P89/AC89</f>
        <v>0.32876712328767121</v>
      </c>
      <c r="AE89" s="5">
        <f>(N89+O89)/AC89</f>
        <v>8.2191780821917804E-2</v>
      </c>
      <c r="AF89" s="4">
        <f>100-((AD89-AE89)*100)</f>
        <v>75.342465753424662</v>
      </c>
      <c r="AG89" s="3">
        <f>(F89-D89)*1000</f>
        <v>112.00000000000001</v>
      </c>
      <c r="AH89" s="3">
        <f>(((AF89+AG89)/2)*(AC89/100)*AB89)/C89</f>
        <v>37.726896551724145</v>
      </c>
    </row>
    <row r="90" spans="1:34" x14ac:dyDescent="0.35">
      <c r="A90" s="3" t="s">
        <v>113</v>
      </c>
      <c r="B90" s="3" t="s">
        <v>22</v>
      </c>
      <c r="C90" s="3">
        <v>25</v>
      </c>
      <c r="D90" s="3">
        <v>0.27600000000000002</v>
      </c>
      <c r="E90" s="3">
        <v>0.32800000000000001</v>
      </c>
      <c r="F90" s="3">
        <v>0.44700000000000001</v>
      </c>
      <c r="G90" s="3">
        <v>170</v>
      </c>
      <c r="H90" s="3">
        <v>47</v>
      </c>
      <c r="I90" s="3">
        <v>10</v>
      </c>
      <c r="J90" s="3">
        <v>2</v>
      </c>
      <c r="K90" s="3">
        <v>5</v>
      </c>
      <c r="L90" s="3">
        <v>20</v>
      </c>
      <c r="M90" s="3">
        <v>21</v>
      </c>
      <c r="N90" s="3">
        <v>2</v>
      </c>
      <c r="O90" s="3">
        <v>11</v>
      </c>
      <c r="P90" s="3">
        <v>50</v>
      </c>
      <c r="Q90" s="3">
        <v>0</v>
      </c>
      <c r="R90" s="3">
        <v>2</v>
      </c>
      <c r="S90" s="6">
        <f>AH90/10</f>
        <v>3.6714399999999996</v>
      </c>
      <c r="T90" s="3">
        <v>40</v>
      </c>
      <c r="U90" s="4">
        <f>(S90*2)+T90</f>
        <v>47.342880000000001</v>
      </c>
      <c r="V90" s="4">
        <f>S90+T90</f>
        <v>43.671439999999997</v>
      </c>
      <c r="W90" s="3"/>
      <c r="X90" s="3"/>
      <c r="Y90" s="3"/>
      <c r="Z90" s="3"/>
      <c r="AA90" s="3"/>
      <c r="AB90" s="3">
        <f>_xlfn.IFS(B90="c", 8, B90="ss", 10, B90="cf", 8,  B90="2b", 8, B90="3b", 6, B90="rf", 4, B90="lf", 2, B90="1b", 2, B90 ="dh", 1)</f>
        <v>4</v>
      </c>
      <c r="AC90" s="3">
        <f>(G90+N90+O90)</f>
        <v>183</v>
      </c>
      <c r="AD90" s="5">
        <f>P90/AC90</f>
        <v>0.27322404371584702</v>
      </c>
      <c r="AE90" s="5">
        <f>(N90+O90)/AC90</f>
        <v>7.1038251366120214E-2</v>
      </c>
      <c r="AF90" s="4">
        <f>100-((AD90-AE90)*100)</f>
        <v>79.78142076502732</v>
      </c>
      <c r="AG90" s="3">
        <f>(F90-D90)*1000</f>
        <v>170.99999999999997</v>
      </c>
      <c r="AH90" s="3">
        <f>(((AF90+AG90)/2)*(AC90/100)*AB90)/C90</f>
        <v>36.714399999999998</v>
      </c>
    </row>
    <row r="91" spans="1:34" x14ac:dyDescent="0.35">
      <c r="A91" s="3" t="s">
        <v>230</v>
      </c>
      <c r="B91" s="3" t="s">
        <v>18</v>
      </c>
      <c r="C91" s="3">
        <v>28</v>
      </c>
      <c r="D91" s="3">
        <v>0.186</v>
      </c>
      <c r="E91" s="3">
        <v>0.252</v>
      </c>
      <c r="F91" s="3">
        <v>0.32400000000000001</v>
      </c>
      <c r="G91" s="3">
        <v>102</v>
      </c>
      <c r="H91" s="3">
        <v>19</v>
      </c>
      <c r="I91" s="3">
        <v>5</v>
      </c>
      <c r="J91" s="3">
        <v>0</v>
      </c>
      <c r="K91" s="3">
        <v>3</v>
      </c>
      <c r="L91" s="3">
        <v>7</v>
      </c>
      <c r="M91" s="3">
        <v>9</v>
      </c>
      <c r="N91" s="3">
        <v>2</v>
      </c>
      <c r="O91" s="3">
        <v>7</v>
      </c>
      <c r="P91" s="3">
        <v>27</v>
      </c>
      <c r="Q91" s="3">
        <v>3</v>
      </c>
      <c r="R91" s="3">
        <v>0</v>
      </c>
      <c r="S91" s="6">
        <f>AH91/10</f>
        <v>3.5168571428571433</v>
      </c>
      <c r="T91" s="3">
        <v>40</v>
      </c>
      <c r="U91" s="4">
        <f>(S91*2)+T91</f>
        <v>47.033714285714289</v>
      </c>
      <c r="V91" s="4">
        <f>S91+T91</f>
        <v>43.516857142857141</v>
      </c>
      <c r="W91" s="3"/>
      <c r="X91" s="3"/>
      <c r="Y91" s="3"/>
      <c r="Z91" s="3"/>
      <c r="AA91" s="3"/>
      <c r="AB91" s="3">
        <f>_xlfn.IFS(B91="c", 8, B91="ss", 10, B91="cf", 8,  B91="2b", 8, B91="3b", 6, B91="rf", 4, B91="lf", 2, B91="1b", 2, B91 ="dh", 1)</f>
        <v>8</v>
      </c>
      <c r="AC91" s="3">
        <f>(G91+N91+O91)</f>
        <v>111</v>
      </c>
      <c r="AD91" s="5">
        <f>P91/AC91</f>
        <v>0.24324324324324326</v>
      </c>
      <c r="AE91" s="5">
        <f>(N91+O91)/AC91</f>
        <v>8.1081081081081086E-2</v>
      </c>
      <c r="AF91" s="4">
        <f>100-((AD91-AE91)*100)</f>
        <v>83.783783783783775</v>
      </c>
      <c r="AG91" s="3">
        <f>(F91-D91)*1000</f>
        <v>138</v>
      </c>
      <c r="AH91" s="3">
        <f>(((AF91+AG91)/2)*(AC91/100)*AB91)/C91</f>
        <v>35.168571428571433</v>
      </c>
    </row>
    <row r="92" spans="1:34" x14ac:dyDescent="0.35">
      <c r="A92" s="3" t="s">
        <v>85</v>
      </c>
      <c r="B92" s="3" t="s">
        <v>59</v>
      </c>
      <c r="C92" s="3">
        <v>24</v>
      </c>
      <c r="D92" s="3">
        <v>0.23200000000000001</v>
      </c>
      <c r="E92" s="3">
        <v>0.24299999999999999</v>
      </c>
      <c r="F92" s="3">
        <v>0.46400000000000002</v>
      </c>
      <c r="G92" s="3">
        <v>69</v>
      </c>
      <c r="H92" s="3">
        <v>16</v>
      </c>
      <c r="I92" s="3">
        <v>2</v>
      </c>
      <c r="J92" s="3">
        <v>1</v>
      </c>
      <c r="K92" s="3">
        <v>4</v>
      </c>
      <c r="L92" s="3">
        <v>9</v>
      </c>
      <c r="M92" s="3">
        <v>9</v>
      </c>
      <c r="N92" s="3">
        <v>1</v>
      </c>
      <c r="O92" s="3">
        <v>0</v>
      </c>
      <c r="P92" s="3">
        <v>24</v>
      </c>
      <c r="Q92" s="3">
        <v>0</v>
      </c>
      <c r="R92" s="3">
        <v>0</v>
      </c>
      <c r="S92" s="6">
        <f>AH92/10</f>
        <v>3.4899999999999998</v>
      </c>
      <c r="T92" s="3">
        <v>40</v>
      </c>
      <c r="U92" s="4">
        <f>(S92*2)+T92</f>
        <v>46.98</v>
      </c>
      <c r="V92" s="4">
        <f>S92+T92</f>
        <v>43.49</v>
      </c>
      <c r="W92" s="3"/>
      <c r="X92" s="3"/>
      <c r="Y92" s="3"/>
      <c r="Z92" s="3"/>
      <c r="AA92" s="3"/>
      <c r="AB92" s="3">
        <f>_xlfn.IFS(B92="c", 8, B92="ss", 10, B92="cf", 8,  B92="2b", 8, B92="3b", 6, B92="rf", 4, B92="lf", 2, B92="1b", 2, B92 ="dh", 1)</f>
        <v>8</v>
      </c>
      <c r="AC92" s="3">
        <f>(G92+N92+O92)</f>
        <v>70</v>
      </c>
      <c r="AD92" s="5">
        <f>P92/AC92</f>
        <v>0.34285714285714286</v>
      </c>
      <c r="AE92" s="5">
        <f>(N92+O92)/AC92</f>
        <v>1.4285714285714285E-2</v>
      </c>
      <c r="AF92" s="4">
        <f>100-((AD92-AE92)*100)</f>
        <v>67.142857142857139</v>
      </c>
      <c r="AG92" s="3">
        <f>(F92-D92)*1000</f>
        <v>232</v>
      </c>
      <c r="AH92" s="3">
        <f>(((AF92+AG92)/2)*(AC92/100)*AB92)/C92</f>
        <v>34.9</v>
      </c>
    </row>
    <row r="93" spans="1:34" x14ac:dyDescent="0.35">
      <c r="A93" s="3" t="s">
        <v>150</v>
      </c>
      <c r="B93" s="3" t="s">
        <v>18</v>
      </c>
      <c r="C93" s="3">
        <v>26</v>
      </c>
      <c r="D93" s="3">
        <v>0.21</v>
      </c>
      <c r="E93" s="3">
        <v>0.28199999999999997</v>
      </c>
      <c r="F93" s="3">
        <v>0.30499999999999999</v>
      </c>
      <c r="G93" s="3">
        <v>105</v>
      </c>
      <c r="H93" s="3">
        <v>22</v>
      </c>
      <c r="I93" s="3">
        <v>4</v>
      </c>
      <c r="J93" s="3">
        <v>0</v>
      </c>
      <c r="K93" s="3">
        <v>2</v>
      </c>
      <c r="L93" s="3">
        <v>9</v>
      </c>
      <c r="M93" s="3">
        <v>13</v>
      </c>
      <c r="N93" s="3">
        <v>1</v>
      </c>
      <c r="O93" s="3">
        <v>10</v>
      </c>
      <c r="P93" s="3">
        <v>17</v>
      </c>
      <c r="Q93" s="3">
        <v>0</v>
      </c>
      <c r="R93" s="3">
        <v>0</v>
      </c>
      <c r="S93" s="6">
        <f>AH93/10</f>
        <v>3.3876923076923076</v>
      </c>
      <c r="T93" s="3">
        <v>40</v>
      </c>
      <c r="U93" s="4">
        <f>(S93*2)+T93</f>
        <v>46.775384615384617</v>
      </c>
      <c r="V93" s="4">
        <f>S93+T93</f>
        <v>43.387692307692305</v>
      </c>
      <c r="W93" s="3"/>
      <c r="X93" s="3"/>
      <c r="Y93" s="3"/>
      <c r="Z93" s="3"/>
      <c r="AA93" s="3"/>
      <c r="AB93" s="3">
        <f>_xlfn.IFS(B93="c", 8, B93="ss", 10, B93="cf", 8,  B93="2b", 8, B93="3b", 6, B93="rf", 4, B93="lf", 2, B93="1b", 2, B93 ="dh", 1)</f>
        <v>8</v>
      </c>
      <c r="AC93" s="3">
        <f>(G93+N93+O93)</f>
        <v>116</v>
      </c>
      <c r="AD93" s="5">
        <f>P93/AC93</f>
        <v>0.14655172413793102</v>
      </c>
      <c r="AE93" s="5">
        <f>(N93+O93)/AC93</f>
        <v>9.4827586206896547E-2</v>
      </c>
      <c r="AF93" s="4">
        <f>100-((AD93-AE93)*100)</f>
        <v>94.827586206896555</v>
      </c>
      <c r="AG93" s="3">
        <f>(F93-D93)*1000</f>
        <v>95</v>
      </c>
      <c r="AH93" s="3">
        <f>(((AF93+AG93)/2)*(AC93/100)*AB93)/C93</f>
        <v>33.876923076923077</v>
      </c>
    </row>
    <row r="94" spans="1:34" x14ac:dyDescent="0.35">
      <c r="A94" s="3" t="s">
        <v>143</v>
      </c>
      <c r="B94" s="3" t="s">
        <v>18</v>
      </c>
      <c r="C94" s="3">
        <v>26</v>
      </c>
      <c r="D94" s="3">
        <v>0.21299999999999999</v>
      </c>
      <c r="E94" s="3">
        <v>0.26700000000000002</v>
      </c>
      <c r="F94" s="3">
        <v>0.32400000000000001</v>
      </c>
      <c r="G94" s="3">
        <v>108</v>
      </c>
      <c r="H94" s="3">
        <v>23</v>
      </c>
      <c r="I94" s="3">
        <v>5</v>
      </c>
      <c r="J94" s="3">
        <v>2</v>
      </c>
      <c r="K94" s="3">
        <v>1</v>
      </c>
      <c r="L94" s="3">
        <v>11</v>
      </c>
      <c r="M94" s="3">
        <v>16</v>
      </c>
      <c r="N94" s="3">
        <v>2</v>
      </c>
      <c r="O94" s="3">
        <v>7</v>
      </c>
      <c r="P94" s="3">
        <v>36</v>
      </c>
      <c r="Q94" s="3">
        <v>1</v>
      </c>
      <c r="R94" s="3">
        <v>0</v>
      </c>
      <c r="S94" s="6">
        <f>AH94/10</f>
        <v>3.3826153846153844</v>
      </c>
      <c r="T94" s="3">
        <v>40</v>
      </c>
      <c r="U94" s="4">
        <f>(S94*2)+T94</f>
        <v>46.765230769230769</v>
      </c>
      <c r="V94" s="4">
        <f>S94+T94</f>
        <v>43.382615384615384</v>
      </c>
      <c r="W94" s="3"/>
      <c r="X94" s="3"/>
      <c r="Y94" s="3"/>
      <c r="Z94" s="3"/>
      <c r="AA94" s="3"/>
      <c r="AB94" s="3">
        <f>_xlfn.IFS(B94="c", 8, B94="ss", 10, B94="cf", 8,  B94="2b", 8, B94="3b", 6, B94="rf", 4, B94="lf", 2, B94="1b", 2, B94 ="dh", 1)</f>
        <v>8</v>
      </c>
      <c r="AC94" s="3">
        <f>(G94+N94+O94)</f>
        <v>117</v>
      </c>
      <c r="AD94" s="5">
        <f>P94/AC94</f>
        <v>0.30769230769230771</v>
      </c>
      <c r="AE94" s="5">
        <f>(N94+O94)/AC94</f>
        <v>7.6923076923076927E-2</v>
      </c>
      <c r="AF94" s="4">
        <f>100-((AD94-AE94)*100)</f>
        <v>76.92307692307692</v>
      </c>
      <c r="AG94" s="3">
        <f>(F94-D94)*1000</f>
        <v>111.00000000000001</v>
      </c>
      <c r="AH94" s="3">
        <f>(((AF94+AG94)/2)*(AC94/100)*AB94)/C94</f>
        <v>33.826153846153844</v>
      </c>
    </row>
    <row r="95" spans="1:34" x14ac:dyDescent="0.35">
      <c r="A95" s="3" t="s">
        <v>336</v>
      </c>
      <c r="B95" s="3" t="s">
        <v>18</v>
      </c>
      <c r="C95" s="3">
        <v>32</v>
      </c>
      <c r="D95" s="3">
        <v>0.23100000000000001</v>
      </c>
      <c r="E95" s="3">
        <v>0.29699999999999999</v>
      </c>
      <c r="F95" s="3">
        <v>0.41799999999999998</v>
      </c>
      <c r="G95" s="3">
        <v>91</v>
      </c>
      <c r="H95" s="3">
        <v>21</v>
      </c>
      <c r="I95" s="3">
        <v>2</v>
      </c>
      <c r="J95" s="3">
        <v>0</v>
      </c>
      <c r="K95" s="3">
        <v>5</v>
      </c>
      <c r="L95" s="3">
        <v>13</v>
      </c>
      <c r="M95" s="3">
        <v>24</v>
      </c>
      <c r="N95" s="3">
        <v>5</v>
      </c>
      <c r="O95" s="3">
        <v>4</v>
      </c>
      <c r="P95" s="3">
        <v>27</v>
      </c>
      <c r="Q95" s="3">
        <v>0</v>
      </c>
      <c r="R95" s="3">
        <v>0</v>
      </c>
      <c r="S95" s="6">
        <f>AH95/10</f>
        <v>3.3624999999999998</v>
      </c>
      <c r="T95" s="3">
        <v>40</v>
      </c>
      <c r="U95" s="4">
        <f>(S95*2)+T95</f>
        <v>46.725000000000001</v>
      </c>
      <c r="V95" s="4">
        <f>S95+T95</f>
        <v>43.362499999999997</v>
      </c>
      <c r="W95" s="3"/>
      <c r="X95" s="3"/>
      <c r="Y95" s="3"/>
      <c r="Z95" s="3"/>
      <c r="AA95" s="3"/>
      <c r="AB95" s="3">
        <f>_xlfn.IFS(B95="c", 8, B95="ss", 10, B95="cf", 8,  B95="2b", 8, B95="3b", 6, B95="rf", 4, B95="lf", 2, B95="1b", 2, B95 ="dh", 1)</f>
        <v>8</v>
      </c>
      <c r="AC95" s="3">
        <f>(G95+N95+O95)</f>
        <v>100</v>
      </c>
      <c r="AD95" s="5">
        <f>P95/AC95</f>
        <v>0.27</v>
      </c>
      <c r="AE95" s="5">
        <f>(N95+O95)/AC95</f>
        <v>0.09</v>
      </c>
      <c r="AF95" s="4">
        <f>100-((AD95-AE95)*100)</f>
        <v>82</v>
      </c>
      <c r="AG95" s="3">
        <f>(F95-D95)*1000</f>
        <v>186.99999999999997</v>
      </c>
      <c r="AH95" s="3">
        <f>(((AF95+AG95)/2)*(AC95/100)*AB95)/C95</f>
        <v>33.625</v>
      </c>
    </row>
    <row r="96" spans="1:34" x14ac:dyDescent="0.35">
      <c r="A96" s="3" t="s">
        <v>320</v>
      </c>
      <c r="B96" s="3" t="s">
        <v>32</v>
      </c>
      <c r="C96" s="3">
        <v>31</v>
      </c>
      <c r="D96" s="3">
        <v>0.18</v>
      </c>
      <c r="E96" s="3">
        <v>0.252</v>
      </c>
      <c r="F96" s="3">
        <v>0.25900000000000001</v>
      </c>
      <c r="G96" s="3">
        <v>189</v>
      </c>
      <c r="H96" s="3">
        <v>34</v>
      </c>
      <c r="I96" s="3">
        <v>9</v>
      </c>
      <c r="J96" s="3">
        <v>0</v>
      </c>
      <c r="K96" s="3">
        <v>2</v>
      </c>
      <c r="L96" s="3">
        <v>14</v>
      </c>
      <c r="M96" s="3">
        <v>11</v>
      </c>
      <c r="N96" s="3">
        <v>0</v>
      </c>
      <c r="O96" s="3">
        <v>19</v>
      </c>
      <c r="P96" s="3">
        <v>48</v>
      </c>
      <c r="Q96" s="3">
        <v>4</v>
      </c>
      <c r="R96" s="3">
        <v>1</v>
      </c>
      <c r="S96" s="6">
        <f>AH96/10</f>
        <v>3.322451612903226</v>
      </c>
      <c r="T96" s="3">
        <v>40</v>
      </c>
      <c r="U96" s="4">
        <f>(S96*2)+T96</f>
        <v>46.644903225806452</v>
      </c>
      <c r="V96" s="4">
        <f>S96+T96</f>
        <v>43.322451612903222</v>
      </c>
      <c r="W96" s="3"/>
      <c r="X96" s="3"/>
      <c r="Y96" s="3"/>
      <c r="Z96" s="3"/>
      <c r="AA96" s="3"/>
      <c r="AB96" s="3">
        <f>_xlfn.IFS(B96="c", 8, B96="ss", 10, B96="cf", 8,  B96="2b", 8, B96="3b", 6, B96="rf", 4, B96="lf", 2, B96="1b", 2, B96 ="dh", 1)</f>
        <v>6</v>
      </c>
      <c r="AC96" s="3">
        <f>(G96+N96+O96)</f>
        <v>208</v>
      </c>
      <c r="AD96" s="5">
        <f>P96/AC96</f>
        <v>0.23076923076923078</v>
      </c>
      <c r="AE96" s="5">
        <f>(N96+O96)/AC96</f>
        <v>9.1346153846153841E-2</v>
      </c>
      <c r="AF96" s="4">
        <f>100-((AD96-AE96)*100)</f>
        <v>86.057692307692307</v>
      </c>
      <c r="AG96" s="3">
        <f>(F96-D96)*1000</f>
        <v>79.000000000000014</v>
      </c>
      <c r="AH96" s="3">
        <f>(((AF96+AG96)/2)*(AC96/100)*AB96)/C96</f>
        <v>33.22451612903226</v>
      </c>
    </row>
    <row r="97" spans="1:34" x14ac:dyDescent="0.35">
      <c r="A97" s="3" t="s">
        <v>74</v>
      </c>
      <c r="B97" s="3" t="s">
        <v>47</v>
      </c>
      <c r="C97" s="3">
        <v>24</v>
      </c>
      <c r="D97" s="3">
        <v>0.24</v>
      </c>
      <c r="E97" s="3">
        <v>0.28999999999999998</v>
      </c>
      <c r="F97" s="3">
        <v>0.40699999999999997</v>
      </c>
      <c r="G97" s="3">
        <v>300</v>
      </c>
      <c r="H97" s="3">
        <v>72</v>
      </c>
      <c r="I97" s="3">
        <v>15</v>
      </c>
      <c r="J97" s="3">
        <v>1</v>
      </c>
      <c r="K97" s="3">
        <v>11</v>
      </c>
      <c r="L97" s="3">
        <v>32</v>
      </c>
      <c r="M97" s="3">
        <v>38</v>
      </c>
      <c r="N97" s="3">
        <v>1</v>
      </c>
      <c r="O97" s="3">
        <v>21</v>
      </c>
      <c r="P97" s="3">
        <v>86</v>
      </c>
      <c r="Q97" s="3">
        <v>5</v>
      </c>
      <c r="R97" s="3">
        <v>0</v>
      </c>
      <c r="S97" s="6">
        <f>AH97/10</f>
        <v>3.3155833333333335</v>
      </c>
      <c r="T97" s="3">
        <v>40</v>
      </c>
      <c r="U97" s="4">
        <f>(S97*2)+T97</f>
        <v>46.631166666666665</v>
      </c>
      <c r="V97" s="4">
        <f>S97+T97</f>
        <v>43.315583333333336</v>
      </c>
      <c r="W97" s="3"/>
      <c r="X97" s="3"/>
      <c r="Y97" s="3"/>
      <c r="Z97" s="3"/>
      <c r="AA97" s="3"/>
      <c r="AB97" s="3">
        <f>_xlfn.IFS(B97="c", 8, B97="ss", 10, B97="cf", 8,  B97="2b", 8, B97="3b", 6, B97="rf", 4, B97="lf", 2, B97="1b", 2, B97 ="dh", 1)</f>
        <v>2</v>
      </c>
      <c r="AC97" s="3">
        <f>(G97+N97+O97)</f>
        <v>322</v>
      </c>
      <c r="AD97" s="5">
        <f>P97/AC97</f>
        <v>0.26708074534161491</v>
      </c>
      <c r="AE97" s="5">
        <f>(N97+O97)/AC97</f>
        <v>6.8322981366459631E-2</v>
      </c>
      <c r="AF97" s="4">
        <f>100-((AD97-AE97)*100)</f>
        <v>80.124223602484477</v>
      </c>
      <c r="AG97" s="3">
        <f>(F97-D97)*1000</f>
        <v>166.99999999999997</v>
      </c>
      <c r="AH97" s="3">
        <f>(((AF97+AG97)/2)*(AC97/100)*AB97)/C97</f>
        <v>33.155833333333334</v>
      </c>
    </row>
    <row r="98" spans="1:34" x14ac:dyDescent="0.35">
      <c r="A98" s="3" t="s">
        <v>61</v>
      </c>
      <c r="B98" s="3" t="s">
        <v>22</v>
      </c>
      <c r="C98" s="3">
        <v>23</v>
      </c>
      <c r="D98" s="3">
        <v>0.22</v>
      </c>
      <c r="E98" s="3">
        <v>0.29199999999999998</v>
      </c>
      <c r="F98" s="3">
        <v>0.41499999999999998</v>
      </c>
      <c r="G98" s="3">
        <v>123</v>
      </c>
      <c r="H98" s="3">
        <v>27</v>
      </c>
      <c r="I98" s="3">
        <v>10</v>
      </c>
      <c r="J98" s="3">
        <v>1</v>
      </c>
      <c r="K98" s="3">
        <v>4</v>
      </c>
      <c r="L98" s="3">
        <v>16</v>
      </c>
      <c r="M98" s="3">
        <v>19</v>
      </c>
      <c r="N98" s="3">
        <v>2</v>
      </c>
      <c r="O98" s="3">
        <v>11</v>
      </c>
      <c r="P98" s="3">
        <v>38</v>
      </c>
      <c r="Q98" s="3">
        <v>4</v>
      </c>
      <c r="R98" s="3">
        <v>0</v>
      </c>
      <c r="S98" s="6">
        <f>AH98/10</f>
        <v>3.2713043478260873</v>
      </c>
      <c r="T98" s="3">
        <v>50</v>
      </c>
      <c r="U98" s="4">
        <f>(S98*2)+T98</f>
        <v>56.542608695652177</v>
      </c>
      <c r="V98" s="4">
        <f>S98+T98</f>
        <v>53.271304347826089</v>
      </c>
      <c r="W98" s="3"/>
      <c r="X98" s="3"/>
      <c r="Y98" s="3"/>
      <c r="Z98" s="3"/>
      <c r="AA98" s="3"/>
      <c r="AB98" s="3">
        <f>_xlfn.IFS(B98="c", 8, B98="ss", 10, B98="cf", 8,  B98="2b", 8, B98="3b", 6, B98="rf", 4, B98="lf", 2, B98="1b", 2, B98 ="dh", 1)</f>
        <v>4</v>
      </c>
      <c r="AC98" s="3">
        <f>(G98+N98+O98)</f>
        <v>136</v>
      </c>
      <c r="AD98" s="5">
        <f>P98/AC98</f>
        <v>0.27941176470588236</v>
      </c>
      <c r="AE98" s="5">
        <f>(N98+O98)/AC98</f>
        <v>9.5588235294117641E-2</v>
      </c>
      <c r="AF98" s="4">
        <f>100-((AD98-AE98)*100)</f>
        <v>81.617647058823536</v>
      </c>
      <c r="AG98" s="3">
        <f>(F98-D98)*1000</f>
        <v>194.99999999999997</v>
      </c>
      <c r="AH98" s="3">
        <f>(((AF98+AG98)/2)*(AC98/100)*AB98)/C98</f>
        <v>32.713043478260872</v>
      </c>
    </row>
    <row r="99" spans="1:34" x14ac:dyDescent="0.35">
      <c r="A99" s="3" t="s">
        <v>373</v>
      </c>
      <c r="B99" s="3" t="s">
        <v>18</v>
      </c>
      <c r="C99" s="3">
        <v>38</v>
      </c>
      <c r="D99" s="3">
        <v>0.20399999999999999</v>
      </c>
      <c r="E99" s="3">
        <v>0.245</v>
      </c>
      <c r="F99" s="3">
        <v>0.32700000000000001</v>
      </c>
      <c r="G99" s="3">
        <v>147</v>
      </c>
      <c r="H99" s="3">
        <v>30</v>
      </c>
      <c r="I99" s="3">
        <v>6</v>
      </c>
      <c r="J99" s="3">
        <v>0</v>
      </c>
      <c r="K99" s="3">
        <v>4</v>
      </c>
      <c r="L99" s="3">
        <v>11</v>
      </c>
      <c r="M99" s="3">
        <v>12</v>
      </c>
      <c r="N99" s="3">
        <v>0</v>
      </c>
      <c r="O99" s="3">
        <v>8</v>
      </c>
      <c r="P99" s="3">
        <v>57</v>
      </c>
      <c r="Q99" s="3">
        <v>0</v>
      </c>
      <c r="R99" s="3">
        <v>0</v>
      </c>
      <c r="S99" s="6">
        <f>AH99/10</f>
        <v>3.1226315789473693</v>
      </c>
      <c r="T99" s="3">
        <v>40</v>
      </c>
      <c r="U99" s="4">
        <f>(S99*2)+T99</f>
        <v>46.24526315789474</v>
      </c>
      <c r="V99" s="4">
        <f>S99+T99</f>
        <v>43.12263157894737</v>
      </c>
      <c r="W99" s="3"/>
      <c r="X99" s="3"/>
      <c r="Y99" s="3"/>
      <c r="Z99" s="3"/>
      <c r="AA99" s="3"/>
      <c r="AB99" s="3">
        <f>_xlfn.IFS(B99="c", 8, B99="ss", 10, B99="cf", 8,  B99="2b", 8, B99="3b", 6, B99="rf", 4, B99="lf", 2, B99="1b", 2, B99 ="dh", 1)</f>
        <v>8</v>
      </c>
      <c r="AC99" s="3">
        <f>(G99+N99+O99)</f>
        <v>155</v>
      </c>
      <c r="AD99" s="5">
        <f>P99/AC99</f>
        <v>0.36774193548387096</v>
      </c>
      <c r="AE99" s="5">
        <f>(N99+O99)/AC99</f>
        <v>5.1612903225806452E-2</v>
      </c>
      <c r="AF99" s="4">
        <f>100-((AD99-AE99)*100)</f>
        <v>68.387096774193552</v>
      </c>
      <c r="AG99" s="3">
        <f>(F99-D99)*1000</f>
        <v>123.00000000000003</v>
      </c>
      <c r="AH99" s="3">
        <f>(((AF99+AG99)/2)*(AC99/100)*AB99)/C99</f>
        <v>31.226315789473695</v>
      </c>
    </row>
    <row r="100" spans="1:34" x14ac:dyDescent="0.35">
      <c r="A100" s="3" t="s">
        <v>347</v>
      </c>
      <c r="B100" s="3" t="s">
        <v>32</v>
      </c>
      <c r="C100" s="3">
        <v>33</v>
      </c>
      <c r="D100" s="3">
        <v>0.23799999999999999</v>
      </c>
      <c r="E100" s="3">
        <v>0.28699999999999998</v>
      </c>
      <c r="F100" s="3">
        <v>0.32600000000000001</v>
      </c>
      <c r="G100" s="3">
        <v>181</v>
      </c>
      <c r="H100" s="3">
        <v>43</v>
      </c>
      <c r="I100" s="3">
        <v>14</v>
      </c>
      <c r="J100" s="3">
        <v>1</v>
      </c>
      <c r="K100" s="3">
        <v>0</v>
      </c>
      <c r="L100" s="3">
        <v>10</v>
      </c>
      <c r="M100" s="3">
        <v>20</v>
      </c>
      <c r="N100" s="3">
        <v>0</v>
      </c>
      <c r="O100" s="3">
        <v>13</v>
      </c>
      <c r="P100" s="3">
        <v>40</v>
      </c>
      <c r="Q100" s="3">
        <v>0</v>
      </c>
      <c r="R100" s="3">
        <v>1</v>
      </c>
      <c r="S100" s="6">
        <f>AH100/10</f>
        <v>3.0701818181818181</v>
      </c>
      <c r="T100" s="3">
        <v>40</v>
      </c>
      <c r="U100" s="4">
        <f>(S100*2)+T100</f>
        <v>46.140363636363638</v>
      </c>
      <c r="V100" s="4">
        <f>S100+T100</f>
        <v>43.070181818181815</v>
      </c>
      <c r="W100" s="3"/>
      <c r="X100" s="3"/>
      <c r="Y100" s="3"/>
      <c r="Z100" s="3"/>
      <c r="AA100" s="3"/>
      <c r="AB100" s="3">
        <f>_xlfn.IFS(B100="c", 8, B100="ss", 10, B100="cf", 8,  B100="2b", 8, B100="3b", 6, B100="rf", 4, B100="lf", 2, B100="1b", 2, B100 ="dh", 1)</f>
        <v>6</v>
      </c>
      <c r="AC100" s="3">
        <f>(G100+N100+O100)</f>
        <v>194</v>
      </c>
      <c r="AD100" s="5">
        <f>P100/AC100</f>
        <v>0.20618556701030927</v>
      </c>
      <c r="AE100" s="5">
        <f>(N100+O100)/AC100</f>
        <v>6.7010309278350513E-2</v>
      </c>
      <c r="AF100" s="4">
        <f>100-((AD100-AE100)*100)</f>
        <v>86.082474226804123</v>
      </c>
      <c r="AG100" s="3">
        <f>(F100-D100)*1000</f>
        <v>88.000000000000028</v>
      </c>
      <c r="AH100" s="3">
        <f>(((AF100+AG100)/2)*(AC100/100)*AB100)/C100</f>
        <v>30.701818181818183</v>
      </c>
    </row>
    <row r="101" spans="1:34" x14ac:dyDescent="0.35">
      <c r="A101" s="3" t="s">
        <v>311</v>
      </c>
      <c r="B101" s="3" t="s">
        <v>25</v>
      </c>
      <c r="C101" s="3">
        <v>31</v>
      </c>
      <c r="D101" s="3">
        <v>0.19600000000000001</v>
      </c>
      <c r="E101" s="3">
        <v>0.30199999999999999</v>
      </c>
      <c r="F101" s="3">
        <v>0.45700000000000002</v>
      </c>
      <c r="G101" s="3">
        <v>46</v>
      </c>
      <c r="H101" s="3">
        <v>9</v>
      </c>
      <c r="I101" s="3">
        <v>0</v>
      </c>
      <c r="J101" s="3">
        <v>0</v>
      </c>
      <c r="K101" s="3">
        <v>4</v>
      </c>
      <c r="L101" s="3">
        <v>10</v>
      </c>
      <c r="M101" s="3">
        <v>9</v>
      </c>
      <c r="N101" s="3">
        <v>0</v>
      </c>
      <c r="O101" s="3">
        <v>7</v>
      </c>
      <c r="P101" s="3">
        <v>8</v>
      </c>
      <c r="Q101" s="3">
        <v>1</v>
      </c>
      <c r="R101" s="3">
        <v>0</v>
      </c>
      <c r="S101" s="6">
        <f>AH101/10</f>
        <v>3.0698387096774198</v>
      </c>
      <c r="T101" s="3">
        <v>40</v>
      </c>
      <c r="U101" s="4">
        <f>(S101*2)+T101</f>
        <v>46.13967741935484</v>
      </c>
      <c r="V101" s="4">
        <f>S101+T101</f>
        <v>43.06983870967742</v>
      </c>
      <c r="W101" s="3"/>
      <c r="X101" s="3"/>
      <c r="Y101" s="3"/>
      <c r="Z101" s="3"/>
      <c r="AA101" s="3"/>
      <c r="AB101" s="3">
        <f>_xlfn.IFS(B101="c", 8, B101="ss", 10, B101="cf", 8,  B101="2b", 8, B101="3b", 6, B101="rf", 4, B101="lf", 2, B101="1b", 2, B101 ="dh", 1)</f>
        <v>10</v>
      </c>
      <c r="AC101" s="3">
        <f>(G101+N101+O101)</f>
        <v>53</v>
      </c>
      <c r="AD101" s="5">
        <f>P101/AC101</f>
        <v>0.15094339622641509</v>
      </c>
      <c r="AE101" s="5">
        <f>(N101+O101)/AC101</f>
        <v>0.13207547169811321</v>
      </c>
      <c r="AF101" s="4">
        <f>100-((AD101-AE101)*100)</f>
        <v>98.113207547169807</v>
      </c>
      <c r="AG101" s="3">
        <f>(F101-D101)*1000</f>
        <v>261</v>
      </c>
      <c r="AH101" s="3">
        <f>(((AF101+AG101)/2)*(AC101/100)*AB101)/C101</f>
        <v>30.698387096774198</v>
      </c>
    </row>
    <row r="102" spans="1:34" x14ac:dyDescent="0.35">
      <c r="A102" s="3" t="s">
        <v>260</v>
      </c>
      <c r="B102" s="3" t="s">
        <v>30</v>
      </c>
      <c r="C102" s="3">
        <v>29</v>
      </c>
      <c r="D102" s="3">
        <v>0.23100000000000001</v>
      </c>
      <c r="E102" s="3">
        <v>0.28199999999999997</v>
      </c>
      <c r="F102" s="3">
        <v>0.41</v>
      </c>
      <c r="G102" s="3">
        <v>78</v>
      </c>
      <c r="H102" s="3">
        <v>18</v>
      </c>
      <c r="I102" s="3">
        <v>5</v>
      </c>
      <c r="J102" s="3">
        <v>0</v>
      </c>
      <c r="K102" s="3">
        <v>3</v>
      </c>
      <c r="L102" s="3">
        <v>9</v>
      </c>
      <c r="M102" s="3">
        <v>9</v>
      </c>
      <c r="N102" s="3">
        <v>0</v>
      </c>
      <c r="O102" s="3">
        <v>6</v>
      </c>
      <c r="P102" s="3">
        <v>19</v>
      </c>
      <c r="Q102" s="3">
        <v>0</v>
      </c>
      <c r="R102" s="3">
        <v>0</v>
      </c>
      <c r="S102" s="6">
        <f>AH102/10</f>
        <v>3.0532413793103448</v>
      </c>
      <c r="T102" s="3">
        <v>40</v>
      </c>
      <c r="U102" s="4">
        <f>(S102*2)+T102</f>
        <v>46.106482758620686</v>
      </c>
      <c r="V102" s="4">
        <f>S102+T102</f>
        <v>43.053241379310343</v>
      </c>
      <c r="W102" s="3"/>
      <c r="X102" s="3"/>
      <c r="Y102" s="3"/>
      <c r="Z102" s="3"/>
      <c r="AA102" s="3"/>
      <c r="AB102" s="3">
        <f>_xlfn.IFS(B102="c", 8, B102="ss", 10, B102="cf", 8,  B102="2b", 8, B102="3b", 6, B102="rf", 4, B102="lf", 2, B102="1b", 2, B102 ="dh", 1)</f>
        <v>8</v>
      </c>
      <c r="AC102" s="3">
        <f>(G102+N102+O102)</f>
        <v>84</v>
      </c>
      <c r="AD102" s="5">
        <f>P102/AC102</f>
        <v>0.22619047619047619</v>
      </c>
      <c r="AE102" s="5">
        <f>(N102+O102)/AC102</f>
        <v>7.1428571428571425E-2</v>
      </c>
      <c r="AF102" s="4">
        <f>100-((AD102-AE102)*100)</f>
        <v>84.523809523809518</v>
      </c>
      <c r="AG102" s="3">
        <f>(F102-D102)*1000</f>
        <v>178.99999999999997</v>
      </c>
      <c r="AH102" s="3">
        <f>(((AF102+AG102)/2)*(AC102/100)*AB102)/C102</f>
        <v>30.532413793103448</v>
      </c>
    </row>
    <row r="103" spans="1:34" x14ac:dyDescent="0.35">
      <c r="A103" s="3" t="s">
        <v>112</v>
      </c>
      <c r="B103" s="3" t="s">
        <v>47</v>
      </c>
      <c r="C103" s="3">
        <v>25</v>
      </c>
      <c r="D103" s="3">
        <v>0.26600000000000001</v>
      </c>
      <c r="E103" s="3">
        <v>0.34699999999999998</v>
      </c>
      <c r="F103" s="3">
        <v>0.438</v>
      </c>
      <c r="G103" s="3">
        <v>256</v>
      </c>
      <c r="H103" s="3">
        <v>68</v>
      </c>
      <c r="I103" s="3">
        <v>12</v>
      </c>
      <c r="J103" s="3">
        <v>1</v>
      </c>
      <c r="K103" s="3">
        <v>10</v>
      </c>
      <c r="L103" s="3">
        <v>40</v>
      </c>
      <c r="M103" s="3">
        <v>45</v>
      </c>
      <c r="N103" s="3">
        <v>3</v>
      </c>
      <c r="O103" s="3">
        <v>31</v>
      </c>
      <c r="P103" s="3">
        <v>77</v>
      </c>
      <c r="Q103" s="3">
        <v>1</v>
      </c>
      <c r="R103" s="3">
        <v>1</v>
      </c>
      <c r="S103" s="6">
        <f>AH103/10</f>
        <v>2.9832000000000005</v>
      </c>
      <c r="T103" s="3">
        <v>40</v>
      </c>
      <c r="U103" s="4">
        <f>(S103*2)+T103</f>
        <v>45.9664</v>
      </c>
      <c r="V103" s="4">
        <f>S103+T103</f>
        <v>42.983200000000004</v>
      </c>
      <c r="W103" s="3"/>
      <c r="X103" s="3"/>
      <c r="Y103" s="3"/>
      <c r="Z103" s="3"/>
      <c r="AA103" s="3"/>
      <c r="AB103" s="3">
        <f>_xlfn.IFS(B103="c", 8, B103="ss", 10, B103="cf", 8,  B103="2b", 8, B103="3b", 6, B103="rf", 4, B103="lf", 2, B103="1b", 2, B103 ="dh", 1)</f>
        <v>2</v>
      </c>
      <c r="AC103" s="3">
        <f>(G103+N103+O103)</f>
        <v>290</v>
      </c>
      <c r="AD103" s="5">
        <f>P103/AC103</f>
        <v>0.26551724137931032</v>
      </c>
      <c r="AE103" s="5">
        <f>(N103+O103)/AC103</f>
        <v>0.11724137931034483</v>
      </c>
      <c r="AF103" s="4">
        <f>100-((AD103-AE103)*100)</f>
        <v>85.172413793103459</v>
      </c>
      <c r="AG103" s="3">
        <f>(F103-D103)*1000</f>
        <v>172</v>
      </c>
      <c r="AH103" s="3">
        <f>(((AF103+AG103)/2)*(AC103/100)*AB103)/C103</f>
        <v>29.832000000000004</v>
      </c>
    </row>
    <row r="104" spans="1:34" x14ac:dyDescent="0.35">
      <c r="A104" s="3" t="s">
        <v>348</v>
      </c>
      <c r="B104" s="3" t="s">
        <v>30</v>
      </c>
      <c r="C104" s="3">
        <v>33</v>
      </c>
      <c r="D104" s="3">
        <v>0.27</v>
      </c>
      <c r="E104" s="3">
        <v>0.29199999999999998</v>
      </c>
      <c r="F104" s="3">
        <v>0.38300000000000001</v>
      </c>
      <c r="G104" s="3">
        <v>115</v>
      </c>
      <c r="H104" s="3">
        <v>31</v>
      </c>
      <c r="I104" s="3">
        <v>2</v>
      </c>
      <c r="J104" s="3">
        <v>1</v>
      </c>
      <c r="K104" s="3">
        <v>3</v>
      </c>
      <c r="L104" s="3">
        <v>12</v>
      </c>
      <c r="M104" s="3">
        <v>19</v>
      </c>
      <c r="N104" s="3">
        <v>2</v>
      </c>
      <c r="O104" s="3">
        <v>2</v>
      </c>
      <c r="P104" s="3">
        <v>15</v>
      </c>
      <c r="Q104" s="3">
        <v>0</v>
      </c>
      <c r="R104" s="3">
        <v>0</v>
      </c>
      <c r="S104" s="6">
        <f>AH104/10</f>
        <v>2.9390303030303029</v>
      </c>
      <c r="T104" s="3">
        <v>40</v>
      </c>
      <c r="U104" s="4">
        <f>(S104*2)+T104</f>
        <v>45.878060606060608</v>
      </c>
      <c r="V104" s="4">
        <f>S104+T104</f>
        <v>42.9390303030303</v>
      </c>
      <c r="W104" s="3"/>
      <c r="X104" s="3"/>
      <c r="Y104" s="3"/>
      <c r="Z104" s="3"/>
      <c r="AA104" s="3"/>
      <c r="AB104" s="3">
        <f>_xlfn.IFS(B104="c", 8, B104="ss", 10, B104="cf", 8,  B104="2b", 8, B104="3b", 6, B104="rf", 4, B104="lf", 2, B104="1b", 2, B104 ="dh", 1)</f>
        <v>8</v>
      </c>
      <c r="AC104" s="3">
        <f>(G104+N104+O104)</f>
        <v>119</v>
      </c>
      <c r="AD104" s="5">
        <f>P104/AC104</f>
        <v>0.12605042016806722</v>
      </c>
      <c r="AE104" s="5">
        <f>(N104+O104)/AC104</f>
        <v>3.3613445378151259E-2</v>
      </c>
      <c r="AF104" s="4">
        <f>100-((AD104-AE104)*100)</f>
        <v>90.756302521008408</v>
      </c>
      <c r="AG104" s="3">
        <f>(F104-D104)*1000</f>
        <v>112.99999999999999</v>
      </c>
      <c r="AH104" s="3">
        <f>(((AF104+AG104)/2)*(AC104/100)*AB104)/C104</f>
        <v>29.390303030303027</v>
      </c>
    </row>
    <row r="105" spans="1:34" x14ac:dyDescent="0.35">
      <c r="A105" s="3" t="s">
        <v>287</v>
      </c>
      <c r="B105" s="3" t="s">
        <v>18</v>
      </c>
      <c r="C105" s="3">
        <v>30</v>
      </c>
      <c r="D105" s="3">
        <v>0.20200000000000001</v>
      </c>
      <c r="E105" s="3">
        <v>0.29599999999999999</v>
      </c>
      <c r="F105" s="3">
        <v>0.33300000000000002</v>
      </c>
      <c r="G105" s="3">
        <v>84</v>
      </c>
      <c r="H105" s="3">
        <v>17</v>
      </c>
      <c r="I105" s="3">
        <v>5</v>
      </c>
      <c r="J105" s="3">
        <v>0</v>
      </c>
      <c r="K105" s="3">
        <v>2</v>
      </c>
      <c r="L105" s="3">
        <v>5</v>
      </c>
      <c r="M105" s="3">
        <v>11</v>
      </c>
      <c r="N105" s="3">
        <v>1</v>
      </c>
      <c r="O105" s="3">
        <v>11</v>
      </c>
      <c r="P105" s="3">
        <v>14</v>
      </c>
      <c r="Q105" s="3">
        <v>1</v>
      </c>
      <c r="R105" s="3">
        <v>0</v>
      </c>
      <c r="S105" s="6">
        <f>AH105/10</f>
        <v>2.9301333333333335</v>
      </c>
      <c r="T105" s="3">
        <v>40</v>
      </c>
      <c r="U105" s="4">
        <f>(S105*2)+T105</f>
        <v>45.860266666666668</v>
      </c>
      <c r="V105" s="4">
        <f>S105+T105</f>
        <v>42.93013333333333</v>
      </c>
      <c r="W105" s="3"/>
      <c r="X105" s="3"/>
      <c r="Y105" s="3"/>
      <c r="Z105" s="3"/>
      <c r="AA105" s="3"/>
      <c r="AB105" s="3">
        <f>_xlfn.IFS(B105="c", 8, B105="ss", 10, B105="cf", 8,  B105="2b", 8, B105="3b", 6, B105="rf", 4, B105="lf", 2, B105="1b", 2, B105 ="dh", 1)</f>
        <v>8</v>
      </c>
      <c r="AC105" s="3">
        <f>(G105+N105+O105)</f>
        <v>96</v>
      </c>
      <c r="AD105" s="5">
        <f>P105/AC105</f>
        <v>0.14583333333333334</v>
      </c>
      <c r="AE105" s="5">
        <f>(N105+O105)/AC105</f>
        <v>0.125</v>
      </c>
      <c r="AF105" s="4">
        <f>100-((AD105-AE105)*100)</f>
        <v>97.916666666666671</v>
      </c>
      <c r="AG105" s="3">
        <f>(F105-D105)*1000</f>
        <v>131</v>
      </c>
      <c r="AH105" s="3">
        <f>(((AF105+AG105)/2)*(AC105/100)*AB105)/C105</f>
        <v>29.301333333333336</v>
      </c>
    </row>
    <row r="106" spans="1:34" x14ac:dyDescent="0.35">
      <c r="A106" s="3" t="s">
        <v>238</v>
      </c>
      <c r="B106" s="3" t="s">
        <v>30</v>
      </c>
      <c r="C106" s="3">
        <v>28</v>
      </c>
      <c r="D106" s="3">
        <v>0.191</v>
      </c>
      <c r="E106" s="3">
        <v>0.26600000000000001</v>
      </c>
      <c r="F106" s="3">
        <v>0.27800000000000002</v>
      </c>
      <c r="G106" s="3">
        <v>115</v>
      </c>
      <c r="H106" s="3">
        <v>22</v>
      </c>
      <c r="I106" s="3">
        <v>4</v>
      </c>
      <c r="J106" s="3">
        <v>0</v>
      </c>
      <c r="K106" s="3">
        <v>2</v>
      </c>
      <c r="L106" s="3">
        <v>12</v>
      </c>
      <c r="M106" s="3">
        <v>11</v>
      </c>
      <c r="N106" s="3">
        <v>1</v>
      </c>
      <c r="O106" s="3">
        <v>11</v>
      </c>
      <c r="P106" s="3">
        <v>46</v>
      </c>
      <c r="Q106" s="3">
        <v>0</v>
      </c>
      <c r="R106" s="3">
        <v>1</v>
      </c>
      <c r="S106" s="6">
        <f>AH106/10</f>
        <v>2.9070000000000005</v>
      </c>
      <c r="T106" s="3">
        <v>40</v>
      </c>
      <c r="U106" s="4">
        <f>(S106*2)+T106</f>
        <v>45.814</v>
      </c>
      <c r="V106" s="4">
        <f>S106+T106</f>
        <v>42.907000000000004</v>
      </c>
      <c r="W106" s="3"/>
      <c r="X106" s="3"/>
      <c r="Y106" s="3"/>
      <c r="Z106" s="3"/>
      <c r="AA106" s="3"/>
      <c r="AB106" s="3">
        <f>_xlfn.IFS(B106="c", 8, B106="ss", 10, B106="cf", 8,  B106="2b", 8, B106="3b", 6, B106="rf", 4, B106="lf", 2, B106="1b", 2, B106 ="dh", 1)</f>
        <v>8</v>
      </c>
      <c r="AC106" s="3">
        <f>(G106+N106+O106)</f>
        <v>127</v>
      </c>
      <c r="AD106" s="5">
        <f>P106/AC106</f>
        <v>0.36220472440944884</v>
      </c>
      <c r="AE106" s="5">
        <f>(N106+O106)/AC106</f>
        <v>9.4488188976377951E-2</v>
      </c>
      <c r="AF106" s="4">
        <f>100-((AD106-AE106)*100)</f>
        <v>73.228346456692918</v>
      </c>
      <c r="AG106" s="3">
        <f>(F106-D106)*1000</f>
        <v>87.000000000000028</v>
      </c>
      <c r="AH106" s="3">
        <f>(((AF106+AG106)/2)*(AC106/100)*AB106)/C106</f>
        <v>29.070000000000004</v>
      </c>
    </row>
    <row r="107" spans="1:34" x14ac:dyDescent="0.35">
      <c r="A107" s="3" t="s">
        <v>39</v>
      </c>
      <c r="B107" s="3" t="s">
        <v>32</v>
      </c>
      <c r="C107" s="3">
        <v>22</v>
      </c>
      <c r="D107" s="3">
        <v>0.22600000000000001</v>
      </c>
      <c r="E107" s="3">
        <v>0.308</v>
      </c>
      <c r="F107" s="3">
        <v>0.27700000000000002</v>
      </c>
      <c r="G107" s="3">
        <v>137</v>
      </c>
      <c r="H107" s="3">
        <v>31</v>
      </c>
      <c r="I107" s="3">
        <v>4</v>
      </c>
      <c r="J107" s="3">
        <v>0</v>
      </c>
      <c r="K107" s="3">
        <v>1</v>
      </c>
      <c r="L107" s="3">
        <v>20</v>
      </c>
      <c r="M107" s="3">
        <v>9</v>
      </c>
      <c r="N107" s="3">
        <v>2</v>
      </c>
      <c r="O107" s="3">
        <v>15</v>
      </c>
      <c r="P107" s="3">
        <v>41</v>
      </c>
      <c r="Q107" s="3">
        <v>0</v>
      </c>
      <c r="R107" s="3">
        <v>0</v>
      </c>
      <c r="S107" s="6">
        <f>AH107/10</f>
        <v>2.8437272727272731</v>
      </c>
      <c r="T107" s="3">
        <v>40</v>
      </c>
      <c r="U107" s="4">
        <f>(S107*2)+T107</f>
        <v>45.687454545454543</v>
      </c>
      <c r="V107" s="4">
        <f>S107+T107</f>
        <v>42.843727272727271</v>
      </c>
      <c r="W107" s="3"/>
      <c r="X107" s="3"/>
      <c r="Y107" s="3"/>
      <c r="Z107" s="3"/>
      <c r="AA107" s="3"/>
      <c r="AB107" s="3">
        <f>_xlfn.IFS(B107="c", 8, B107="ss", 10, B107="cf", 8,  B107="2b", 8, B107="3b", 6, B107="rf", 4, B107="lf", 2, B107="1b", 2, B107 ="dh", 1)</f>
        <v>6</v>
      </c>
      <c r="AC107" s="3">
        <f>(G107+N107+O107)</f>
        <v>154</v>
      </c>
      <c r="AD107" s="5">
        <f>P107/AC107</f>
        <v>0.26623376623376621</v>
      </c>
      <c r="AE107" s="5">
        <f>(N107+O107)/AC107</f>
        <v>0.11038961038961038</v>
      </c>
      <c r="AF107" s="4">
        <f>100-((AD107-AE107)*100)</f>
        <v>84.415584415584419</v>
      </c>
      <c r="AG107" s="3">
        <f>(F107-D107)*1000</f>
        <v>51.000000000000014</v>
      </c>
      <c r="AH107" s="3">
        <f>(((AF107+AG107)/2)*(AC107/100)*AB107)/C107</f>
        <v>28.437272727272731</v>
      </c>
    </row>
    <row r="108" spans="1:34" x14ac:dyDescent="0.35">
      <c r="A108" s="3" t="s">
        <v>299</v>
      </c>
      <c r="B108" s="3" t="s">
        <v>22</v>
      </c>
      <c r="C108" s="3">
        <v>30</v>
      </c>
      <c r="D108" s="3">
        <v>0.20200000000000001</v>
      </c>
      <c r="E108" s="3">
        <v>0.31900000000000001</v>
      </c>
      <c r="F108" s="3">
        <v>0.311</v>
      </c>
      <c r="G108" s="3">
        <v>183</v>
      </c>
      <c r="H108" s="3">
        <v>37</v>
      </c>
      <c r="I108" s="3">
        <v>8</v>
      </c>
      <c r="J108" s="3">
        <v>0</v>
      </c>
      <c r="K108" s="3">
        <v>4</v>
      </c>
      <c r="L108" s="3">
        <v>23</v>
      </c>
      <c r="M108" s="3">
        <v>19</v>
      </c>
      <c r="N108" s="3">
        <v>13</v>
      </c>
      <c r="O108" s="3">
        <v>19</v>
      </c>
      <c r="P108" s="3">
        <v>64</v>
      </c>
      <c r="Q108" s="3">
        <v>2</v>
      </c>
      <c r="R108" s="3">
        <v>1</v>
      </c>
      <c r="S108" s="6">
        <f>AH108/10</f>
        <v>2.7823333333333329</v>
      </c>
      <c r="T108" s="3">
        <v>40</v>
      </c>
      <c r="U108" s="4">
        <f>(S108*2)+T108</f>
        <v>45.564666666666668</v>
      </c>
      <c r="V108" s="4">
        <f>S108+T108</f>
        <v>42.782333333333334</v>
      </c>
      <c r="W108" s="3"/>
      <c r="X108" s="3"/>
      <c r="Y108" s="3"/>
      <c r="Z108" s="3"/>
      <c r="AA108" s="3"/>
      <c r="AB108" s="3">
        <f>_xlfn.IFS(B108="c", 8, B108="ss", 10, B108="cf", 8,  B108="2b", 8, B108="3b", 6, B108="rf", 4, B108="lf", 2, B108="1b", 2, B108 ="dh", 1)</f>
        <v>4</v>
      </c>
      <c r="AC108" s="3">
        <f>(G108+N108+O108)</f>
        <v>215</v>
      </c>
      <c r="AD108" s="5">
        <f>P108/AC108</f>
        <v>0.29767441860465116</v>
      </c>
      <c r="AE108" s="5">
        <f>(N108+O108)/AC108</f>
        <v>0.14883720930232558</v>
      </c>
      <c r="AF108" s="4">
        <f>100-((AD108-AE108)*100)</f>
        <v>85.116279069767444</v>
      </c>
      <c r="AG108" s="3">
        <f>(F108-D108)*1000</f>
        <v>108.99999999999999</v>
      </c>
      <c r="AH108" s="3">
        <f>(((AF108+AG108)/2)*(AC108/100)*AB108)/C108</f>
        <v>27.823333333333327</v>
      </c>
    </row>
    <row r="109" spans="1:34" x14ac:dyDescent="0.35">
      <c r="A109" s="3" t="s">
        <v>97</v>
      </c>
      <c r="B109" s="3" t="s">
        <v>22</v>
      </c>
      <c r="C109" s="3">
        <v>24</v>
      </c>
      <c r="D109" s="3">
        <v>0.22500000000000001</v>
      </c>
      <c r="E109" s="3">
        <v>0.26700000000000002</v>
      </c>
      <c r="F109" s="3">
        <v>0.41699999999999998</v>
      </c>
      <c r="G109" s="3">
        <v>120</v>
      </c>
      <c r="H109" s="3">
        <v>27</v>
      </c>
      <c r="I109" s="3">
        <v>5</v>
      </c>
      <c r="J109" s="3">
        <v>0</v>
      </c>
      <c r="K109" s="3">
        <v>6</v>
      </c>
      <c r="L109" s="3">
        <v>20</v>
      </c>
      <c r="M109" s="3">
        <v>19</v>
      </c>
      <c r="N109" s="3">
        <v>1</v>
      </c>
      <c r="O109" s="3">
        <v>7</v>
      </c>
      <c r="P109" s="3">
        <v>49</v>
      </c>
      <c r="Q109" s="3">
        <v>2</v>
      </c>
      <c r="R109" s="3">
        <v>1</v>
      </c>
      <c r="S109" s="6">
        <f>AH109/10</f>
        <v>2.7730000000000001</v>
      </c>
      <c r="T109" s="3">
        <v>40</v>
      </c>
      <c r="U109" s="4">
        <f>(S109*2)+T109</f>
        <v>45.545999999999999</v>
      </c>
      <c r="V109" s="4">
        <f>S109+T109</f>
        <v>42.773000000000003</v>
      </c>
      <c r="W109" s="3"/>
      <c r="X109" s="3"/>
      <c r="Y109" s="3"/>
      <c r="Z109" s="3"/>
      <c r="AA109" s="3"/>
      <c r="AB109" s="3">
        <f>_xlfn.IFS(B109="c", 8, B109="ss", 10, B109="cf", 8,  B109="2b", 8, B109="3b", 6, B109="rf", 4, B109="lf", 2, B109="1b", 2, B109 ="dh", 1)</f>
        <v>4</v>
      </c>
      <c r="AC109" s="3">
        <f>(G109+N109+O109)</f>
        <v>128</v>
      </c>
      <c r="AD109" s="5">
        <f>P109/AC109</f>
        <v>0.3828125</v>
      </c>
      <c r="AE109" s="5">
        <f>(N109+O109)/AC109</f>
        <v>6.25E-2</v>
      </c>
      <c r="AF109" s="4">
        <f>100-((AD109-AE109)*100)</f>
        <v>67.96875</v>
      </c>
      <c r="AG109" s="3">
        <f>(F109-D109)*1000</f>
        <v>191.99999999999997</v>
      </c>
      <c r="AH109" s="3">
        <f>(((AF109+AG109)/2)*(AC109/100)*AB109)/C109</f>
        <v>27.73</v>
      </c>
    </row>
    <row r="110" spans="1:34" x14ac:dyDescent="0.35">
      <c r="A110" s="3" t="s">
        <v>63</v>
      </c>
      <c r="B110" s="3" t="s">
        <v>30</v>
      </c>
      <c r="C110" s="3">
        <v>23</v>
      </c>
      <c r="D110" s="3">
        <v>0.16700000000000001</v>
      </c>
      <c r="E110" s="3">
        <v>0.222</v>
      </c>
      <c r="F110" s="3">
        <v>0.45200000000000001</v>
      </c>
      <c r="G110" s="3">
        <v>42</v>
      </c>
      <c r="H110" s="3">
        <v>7</v>
      </c>
      <c r="I110" s="3">
        <v>0</v>
      </c>
      <c r="J110" s="3">
        <v>0</v>
      </c>
      <c r="K110" s="3">
        <v>4</v>
      </c>
      <c r="L110" s="3">
        <v>6</v>
      </c>
      <c r="M110" s="3">
        <v>9</v>
      </c>
      <c r="N110" s="3">
        <v>1</v>
      </c>
      <c r="O110" s="3">
        <v>2</v>
      </c>
      <c r="P110" s="3">
        <v>20</v>
      </c>
      <c r="Q110" s="3">
        <v>1</v>
      </c>
      <c r="R110" s="3">
        <v>0</v>
      </c>
      <c r="S110" s="6">
        <f>AH110/10</f>
        <v>2.7173913043478266</v>
      </c>
      <c r="T110" s="3">
        <v>40</v>
      </c>
      <c r="U110" s="4">
        <f>(S110*2)+T110</f>
        <v>45.434782608695656</v>
      </c>
      <c r="V110" s="4">
        <f>S110+T110</f>
        <v>42.717391304347828</v>
      </c>
      <c r="W110" s="3"/>
      <c r="X110" s="3"/>
      <c r="Y110" s="3"/>
      <c r="Z110" s="3"/>
      <c r="AA110" s="3"/>
      <c r="AB110" s="3">
        <f>_xlfn.IFS(B110="c", 8, B110="ss", 10, B110="cf", 8,  B110="2b", 8, B110="3b", 6, B110="rf", 4, B110="lf", 2, B110="1b", 2, B110 ="dh", 1)</f>
        <v>8</v>
      </c>
      <c r="AC110" s="3">
        <f>(G110+N110+O110)</f>
        <v>45</v>
      </c>
      <c r="AD110" s="5">
        <f>P110/AC110</f>
        <v>0.44444444444444442</v>
      </c>
      <c r="AE110" s="5">
        <f>(N110+O110)/AC110</f>
        <v>6.6666666666666666E-2</v>
      </c>
      <c r="AF110" s="4">
        <f>100-((AD110-AE110)*100)</f>
        <v>62.222222222222221</v>
      </c>
      <c r="AG110" s="3">
        <f>(F110-D110)*1000</f>
        <v>285.00000000000006</v>
      </c>
      <c r="AH110" s="3">
        <f>(((AF110+AG110)/2)*(AC110/100)*AB110)/C110</f>
        <v>27.173913043478265</v>
      </c>
    </row>
    <row r="111" spans="1:34" x14ac:dyDescent="0.35">
      <c r="A111" s="3" t="s">
        <v>318</v>
      </c>
      <c r="B111" s="3" t="s">
        <v>20</v>
      </c>
      <c r="C111" s="3">
        <v>31</v>
      </c>
      <c r="D111" s="3">
        <v>0.26500000000000001</v>
      </c>
      <c r="E111" s="3">
        <v>0.32600000000000001</v>
      </c>
      <c r="F111" s="3">
        <v>0.495</v>
      </c>
      <c r="G111" s="3">
        <v>471</v>
      </c>
      <c r="H111" s="3">
        <v>125</v>
      </c>
      <c r="I111" s="3">
        <v>30</v>
      </c>
      <c r="J111" s="3">
        <v>0</v>
      </c>
      <c r="K111" s="3">
        <v>26</v>
      </c>
      <c r="L111" s="3">
        <v>64</v>
      </c>
      <c r="M111" s="3">
        <v>78</v>
      </c>
      <c r="N111" s="3">
        <v>3</v>
      </c>
      <c r="O111" s="3">
        <v>42</v>
      </c>
      <c r="P111" s="3">
        <v>82</v>
      </c>
      <c r="Q111" s="3">
        <v>6</v>
      </c>
      <c r="R111" s="3">
        <v>3</v>
      </c>
      <c r="S111" s="6">
        <f>AH111/10</f>
        <v>2.6867741935483869</v>
      </c>
      <c r="T111" s="3">
        <v>40</v>
      </c>
      <c r="U111" s="4">
        <f>(S111*2)+T111</f>
        <v>45.373548387096776</v>
      </c>
      <c r="V111" s="4">
        <f>S111+T111</f>
        <v>42.686774193548388</v>
      </c>
      <c r="W111" s="3"/>
      <c r="X111" s="3"/>
      <c r="Y111" s="3"/>
      <c r="Z111" s="3"/>
      <c r="AA111" s="3"/>
      <c r="AB111" s="3">
        <f>_xlfn.IFS(B111="c", 8, B111="ss", 10, B111="cf", 8,  B111="2b", 8, B111="3b", 6, B111="rf", 4, B111="lf", 2, B111="1b", 2, B111 ="dh", 1)</f>
        <v>1</v>
      </c>
      <c r="AC111" s="3">
        <f>(G111+N111+O111)</f>
        <v>516</v>
      </c>
      <c r="AD111" s="5">
        <f>P111/AC111</f>
        <v>0.15891472868217055</v>
      </c>
      <c r="AE111" s="5">
        <f>(N111+O111)/AC111</f>
        <v>8.7209302325581398E-2</v>
      </c>
      <c r="AF111" s="4">
        <f>100-((AD111-AE111)*100)</f>
        <v>92.829457364341081</v>
      </c>
      <c r="AG111" s="3">
        <f>(F111-D111)*1000</f>
        <v>229.99999999999997</v>
      </c>
      <c r="AH111" s="3">
        <f>(((AF111+AG111)/2)*(AC111/100)*AB111)/C111</f>
        <v>26.86774193548387</v>
      </c>
    </row>
    <row r="112" spans="1:34" x14ac:dyDescent="0.35">
      <c r="A112" s="3" t="s">
        <v>202</v>
      </c>
      <c r="B112" s="3" t="s">
        <v>18</v>
      </c>
      <c r="C112" s="3">
        <v>27</v>
      </c>
      <c r="D112" s="3">
        <v>0.152</v>
      </c>
      <c r="E112" s="3">
        <v>0.24</v>
      </c>
      <c r="F112" s="3">
        <v>0.20499999999999999</v>
      </c>
      <c r="G112" s="3">
        <v>112</v>
      </c>
      <c r="H112" s="3">
        <v>17</v>
      </c>
      <c r="I112" s="3">
        <v>3</v>
      </c>
      <c r="J112" s="3">
        <v>0</v>
      </c>
      <c r="K112" s="3">
        <v>1</v>
      </c>
      <c r="L112" s="3">
        <v>9</v>
      </c>
      <c r="M112" s="3">
        <v>10</v>
      </c>
      <c r="N112" s="3">
        <v>2</v>
      </c>
      <c r="O112" s="3">
        <v>11</v>
      </c>
      <c r="P112" s="3">
        <v>23</v>
      </c>
      <c r="Q112" s="3">
        <v>0</v>
      </c>
      <c r="R112" s="3">
        <v>0</v>
      </c>
      <c r="S112" s="6">
        <f>AH112/10</f>
        <v>2.6851851851851851</v>
      </c>
      <c r="T112" s="3">
        <v>40</v>
      </c>
      <c r="U112" s="4">
        <f>(S112*2)+T112</f>
        <v>45.370370370370367</v>
      </c>
      <c r="V112" s="4">
        <f>S112+T112</f>
        <v>42.685185185185183</v>
      </c>
      <c r="W112" s="3"/>
      <c r="X112" s="3"/>
      <c r="Y112" s="3"/>
      <c r="Z112" s="3"/>
      <c r="AA112" s="3"/>
      <c r="AB112" s="3">
        <f>_xlfn.IFS(B112="c", 8, B112="ss", 10, B112="cf", 8,  B112="2b", 8, B112="3b", 6, B112="rf", 4, B112="lf", 2, B112="1b", 2, B112 ="dh", 1)</f>
        <v>8</v>
      </c>
      <c r="AC112" s="3">
        <f>(G112+N112+O112)</f>
        <v>125</v>
      </c>
      <c r="AD112" s="5">
        <f>P112/AC112</f>
        <v>0.184</v>
      </c>
      <c r="AE112" s="5">
        <f>(N112+O112)/AC112</f>
        <v>0.104</v>
      </c>
      <c r="AF112" s="4">
        <f>100-((AD112-AE112)*100)</f>
        <v>92</v>
      </c>
      <c r="AG112" s="3">
        <f>(F112-D112)*1000</f>
        <v>52.999999999999993</v>
      </c>
      <c r="AH112" s="3">
        <f>(((AF112+AG112)/2)*(AC112/100)*AB112)/C112</f>
        <v>26.851851851851851</v>
      </c>
    </row>
    <row r="113" spans="1:34" x14ac:dyDescent="0.35">
      <c r="A113" s="3" t="s">
        <v>165</v>
      </c>
      <c r="B113" s="3" t="s">
        <v>32</v>
      </c>
      <c r="C113" s="3">
        <v>26</v>
      </c>
      <c r="D113" s="3">
        <v>0.22500000000000001</v>
      </c>
      <c r="E113" s="3">
        <v>0.32400000000000001</v>
      </c>
      <c r="F113" s="3">
        <v>0.27900000000000003</v>
      </c>
      <c r="G113" s="3">
        <v>129</v>
      </c>
      <c r="H113" s="3">
        <v>29</v>
      </c>
      <c r="I113" s="3">
        <v>7</v>
      </c>
      <c r="J113" s="3">
        <v>0</v>
      </c>
      <c r="K113" s="3">
        <v>0</v>
      </c>
      <c r="L113" s="3">
        <v>15</v>
      </c>
      <c r="M113" s="3">
        <v>7</v>
      </c>
      <c r="N113" s="3">
        <v>2</v>
      </c>
      <c r="O113" s="3">
        <v>17</v>
      </c>
      <c r="P113" s="3">
        <v>28</v>
      </c>
      <c r="Q113" s="3">
        <v>1</v>
      </c>
      <c r="R113" s="3">
        <v>0</v>
      </c>
      <c r="S113" s="6">
        <f>AH113/10</f>
        <v>2.5259999999999998</v>
      </c>
      <c r="T113" s="3">
        <v>40</v>
      </c>
      <c r="U113" s="4">
        <f>(S113*2)+T113</f>
        <v>45.052</v>
      </c>
      <c r="V113" s="4">
        <f>S113+T113</f>
        <v>42.525999999999996</v>
      </c>
      <c r="W113" s="3"/>
      <c r="X113" s="3"/>
      <c r="Y113" s="3"/>
      <c r="Z113" s="3"/>
      <c r="AA113" s="3"/>
      <c r="AB113" s="3">
        <f>_xlfn.IFS(B113="c", 8, B113="ss", 10, B113="cf", 8,  B113="2b", 8, B113="3b", 6, B113="rf", 4, B113="lf", 2, B113="1b", 2, B113 ="dh", 1)</f>
        <v>6</v>
      </c>
      <c r="AC113" s="3">
        <f>(G113+N113+O113)</f>
        <v>148</v>
      </c>
      <c r="AD113" s="5">
        <f>P113/AC113</f>
        <v>0.1891891891891892</v>
      </c>
      <c r="AE113" s="5">
        <f>(N113+O113)/AC113</f>
        <v>0.12837837837837837</v>
      </c>
      <c r="AF113" s="4">
        <f>100-((AD113-AE113)*100)</f>
        <v>93.918918918918919</v>
      </c>
      <c r="AG113" s="3">
        <f>(F113-D113)*1000</f>
        <v>54.000000000000021</v>
      </c>
      <c r="AH113" s="3">
        <f>(((AF113+AG113)/2)*(AC113/100)*AB113)/C113</f>
        <v>25.259999999999998</v>
      </c>
    </row>
    <row r="114" spans="1:34" x14ac:dyDescent="0.35">
      <c r="A114" s="3" t="s">
        <v>259</v>
      </c>
      <c r="B114" s="3" t="s">
        <v>18</v>
      </c>
      <c r="C114" s="3">
        <v>29</v>
      </c>
      <c r="D114" s="3">
        <v>0.158</v>
      </c>
      <c r="E114" s="3">
        <v>0.25700000000000001</v>
      </c>
      <c r="F114" s="3">
        <v>0.23200000000000001</v>
      </c>
      <c r="G114" s="3">
        <v>95</v>
      </c>
      <c r="H114" s="3">
        <v>15</v>
      </c>
      <c r="I114" s="3">
        <v>1</v>
      </c>
      <c r="J114" s="3">
        <v>0</v>
      </c>
      <c r="K114" s="3">
        <v>2</v>
      </c>
      <c r="L114" s="3">
        <v>15</v>
      </c>
      <c r="M114" s="3">
        <v>11</v>
      </c>
      <c r="N114" s="3">
        <v>3</v>
      </c>
      <c r="O114" s="3">
        <v>10</v>
      </c>
      <c r="P114" s="3">
        <v>20</v>
      </c>
      <c r="Q114" s="3">
        <v>2</v>
      </c>
      <c r="R114" s="3">
        <v>0</v>
      </c>
      <c r="S114" s="6">
        <f>AH114/10</f>
        <v>2.4954482758620693</v>
      </c>
      <c r="T114" s="3">
        <v>40</v>
      </c>
      <c r="U114" s="4">
        <f>(S114*2)+T114</f>
        <v>44.990896551724141</v>
      </c>
      <c r="V114" s="4">
        <f>S114+T114</f>
        <v>42.495448275862067</v>
      </c>
      <c r="W114" s="3"/>
      <c r="X114" s="3"/>
      <c r="Y114" s="3"/>
      <c r="Z114" s="3"/>
      <c r="AA114" s="3"/>
      <c r="AB114" s="3">
        <f>_xlfn.IFS(B114="c", 8, B114="ss", 10, B114="cf", 8,  B114="2b", 8, B114="3b", 6, B114="rf", 4, B114="lf", 2, B114="1b", 2, B114 ="dh", 1)</f>
        <v>8</v>
      </c>
      <c r="AC114" s="3">
        <f>(G114+N114+O114)</f>
        <v>108</v>
      </c>
      <c r="AD114" s="5">
        <f>P114/AC114</f>
        <v>0.18518518518518517</v>
      </c>
      <c r="AE114" s="5">
        <f>(N114+O114)/AC114</f>
        <v>0.12037037037037036</v>
      </c>
      <c r="AF114" s="4">
        <f>100-((AD114-AE114)*100)</f>
        <v>93.518518518518519</v>
      </c>
      <c r="AG114" s="3">
        <f>(F114-D114)*1000</f>
        <v>74.000000000000014</v>
      </c>
      <c r="AH114" s="3">
        <f>(((AF114+AG114)/2)*(AC114/100)*AB114)/C114</f>
        <v>24.954482758620692</v>
      </c>
    </row>
    <row r="115" spans="1:34" x14ac:dyDescent="0.35">
      <c r="A115" s="3" t="s">
        <v>141</v>
      </c>
      <c r="B115" s="3" t="s">
        <v>30</v>
      </c>
      <c r="C115" s="3">
        <v>26</v>
      </c>
      <c r="D115" s="3">
        <v>0.28299999999999997</v>
      </c>
      <c r="E115" s="3">
        <v>0.377</v>
      </c>
      <c r="F115" s="3">
        <v>0.41699999999999998</v>
      </c>
      <c r="G115" s="3">
        <v>60</v>
      </c>
      <c r="H115" s="3">
        <v>17</v>
      </c>
      <c r="I115" s="3">
        <v>5</v>
      </c>
      <c r="J115" s="3">
        <v>0</v>
      </c>
      <c r="K115" s="3">
        <v>1</v>
      </c>
      <c r="L115" s="3">
        <v>5</v>
      </c>
      <c r="M115" s="3">
        <v>9</v>
      </c>
      <c r="N115" s="3">
        <v>1</v>
      </c>
      <c r="O115" s="3">
        <v>8</v>
      </c>
      <c r="P115" s="3">
        <v>10</v>
      </c>
      <c r="Q115" s="3">
        <v>2</v>
      </c>
      <c r="R115" s="3">
        <v>2</v>
      </c>
      <c r="S115" s="6">
        <f>AH115/10</f>
        <v>2.4686153846153842</v>
      </c>
      <c r="T115" s="3">
        <v>50</v>
      </c>
      <c r="U115" s="4">
        <f>(S115*2)+T115</f>
        <v>54.937230769230766</v>
      </c>
      <c r="V115" s="4">
        <f>S115+T115</f>
        <v>52.468615384615383</v>
      </c>
      <c r="W115" s="3"/>
      <c r="X115" s="3"/>
      <c r="Y115" s="3"/>
      <c r="Z115" s="3"/>
      <c r="AA115" s="3"/>
      <c r="AB115" s="3">
        <f>_xlfn.IFS(B115="c", 8, B115="ss", 10, B115="cf", 8,  B115="2b", 8, B115="3b", 6, B115="rf", 4, B115="lf", 2, B115="1b", 2, B115 ="dh", 1)</f>
        <v>8</v>
      </c>
      <c r="AC115" s="3">
        <f>(G115+N115+O115)</f>
        <v>69</v>
      </c>
      <c r="AD115" s="5">
        <f>P115/AC115</f>
        <v>0.14492753623188406</v>
      </c>
      <c r="AE115" s="5">
        <f>(N115+O115)/AC115</f>
        <v>0.13043478260869565</v>
      </c>
      <c r="AF115" s="4">
        <f>100-((AD115-AE115)*100)</f>
        <v>98.550724637681157</v>
      </c>
      <c r="AG115" s="3">
        <f>(F115-D115)*1000</f>
        <v>134</v>
      </c>
      <c r="AH115" s="3">
        <f>(((AF115+AG115)/2)*(AC115/100)*AB115)/C115</f>
        <v>24.686153846153843</v>
      </c>
    </row>
    <row r="116" spans="1:34" x14ac:dyDescent="0.35">
      <c r="A116" s="3" t="s">
        <v>57</v>
      </c>
      <c r="B116" s="3" t="s">
        <v>32</v>
      </c>
      <c r="C116" s="3">
        <v>23</v>
      </c>
      <c r="D116" s="3">
        <v>0.19</v>
      </c>
      <c r="E116" s="3">
        <v>0.29199999999999998</v>
      </c>
      <c r="F116" s="3">
        <v>0.31</v>
      </c>
      <c r="G116" s="3">
        <v>84</v>
      </c>
      <c r="H116" s="3">
        <v>16</v>
      </c>
      <c r="I116" s="3">
        <v>2</v>
      </c>
      <c r="J116" s="3">
        <v>1</v>
      </c>
      <c r="K116" s="3">
        <v>2</v>
      </c>
      <c r="L116" s="3">
        <v>10</v>
      </c>
      <c r="M116" s="3">
        <v>6</v>
      </c>
      <c r="N116" s="3">
        <v>1</v>
      </c>
      <c r="O116" s="3">
        <v>11</v>
      </c>
      <c r="P116" s="3">
        <v>35</v>
      </c>
      <c r="Q116" s="3">
        <v>1</v>
      </c>
      <c r="R116" s="3">
        <v>0</v>
      </c>
      <c r="S116" s="6">
        <f>AH116/10</f>
        <v>2.4547826086956523</v>
      </c>
      <c r="T116" s="3">
        <v>40</v>
      </c>
      <c r="U116" s="4">
        <f>(S116*2)+T116</f>
        <v>44.909565217391304</v>
      </c>
      <c r="V116" s="4">
        <f>S116+T116</f>
        <v>42.454782608695652</v>
      </c>
      <c r="W116" s="3"/>
      <c r="X116" s="3"/>
      <c r="Y116" s="3"/>
      <c r="Z116" s="3"/>
      <c r="AA116" s="3"/>
      <c r="AB116" s="3">
        <f>_xlfn.IFS(B116="c", 8, B116="ss", 10, B116="cf", 8,  B116="2b", 8, B116="3b", 6, B116="rf", 4, B116="lf", 2, B116="1b", 2, B116 ="dh", 1)</f>
        <v>6</v>
      </c>
      <c r="AC116" s="3">
        <f>(G116+N116+O116)</f>
        <v>96</v>
      </c>
      <c r="AD116" s="5">
        <f>P116/AC116</f>
        <v>0.36458333333333331</v>
      </c>
      <c r="AE116" s="5">
        <f>(N116+O116)/AC116</f>
        <v>0.125</v>
      </c>
      <c r="AF116" s="4">
        <f>100-((AD116-AE116)*100)</f>
        <v>76.041666666666671</v>
      </c>
      <c r="AG116" s="3">
        <f>(F116-D116)*1000</f>
        <v>120</v>
      </c>
      <c r="AH116" s="3">
        <f>(((AF116+AG116)/2)*(AC116/100)*AB116)/C116</f>
        <v>24.547826086956523</v>
      </c>
    </row>
    <row r="117" spans="1:34" x14ac:dyDescent="0.35">
      <c r="A117" s="3" t="s">
        <v>369</v>
      </c>
      <c r="B117" s="3" t="s">
        <v>30</v>
      </c>
      <c r="C117" s="3">
        <v>36</v>
      </c>
      <c r="D117" s="3">
        <v>0.26600000000000001</v>
      </c>
      <c r="E117" s="3">
        <v>0.33800000000000002</v>
      </c>
      <c r="F117" s="3">
        <v>0.33600000000000002</v>
      </c>
      <c r="G117" s="3">
        <v>128</v>
      </c>
      <c r="H117" s="3">
        <v>34</v>
      </c>
      <c r="I117" s="3">
        <v>3</v>
      </c>
      <c r="J117" s="3">
        <v>0</v>
      </c>
      <c r="K117" s="3">
        <v>2</v>
      </c>
      <c r="L117" s="3">
        <v>13</v>
      </c>
      <c r="M117" s="3">
        <v>12</v>
      </c>
      <c r="N117" s="3">
        <v>0</v>
      </c>
      <c r="O117" s="3">
        <v>14</v>
      </c>
      <c r="P117" s="3">
        <v>35</v>
      </c>
      <c r="Q117" s="3">
        <v>0</v>
      </c>
      <c r="R117" s="3">
        <v>0</v>
      </c>
      <c r="S117" s="6">
        <f>AH117/10</f>
        <v>2.4488888888888889</v>
      </c>
      <c r="T117" s="3">
        <v>40</v>
      </c>
      <c r="U117" s="4">
        <f>(S117*2)+T117</f>
        <v>44.897777777777776</v>
      </c>
      <c r="V117" s="4">
        <f>S117+T117</f>
        <v>42.448888888888888</v>
      </c>
      <c r="W117" s="3"/>
      <c r="X117" s="3"/>
      <c r="Y117" s="3"/>
      <c r="Z117" s="3"/>
      <c r="AA117" s="3"/>
      <c r="AB117" s="3">
        <f>_xlfn.IFS(B117="c", 8, B117="ss", 10, B117="cf", 8,  B117="2b", 8, B117="3b", 6, B117="rf", 4, B117="lf", 2, B117="1b", 2, B117 ="dh", 1)</f>
        <v>8</v>
      </c>
      <c r="AC117" s="3">
        <f>(G117+N117+O117)</f>
        <v>142</v>
      </c>
      <c r="AD117" s="5">
        <f>P117/AC117</f>
        <v>0.24647887323943662</v>
      </c>
      <c r="AE117" s="5">
        <f>(N117+O117)/AC117</f>
        <v>9.8591549295774641E-2</v>
      </c>
      <c r="AF117" s="4">
        <f>100-((AD117-AE117)*100)</f>
        <v>85.211267605633793</v>
      </c>
      <c r="AG117" s="3">
        <f>(F117-D117)*1000</f>
        <v>70</v>
      </c>
      <c r="AH117" s="3">
        <f>(((AF117+AG117)/2)*(AC117/100)*AB117)/C117</f>
        <v>24.488888888888887</v>
      </c>
    </row>
    <row r="118" spans="1:34" x14ac:dyDescent="0.35">
      <c r="A118" s="3" t="s">
        <v>271</v>
      </c>
      <c r="B118" s="3" t="s">
        <v>32</v>
      </c>
      <c r="C118" s="3">
        <v>29</v>
      </c>
      <c r="D118" s="3">
        <v>0.25</v>
      </c>
      <c r="E118" s="3">
        <v>0.32400000000000001</v>
      </c>
      <c r="F118" s="3">
        <v>0.29599999999999999</v>
      </c>
      <c r="G118" s="3">
        <v>152</v>
      </c>
      <c r="H118" s="3">
        <v>38</v>
      </c>
      <c r="I118" s="3">
        <v>4</v>
      </c>
      <c r="J118" s="3">
        <v>0</v>
      </c>
      <c r="K118" s="3">
        <v>1</v>
      </c>
      <c r="L118" s="3">
        <v>20</v>
      </c>
      <c r="M118" s="3">
        <v>12</v>
      </c>
      <c r="N118" s="3">
        <v>0</v>
      </c>
      <c r="O118" s="3">
        <v>17</v>
      </c>
      <c r="P118" s="3">
        <v>29</v>
      </c>
      <c r="Q118" s="3">
        <v>6</v>
      </c>
      <c r="R118" s="3">
        <v>3</v>
      </c>
      <c r="S118" s="6">
        <f>AH118/10</f>
        <v>2.4283448275862063</v>
      </c>
      <c r="T118" s="3">
        <v>40</v>
      </c>
      <c r="U118" s="4">
        <f>(S118*2)+T118</f>
        <v>44.85668965517241</v>
      </c>
      <c r="V118" s="4">
        <f>S118+T118</f>
        <v>42.428344827586209</v>
      </c>
      <c r="W118" s="3"/>
      <c r="X118" s="3"/>
      <c r="Y118" s="3"/>
      <c r="Z118" s="3"/>
      <c r="AA118" s="3"/>
      <c r="AB118" s="3">
        <f>_xlfn.IFS(B118="c", 8, B118="ss", 10, B118="cf", 8,  B118="2b", 8, B118="3b", 6, B118="rf", 4, B118="lf", 2, B118="1b", 2, B118 ="dh", 1)</f>
        <v>6</v>
      </c>
      <c r="AC118" s="3">
        <f>(G118+N118+O118)</f>
        <v>169</v>
      </c>
      <c r="AD118" s="5">
        <f>P118/AC118</f>
        <v>0.17159763313609466</v>
      </c>
      <c r="AE118" s="5">
        <f>(N118+O118)/AC118</f>
        <v>0.10059171597633136</v>
      </c>
      <c r="AF118" s="4">
        <f>100-((AD118-AE118)*100)</f>
        <v>92.899408284023664</v>
      </c>
      <c r="AG118" s="3">
        <f>(F118-D118)*1000</f>
        <v>45.999999999999986</v>
      </c>
      <c r="AH118" s="3">
        <f>(((AF118+AG118)/2)*(AC118/100)*AB118)/C118</f>
        <v>24.283448275862064</v>
      </c>
    </row>
    <row r="119" spans="1:34" x14ac:dyDescent="0.35">
      <c r="A119" s="3" t="s">
        <v>270</v>
      </c>
      <c r="B119" s="3" t="s">
        <v>47</v>
      </c>
      <c r="C119" s="3">
        <v>29</v>
      </c>
      <c r="D119" s="3">
        <v>0.29599999999999999</v>
      </c>
      <c r="E119" s="3">
        <v>0.33</v>
      </c>
      <c r="F119" s="3">
        <v>0.36799999999999999</v>
      </c>
      <c r="G119" s="3">
        <v>405</v>
      </c>
      <c r="H119" s="3">
        <v>120</v>
      </c>
      <c r="I119" s="3">
        <v>18</v>
      </c>
      <c r="J119" s="3">
        <v>1</v>
      </c>
      <c r="K119" s="3">
        <v>3</v>
      </c>
      <c r="L119" s="3">
        <v>37</v>
      </c>
      <c r="M119" s="3">
        <v>40</v>
      </c>
      <c r="N119" s="3">
        <v>2</v>
      </c>
      <c r="O119" s="3">
        <v>19</v>
      </c>
      <c r="P119" s="3">
        <v>64</v>
      </c>
      <c r="Q119" s="3">
        <v>27</v>
      </c>
      <c r="R119" s="3">
        <v>6</v>
      </c>
      <c r="S119" s="6">
        <f>AH119/10</f>
        <v>2.3783448275862069</v>
      </c>
      <c r="T119" s="3">
        <v>40</v>
      </c>
      <c r="U119" s="4">
        <f>(S119*2)+T119</f>
        <v>44.756689655172416</v>
      </c>
      <c r="V119" s="4">
        <f>S119+T119</f>
        <v>42.378344827586204</v>
      </c>
      <c r="W119" s="3"/>
      <c r="X119" s="3"/>
      <c r="Y119" s="3"/>
      <c r="Z119" s="3"/>
      <c r="AA119" s="3"/>
      <c r="AB119" s="3">
        <f>_xlfn.IFS(B119="c", 8, B119="ss", 10, B119="cf", 8,  B119="2b", 8, B119="3b", 6, B119="rf", 4, B119="lf", 2, B119="1b", 2, B119 ="dh", 1)</f>
        <v>2</v>
      </c>
      <c r="AC119" s="3">
        <f>(G119+N119+O119)</f>
        <v>426</v>
      </c>
      <c r="AD119" s="5">
        <f>P119/AC119</f>
        <v>0.15023474178403756</v>
      </c>
      <c r="AE119" s="5">
        <f>(N119+O119)/AC119</f>
        <v>4.9295774647887321E-2</v>
      </c>
      <c r="AF119" s="4">
        <f>100-((AD119-AE119)*100)</f>
        <v>89.906103286384976</v>
      </c>
      <c r="AG119" s="3">
        <f>(F119-D119)*1000</f>
        <v>72.000000000000014</v>
      </c>
      <c r="AH119" s="3">
        <f>(((AF119+AG119)/2)*(AC119/100)*AB119)/C119</f>
        <v>23.783448275862071</v>
      </c>
    </row>
    <row r="120" spans="1:34" x14ac:dyDescent="0.35">
      <c r="A120" s="3" t="s">
        <v>337</v>
      </c>
      <c r="B120" s="3" t="s">
        <v>22</v>
      </c>
      <c r="C120" s="3">
        <v>32</v>
      </c>
      <c r="D120" s="3">
        <v>0.216</v>
      </c>
      <c r="E120" s="3">
        <v>0.27</v>
      </c>
      <c r="F120" s="3">
        <v>0.372</v>
      </c>
      <c r="G120" s="3">
        <v>148</v>
      </c>
      <c r="H120" s="3">
        <v>32</v>
      </c>
      <c r="I120" s="3">
        <v>6</v>
      </c>
      <c r="J120" s="3">
        <v>1</v>
      </c>
      <c r="K120" s="3">
        <v>5</v>
      </c>
      <c r="L120" s="3">
        <v>22</v>
      </c>
      <c r="M120" s="3">
        <v>13</v>
      </c>
      <c r="N120" s="3">
        <v>0</v>
      </c>
      <c r="O120" s="3">
        <v>11</v>
      </c>
      <c r="P120" s="3">
        <v>51</v>
      </c>
      <c r="Q120" s="3">
        <v>1</v>
      </c>
      <c r="R120" s="3">
        <v>0</v>
      </c>
      <c r="S120" s="6">
        <f>AH120/10</f>
        <v>2.294</v>
      </c>
      <c r="T120" s="3">
        <v>40</v>
      </c>
      <c r="U120" s="4">
        <f>(S120*2)+T120</f>
        <v>44.588000000000001</v>
      </c>
      <c r="V120" s="4">
        <f>S120+T120</f>
        <v>42.293999999999997</v>
      </c>
      <c r="W120" s="3"/>
      <c r="X120" s="3"/>
      <c r="Y120" s="3"/>
      <c r="Z120" s="3"/>
      <c r="AA120" s="3"/>
      <c r="AB120" s="3">
        <f>_xlfn.IFS(B120="c", 8, B120="ss", 10, B120="cf", 8,  B120="2b", 8, B120="3b", 6, B120="rf", 4, B120="lf", 2, B120="1b", 2, B120 ="dh", 1)</f>
        <v>4</v>
      </c>
      <c r="AC120" s="3">
        <f>(G120+N120+O120)</f>
        <v>159</v>
      </c>
      <c r="AD120" s="5">
        <f>P120/AC120</f>
        <v>0.32075471698113206</v>
      </c>
      <c r="AE120" s="5">
        <f>(N120+O120)/AC120</f>
        <v>6.9182389937106917E-2</v>
      </c>
      <c r="AF120" s="4">
        <f>100-((AD120-AE120)*100)</f>
        <v>74.842767295597483</v>
      </c>
      <c r="AG120" s="3">
        <f>(F120-D120)*1000</f>
        <v>156</v>
      </c>
      <c r="AH120" s="3">
        <f>(((AF120+AG120)/2)*(AC120/100)*AB120)/C120</f>
        <v>22.94</v>
      </c>
    </row>
    <row r="121" spans="1:34" x14ac:dyDescent="0.35">
      <c r="A121" s="3" t="s">
        <v>82</v>
      </c>
      <c r="B121" s="3" t="s">
        <v>22</v>
      </c>
      <c r="C121" s="3">
        <v>24</v>
      </c>
      <c r="D121" s="3">
        <v>0.19</v>
      </c>
      <c r="E121" s="3">
        <v>0.248</v>
      </c>
      <c r="F121" s="3">
        <v>0.35</v>
      </c>
      <c r="G121" s="3">
        <v>100</v>
      </c>
      <c r="H121" s="3">
        <v>19</v>
      </c>
      <c r="I121" s="3">
        <v>5</v>
      </c>
      <c r="J121" s="3">
        <v>1</v>
      </c>
      <c r="K121" s="3">
        <v>3</v>
      </c>
      <c r="L121" s="3">
        <v>12</v>
      </c>
      <c r="M121" s="3">
        <v>13</v>
      </c>
      <c r="N121" s="3">
        <v>1</v>
      </c>
      <c r="O121" s="3">
        <v>7</v>
      </c>
      <c r="P121" s="3">
        <v>20</v>
      </c>
      <c r="Q121" s="3">
        <v>1</v>
      </c>
      <c r="R121" s="3">
        <v>1</v>
      </c>
      <c r="S121" s="6">
        <f>AH121/10</f>
        <v>2.2400000000000002</v>
      </c>
      <c r="T121" s="3">
        <v>40</v>
      </c>
      <c r="U121" s="4">
        <f>(S121*2)+T121</f>
        <v>44.480000000000004</v>
      </c>
      <c r="V121" s="4">
        <f>S121+T121</f>
        <v>42.24</v>
      </c>
      <c r="W121" s="3"/>
      <c r="X121" s="3"/>
      <c r="Y121" s="3"/>
      <c r="Z121" s="3"/>
      <c r="AA121" s="3"/>
      <c r="AB121" s="3">
        <f>_xlfn.IFS(B121="c", 8, B121="ss", 10, B121="cf", 8,  B121="2b", 8, B121="3b", 6, B121="rf", 4, B121="lf", 2, B121="1b", 2, B121 ="dh", 1)</f>
        <v>4</v>
      </c>
      <c r="AC121" s="3">
        <f>(G121+N121+O121)</f>
        <v>108</v>
      </c>
      <c r="AD121" s="5">
        <f>P121/AC121</f>
        <v>0.18518518518518517</v>
      </c>
      <c r="AE121" s="5">
        <f>(N121+O121)/AC121</f>
        <v>7.407407407407407E-2</v>
      </c>
      <c r="AF121" s="4">
        <f>100-((AD121-AE121)*100)</f>
        <v>88.888888888888886</v>
      </c>
      <c r="AG121" s="3">
        <f>(F121-D121)*1000</f>
        <v>159.99999999999997</v>
      </c>
      <c r="AH121" s="3">
        <f>(((AF121+AG121)/2)*(AC121/100)*AB121)/C121</f>
        <v>22.400000000000002</v>
      </c>
    </row>
    <row r="122" spans="1:34" x14ac:dyDescent="0.35">
      <c r="A122" s="3" t="s">
        <v>31</v>
      </c>
      <c r="B122" s="3" t="s">
        <v>32</v>
      </c>
      <c r="C122" s="3">
        <v>22</v>
      </c>
      <c r="D122" s="3">
        <v>0.20399999999999999</v>
      </c>
      <c r="E122" s="3">
        <v>0.29499999999999998</v>
      </c>
      <c r="F122" s="3">
        <v>0.38900000000000001</v>
      </c>
      <c r="G122" s="3">
        <v>54</v>
      </c>
      <c r="H122" s="3">
        <v>11</v>
      </c>
      <c r="I122" s="3">
        <v>1</v>
      </c>
      <c r="J122" s="3">
        <v>0</v>
      </c>
      <c r="K122" s="3">
        <v>3</v>
      </c>
      <c r="L122" s="3">
        <v>7</v>
      </c>
      <c r="M122" s="3">
        <v>5</v>
      </c>
      <c r="N122" s="3">
        <v>1</v>
      </c>
      <c r="O122" s="3">
        <v>6</v>
      </c>
      <c r="P122" s="3">
        <v>17</v>
      </c>
      <c r="Q122" s="3">
        <v>1</v>
      </c>
      <c r="R122" s="3">
        <v>2</v>
      </c>
      <c r="S122" s="6">
        <f>AH122/10</f>
        <v>2.2343181818181823</v>
      </c>
      <c r="T122" s="3">
        <v>40</v>
      </c>
      <c r="U122" s="4">
        <f>(S122*2)+T122</f>
        <v>44.468636363636364</v>
      </c>
      <c r="V122" s="4">
        <f>S122+T122</f>
        <v>42.234318181818182</v>
      </c>
      <c r="W122" s="3"/>
      <c r="X122" s="3"/>
      <c r="Y122" s="3"/>
      <c r="Z122" s="3"/>
      <c r="AA122" s="3"/>
      <c r="AB122" s="3">
        <f>_xlfn.IFS(B122="c", 8, B122="ss", 10, B122="cf", 8,  B122="2b", 8, B122="3b", 6, B122="rf", 4, B122="lf", 2, B122="1b", 2, B122 ="dh", 1)</f>
        <v>6</v>
      </c>
      <c r="AC122" s="3">
        <f>(G122+N122+O122)</f>
        <v>61</v>
      </c>
      <c r="AD122" s="5">
        <f>P122/AC122</f>
        <v>0.27868852459016391</v>
      </c>
      <c r="AE122" s="5">
        <f>(N122+O122)/AC122</f>
        <v>0.11475409836065574</v>
      </c>
      <c r="AF122" s="4">
        <f>100-((AD122-AE122)*100)</f>
        <v>83.606557377049185</v>
      </c>
      <c r="AG122" s="3">
        <f>(F122-D122)*1000</f>
        <v>185.00000000000003</v>
      </c>
      <c r="AH122" s="3">
        <f>(((AF122+AG122)/2)*(AC122/100)*AB122)/C122</f>
        <v>22.343181818181822</v>
      </c>
    </row>
    <row r="123" spans="1:34" x14ac:dyDescent="0.35">
      <c r="A123" s="3" t="s">
        <v>24</v>
      </c>
      <c r="B123" s="3" t="s">
        <v>25</v>
      </c>
      <c r="C123" s="3">
        <v>21</v>
      </c>
      <c r="D123" s="3">
        <v>0.19</v>
      </c>
      <c r="E123" s="3">
        <v>0.20899999999999999</v>
      </c>
      <c r="F123" s="3">
        <v>0.35699999999999998</v>
      </c>
      <c r="G123" s="3">
        <v>42</v>
      </c>
      <c r="H123" s="3">
        <v>8</v>
      </c>
      <c r="I123" s="3">
        <v>1</v>
      </c>
      <c r="J123" s="3">
        <v>0</v>
      </c>
      <c r="K123" s="3">
        <v>2</v>
      </c>
      <c r="L123" s="3">
        <v>4</v>
      </c>
      <c r="M123" s="3">
        <v>3</v>
      </c>
      <c r="N123" s="3">
        <v>0</v>
      </c>
      <c r="O123" s="3">
        <v>1</v>
      </c>
      <c r="P123" s="3">
        <v>22</v>
      </c>
      <c r="Q123" s="3">
        <v>0</v>
      </c>
      <c r="R123" s="3">
        <v>0</v>
      </c>
      <c r="S123" s="6">
        <f>AH123/10</f>
        <v>2.2335714285714281</v>
      </c>
      <c r="T123" s="3">
        <v>40</v>
      </c>
      <c r="U123" s="4">
        <f>(S123*2)+T123</f>
        <v>44.467142857142854</v>
      </c>
      <c r="V123" s="4">
        <f>S123+T123</f>
        <v>42.23357142857143</v>
      </c>
      <c r="W123" s="3"/>
      <c r="X123" s="3"/>
      <c r="Y123" s="3"/>
      <c r="Z123" s="3"/>
      <c r="AA123" s="3"/>
      <c r="AB123" s="3">
        <f>_xlfn.IFS(B123="c", 8, B123="ss", 10, B123="cf", 8,  B123="2b", 8, B123="3b", 6, B123="rf", 4, B123="lf", 2, B123="1b", 2, B123 ="dh", 1)</f>
        <v>10</v>
      </c>
      <c r="AC123" s="3">
        <f>(G123+N123+O123)</f>
        <v>43</v>
      </c>
      <c r="AD123" s="5">
        <f>P123/AC123</f>
        <v>0.51162790697674421</v>
      </c>
      <c r="AE123" s="5">
        <f>(N123+O123)/AC123</f>
        <v>2.3255813953488372E-2</v>
      </c>
      <c r="AF123" s="4">
        <f>100-((AD123-AE123)*100)</f>
        <v>51.162790697674417</v>
      </c>
      <c r="AG123" s="3">
        <f>(F123-D123)*1000</f>
        <v>166.99999999999997</v>
      </c>
      <c r="AH123" s="3">
        <f>(((AF123+AG123)/2)*(AC123/100)*AB123)/C123</f>
        <v>22.335714285714282</v>
      </c>
    </row>
    <row r="124" spans="1:34" x14ac:dyDescent="0.35">
      <c r="A124" s="3" t="s">
        <v>244</v>
      </c>
      <c r="B124" s="3" t="s">
        <v>28</v>
      </c>
      <c r="C124" s="3">
        <v>28</v>
      </c>
      <c r="D124" s="3">
        <v>0.23899999999999999</v>
      </c>
      <c r="E124" s="3">
        <v>0.28899999999999998</v>
      </c>
      <c r="F124" s="3">
        <v>0.371</v>
      </c>
      <c r="G124" s="3">
        <v>259</v>
      </c>
      <c r="H124" s="3">
        <v>62</v>
      </c>
      <c r="I124" s="3">
        <v>13</v>
      </c>
      <c r="J124" s="3">
        <v>0</v>
      </c>
      <c r="K124" s="3">
        <v>7</v>
      </c>
      <c r="L124" s="3">
        <v>33</v>
      </c>
      <c r="M124" s="3">
        <v>27</v>
      </c>
      <c r="N124" s="3">
        <v>6</v>
      </c>
      <c r="O124" s="3">
        <v>14</v>
      </c>
      <c r="P124" s="3">
        <v>42</v>
      </c>
      <c r="Q124" s="3">
        <v>2</v>
      </c>
      <c r="R124" s="3">
        <v>1</v>
      </c>
      <c r="S124" s="6">
        <f>AH124/10</f>
        <v>2.2331428571428571</v>
      </c>
      <c r="T124" s="3">
        <v>40</v>
      </c>
      <c r="U124" s="4">
        <f>(S124*2)+T124</f>
        <v>44.466285714285718</v>
      </c>
      <c r="V124" s="4">
        <f>S124+T124</f>
        <v>42.233142857142859</v>
      </c>
      <c r="W124" s="3"/>
      <c r="X124" s="3"/>
      <c r="Y124" s="3"/>
      <c r="Z124" s="3"/>
      <c r="AA124" s="3"/>
      <c r="AB124" s="3">
        <f>_xlfn.IFS(B124="c", 8, B124="ss", 10, B124="cf", 8,  B124="2b", 8, B124="3b", 6, B124="rf", 4, B124="lf", 2, B124="1b", 2, B124 ="dh", 1)</f>
        <v>2</v>
      </c>
      <c r="AC124" s="3">
        <f>(G124+N124+O124)</f>
        <v>279</v>
      </c>
      <c r="AD124" s="5">
        <f>P124/AC124</f>
        <v>0.15053763440860216</v>
      </c>
      <c r="AE124" s="5">
        <f>(N124+O124)/AC124</f>
        <v>7.1684587813620068E-2</v>
      </c>
      <c r="AF124" s="4">
        <f>100-((AD124-AE124)*100)</f>
        <v>92.114695340501797</v>
      </c>
      <c r="AG124" s="3">
        <f>(F124-D124)*1000</f>
        <v>132</v>
      </c>
      <c r="AH124" s="3">
        <f>(((AF124+AG124)/2)*(AC124/100)*AB124)/C124</f>
        <v>22.331428571428571</v>
      </c>
    </row>
    <row r="125" spans="1:34" x14ac:dyDescent="0.35">
      <c r="A125" s="3" t="s">
        <v>307</v>
      </c>
      <c r="B125" s="3" t="s">
        <v>59</v>
      </c>
      <c r="C125" s="3">
        <v>30</v>
      </c>
      <c r="D125" s="3">
        <v>0.20599999999999999</v>
      </c>
      <c r="E125" s="3">
        <v>0.309</v>
      </c>
      <c r="F125" s="3">
        <v>0.252</v>
      </c>
      <c r="G125" s="3">
        <v>107</v>
      </c>
      <c r="H125" s="3">
        <v>22</v>
      </c>
      <c r="I125" s="3">
        <v>1</v>
      </c>
      <c r="J125" s="3">
        <v>2</v>
      </c>
      <c r="K125" s="3">
        <v>0</v>
      </c>
      <c r="L125" s="3">
        <v>13</v>
      </c>
      <c r="M125" s="3">
        <v>9</v>
      </c>
      <c r="N125" s="3">
        <v>1</v>
      </c>
      <c r="O125" s="3">
        <v>15</v>
      </c>
      <c r="P125" s="3">
        <v>31</v>
      </c>
      <c r="Q125" s="3">
        <v>1</v>
      </c>
      <c r="R125" s="3">
        <v>2</v>
      </c>
      <c r="S125" s="6">
        <f>AH125/10</f>
        <v>2.1944000000000004</v>
      </c>
      <c r="T125" s="3">
        <v>40</v>
      </c>
      <c r="U125" s="4">
        <f>(S125*2)+T125</f>
        <v>44.388800000000003</v>
      </c>
      <c r="V125" s="4">
        <f>S125+T125</f>
        <v>42.194400000000002</v>
      </c>
      <c r="W125" s="3"/>
      <c r="X125" s="3"/>
      <c r="Y125" s="3"/>
      <c r="Z125" s="3"/>
      <c r="AA125" s="3"/>
      <c r="AB125" s="3">
        <f>_xlfn.IFS(B125="c", 8, B125="ss", 10, B125="cf", 8,  B125="2b", 8, B125="3b", 6, B125="rf", 4, B125="lf", 2, B125="1b", 2, B125 ="dh", 1)</f>
        <v>8</v>
      </c>
      <c r="AC125" s="3">
        <f>(G125+N125+O125)</f>
        <v>123</v>
      </c>
      <c r="AD125" s="5">
        <f>P125/AC125</f>
        <v>0.25203252032520324</v>
      </c>
      <c r="AE125" s="5">
        <f>(N125+O125)/AC125</f>
        <v>0.13008130081300814</v>
      </c>
      <c r="AF125" s="4">
        <f>100-((AD125-AE125)*100)</f>
        <v>87.804878048780495</v>
      </c>
      <c r="AG125" s="3">
        <f>(F125-D125)*1000</f>
        <v>46.000000000000014</v>
      </c>
      <c r="AH125" s="3">
        <f>(((AF125+AG125)/2)*(AC125/100)*AB125)/C125</f>
        <v>21.944000000000003</v>
      </c>
    </row>
    <row r="126" spans="1:34" x14ac:dyDescent="0.35">
      <c r="A126" s="3" t="s">
        <v>215</v>
      </c>
      <c r="B126" s="3" t="s">
        <v>22</v>
      </c>
      <c r="C126" s="3">
        <v>28</v>
      </c>
      <c r="D126" s="3">
        <v>0.309</v>
      </c>
      <c r="E126" s="3">
        <v>0.32300000000000001</v>
      </c>
      <c r="F126" s="3">
        <v>0.54300000000000004</v>
      </c>
      <c r="G126" s="3">
        <v>94</v>
      </c>
      <c r="H126" s="3">
        <v>29</v>
      </c>
      <c r="I126" s="3">
        <v>8</v>
      </c>
      <c r="J126" s="3">
        <v>1</v>
      </c>
      <c r="K126" s="3">
        <v>4</v>
      </c>
      <c r="L126" s="3">
        <v>11</v>
      </c>
      <c r="M126" s="3">
        <v>14</v>
      </c>
      <c r="N126" s="3">
        <v>0</v>
      </c>
      <c r="O126" s="3">
        <v>3</v>
      </c>
      <c r="P126" s="3">
        <v>20</v>
      </c>
      <c r="Q126" s="3">
        <v>0</v>
      </c>
      <c r="R126" s="3">
        <v>0</v>
      </c>
      <c r="S126" s="6">
        <f>AH126/10</f>
        <v>2.1927142857142856</v>
      </c>
      <c r="T126" s="3">
        <v>40</v>
      </c>
      <c r="U126" s="4">
        <f>(S126*2)+T126</f>
        <v>44.385428571428569</v>
      </c>
      <c r="V126" s="4">
        <f>S126+T126</f>
        <v>42.192714285714288</v>
      </c>
      <c r="W126" s="3"/>
      <c r="X126" s="3"/>
      <c r="Y126" s="3"/>
      <c r="Z126" s="3"/>
      <c r="AA126" s="3"/>
      <c r="AB126" s="3">
        <f>_xlfn.IFS(B126="c", 8, B126="ss", 10, B126="cf", 8,  B126="2b", 8, B126="3b", 6, B126="rf", 4, B126="lf", 2, B126="1b", 2, B126 ="dh", 1)</f>
        <v>4</v>
      </c>
      <c r="AC126" s="3">
        <f>(G126+N126+O126)</f>
        <v>97</v>
      </c>
      <c r="AD126" s="5">
        <f>P126/AC126</f>
        <v>0.20618556701030927</v>
      </c>
      <c r="AE126" s="5">
        <f>(N126+O126)/AC126</f>
        <v>3.0927835051546393E-2</v>
      </c>
      <c r="AF126" s="4">
        <f>100-((AD126-AE126)*100)</f>
        <v>82.474226804123717</v>
      </c>
      <c r="AG126" s="3">
        <f>(F126-D126)*1000</f>
        <v>234.00000000000003</v>
      </c>
      <c r="AH126" s="3">
        <f>(((AF126+AG126)/2)*(AC126/100)*AB126)/C126</f>
        <v>21.927142857142858</v>
      </c>
    </row>
    <row r="127" spans="1:34" x14ac:dyDescent="0.35">
      <c r="A127" s="3" t="s">
        <v>302</v>
      </c>
      <c r="B127" s="3" t="s">
        <v>25</v>
      </c>
      <c r="C127" s="3">
        <v>30</v>
      </c>
      <c r="D127" s="3">
        <v>0.22</v>
      </c>
      <c r="E127" s="3">
        <v>0.29099999999999998</v>
      </c>
      <c r="F127" s="3">
        <v>0.38</v>
      </c>
      <c r="G127" s="3">
        <v>50</v>
      </c>
      <c r="H127" s="3">
        <v>11</v>
      </c>
      <c r="I127" s="3">
        <v>2</v>
      </c>
      <c r="J127" s="3">
        <v>0</v>
      </c>
      <c r="K127" s="3">
        <v>2</v>
      </c>
      <c r="L127" s="3">
        <v>9</v>
      </c>
      <c r="M127" s="3">
        <v>7</v>
      </c>
      <c r="N127" s="3">
        <v>1</v>
      </c>
      <c r="O127" s="3">
        <v>4</v>
      </c>
      <c r="P127" s="3">
        <v>18</v>
      </c>
      <c r="Q127" s="3">
        <v>0</v>
      </c>
      <c r="R127" s="3">
        <v>1</v>
      </c>
      <c r="S127" s="6">
        <f>AH127/10</f>
        <v>2.166666666666667</v>
      </c>
      <c r="T127" s="3">
        <v>40</v>
      </c>
      <c r="U127" s="4">
        <f>(S127*2)+T127</f>
        <v>44.333333333333336</v>
      </c>
      <c r="V127" s="4">
        <f>S127+T127</f>
        <v>42.166666666666664</v>
      </c>
      <c r="W127" s="3"/>
      <c r="X127" s="3"/>
      <c r="Y127" s="3"/>
      <c r="Z127" s="3"/>
      <c r="AA127" s="3"/>
      <c r="AB127" s="3">
        <f>_xlfn.IFS(B127="c", 8, B127="ss", 10, B127="cf", 8,  B127="2b", 8, B127="3b", 6, B127="rf", 4, B127="lf", 2, B127="1b", 2, B127 ="dh", 1)</f>
        <v>10</v>
      </c>
      <c r="AC127" s="3">
        <f>(G127+N127+O127)</f>
        <v>55</v>
      </c>
      <c r="AD127" s="5">
        <f>P127/AC127</f>
        <v>0.32727272727272727</v>
      </c>
      <c r="AE127" s="5">
        <f>(N127+O127)/AC127</f>
        <v>9.0909090909090912E-2</v>
      </c>
      <c r="AF127" s="4">
        <f>100-((AD127-AE127)*100)</f>
        <v>76.36363636363636</v>
      </c>
      <c r="AG127" s="3">
        <f>(F127-D127)*1000</f>
        <v>160</v>
      </c>
      <c r="AH127" s="3">
        <f>(((AF127+AG127)/2)*(AC127/100)*AB127)/C127</f>
        <v>21.666666666666671</v>
      </c>
    </row>
    <row r="128" spans="1:34" x14ac:dyDescent="0.35">
      <c r="A128" s="3" t="s">
        <v>247</v>
      </c>
      <c r="B128" s="3" t="s">
        <v>59</v>
      </c>
      <c r="C128" s="3">
        <v>28</v>
      </c>
      <c r="D128" s="3">
        <v>0.23899999999999999</v>
      </c>
      <c r="E128" s="3">
        <v>0.31</v>
      </c>
      <c r="F128" s="3">
        <v>0.307</v>
      </c>
      <c r="G128" s="3">
        <v>88</v>
      </c>
      <c r="H128" s="3">
        <v>21</v>
      </c>
      <c r="I128" s="3">
        <v>3</v>
      </c>
      <c r="J128" s="3">
        <v>0</v>
      </c>
      <c r="K128" s="3">
        <v>1</v>
      </c>
      <c r="L128" s="3">
        <v>6</v>
      </c>
      <c r="M128" s="3">
        <v>11</v>
      </c>
      <c r="N128" s="3">
        <v>3</v>
      </c>
      <c r="O128" s="3">
        <v>7</v>
      </c>
      <c r="P128" s="3">
        <v>24</v>
      </c>
      <c r="Q128" s="3">
        <v>2</v>
      </c>
      <c r="R128" s="3">
        <v>0</v>
      </c>
      <c r="S128" s="6">
        <f>AH128/10</f>
        <v>2.1520000000000001</v>
      </c>
      <c r="T128" s="3">
        <v>40</v>
      </c>
      <c r="U128" s="4">
        <f>(S128*2)+T128</f>
        <v>44.304000000000002</v>
      </c>
      <c r="V128" s="4">
        <f>S128+T128</f>
        <v>42.152000000000001</v>
      </c>
      <c r="W128" s="3"/>
      <c r="X128" s="3"/>
      <c r="Y128" s="3"/>
      <c r="Z128" s="3"/>
      <c r="AA128" s="3"/>
      <c r="AB128" s="3">
        <f>_xlfn.IFS(B128="c", 8, B128="ss", 10, B128="cf", 8,  B128="2b", 8, B128="3b", 6, B128="rf", 4, B128="lf", 2, B128="1b", 2, B128 ="dh", 1)</f>
        <v>8</v>
      </c>
      <c r="AC128" s="3">
        <f>(G128+N128+O128)</f>
        <v>98</v>
      </c>
      <c r="AD128" s="5">
        <f>P128/AC128</f>
        <v>0.24489795918367346</v>
      </c>
      <c r="AE128" s="5">
        <f>(N128+O128)/AC128</f>
        <v>0.10204081632653061</v>
      </c>
      <c r="AF128" s="4">
        <f>100-((AD128-AE128)*100)</f>
        <v>85.714285714285722</v>
      </c>
      <c r="AG128" s="3">
        <f>(F128-D128)*1000</f>
        <v>68</v>
      </c>
      <c r="AH128" s="3">
        <f>(((AF128+AG128)/2)*(AC128/100)*AB128)/C128</f>
        <v>21.520000000000003</v>
      </c>
    </row>
    <row r="129" spans="1:34" x14ac:dyDescent="0.35">
      <c r="A129" s="3" t="s">
        <v>92</v>
      </c>
      <c r="B129" s="3" t="s">
        <v>59</v>
      </c>
      <c r="C129" s="3">
        <v>24</v>
      </c>
      <c r="D129" s="3">
        <v>0.13800000000000001</v>
      </c>
      <c r="E129" s="3">
        <v>0.219</v>
      </c>
      <c r="F129" s="3">
        <v>0.246</v>
      </c>
      <c r="G129" s="3">
        <v>65</v>
      </c>
      <c r="H129" s="3">
        <v>9</v>
      </c>
      <c r="I129" s="3">
        <v>1</v>
      </c>
      <c r="J129" s="3">
        <v>0</v>
      </c>
      <c r="K129" s="3">
        <v>2</v>
      </c>
      <c r="L129" s="3">
        <v>7</v>
      </c>
      <c r="M129" s="3">
        <v>8</v>
      </c>
      <c r="N129" s="3">
        <v>0</v>
      </c>
      <c r="O129" s="3">
        <v>7</v>
      </c>
      <c r="P129" s="3">
        <v>28</v>
      </c>
      <c r="Q129" s="3">
        <v>2</v>
      </c>
      <c r="R129" s="3">
        <v>0</v>
      </c>
      <c r="S129" s="6">
        <f>AH129/10</f>
        <v>2.1459999999999999</v>
      </c>
      <c r="T129" s="3">
        <v>40</v>
      </c>
      <c r="U129" s="4">
        <f>(S129*2)+T129</f>
        <v>44.292000000000002</v>
      </c>
      <c r="V129" s="4">
        <f>S129+T129</f>
        <v>42.146000000000001</v>
      </c>
      <c r="W129" s="3"/>
      <c r="X129" s="3"/>
      <c r="Y129" s="3"/>
      <c r="Z129" s="3"/>
      <c r="AA129" s="3"/>
      <c r="AB129" s="3">
        <f>_xlfn.IFS(B129="c", 8, B129="ss", 10, B129="cf", 8,  B129="2b", 8, B129="3b", 6, B129="rf", 4, B129="lf", 2, B129="1b", 2, B129 ="dh", 1)</f>
        <v>8</v>
      </c>
      <c r="AC129" s="3">
        <f>(G129+N129+O129)</f>
        <v>72</v>
      </c>
      <c r="AD129" s="5">
        <f>P129/AC129</f>
        <v>0.3888888888888889</v>
      </c>
      <c r="AE129" s="5">
        <f>(N129+O129)/AC129</f>
        <v>9.7222222222222224E-2</v>
      </c>
      <c r="AF129" s="4">
        <f>100-((AD129-AE129)*100)</f>
        <v>70.833333333333329</v>
      </c>
      <c r="AG129" s="3">
        <f>(F129-D129)*1000</f>
        <v>107.99999999999999</v>
      </c>
      <c r="AH129" s="3">
        <f>(((AF129+AG129)/2)*(AC129/100)*AB129)/C129</f>
        <v>21.459999999999997</v>
      </c>
    </row>
    <row r="130" spans="1:34" x14ac:dyDescent="0.35">
      <c r="A130" s="3" t="s">
        <v>73</v>
      </c>
      <c r="B130" s="3" t="s">
        <v>30</v>
      </c>
      <c r="C130" s="3">
        <v>23</v>
      </c>
      <c r="D130" s="3">
        <v>0.23200000000000001</v>
      </c>
      <c r="E130" s="3">
        <v>0.26400000000000001</v>
      </c>
      <c r="F130" s="3">
        <v>0.31900000000000001</v>
      </c>
      <c r="G130" s="3">
        <v>69</v>
      </c>
      <c r="H130" s="3">
        <v>16</v>
      </c>
      <c r="I130" s="3">
        <v>3</v>
      </c>
      <c r="J130" s="3">
        <v>0</v>
      </c>
      <c r="K130" s="3">
        <v>1</v>
      </c>
      <c r="L130" s="3">
        <v>7</v>
      </c>
      <c r="M130" s="3">
        <v>8</v>
      </c>
      <c r="N130" s="3">
        <v>0</v>
      </c>
      <c r="O130" s="3">
        <v>3</v>
      </c>
      <c r="P130" s="3">
        <v>15</v>
      </c>
      <c r="Q130" s="3">
        <v>1</v>
      </c>
      <c r="R130" s="3">
        <v>0</v>
      </c>
      <c r="S130" s="6">
        <f>AH130/10</f>
        <v>2.132869565217391</v>
      </c>
      <c r="T130" s="3">
        <v>40</v>
      </c>
      <c r="U130" s="4">
        <f>(S130*2)+T130</f>
        <v>44.265739130434781</v>
      </c>
      <c r="V130" s="4">
        <f>S130+T130</f>
        <v>42.132869565217391</v>
      </c>
      <c r="W130" s="3"/>
      <c r="X130" s="3"/>
      <c r="Y130" s="3"/>
      <c r="Z130" s="3"/>
      <c r="AA130" s="3"/>
      <c r="AB130" s="3">
        <f>_xlfn.IFS(B130="c", 8, B130="ss", 10, B130="cf", 8,  B130="2b", 8, B130="3b", 6, B130="rf", 4, B130="lf", 2, B130="1b", 2, B130 ="dh", 1)</f>
        <v>8</v>
      </c>
      <c r="AC130" s="3">
        <f>(G130+N130+O130)</f>
        <v>72</v>
      </c>
      <c r="AD130" s="5">
        <f>P130/AC130</f>
        <v>0.20833333333333334</v>
      </c>
      <c r="AE130" s="5">
        <f>(N130+O130)/AC130</f>
        <v>4.1666666666666664E-2</v>
      </c>
      <c r="AF130" s="4">
        <f>100-((AD130-AE130)*100)</f>
        <v>83.333333333333329</v>
      </c>
      <c r="AG130" s="3">
        <f>(F130-D130)*1000</f>
        <v>87</v>
      </c>
      <c r="AH130" s="3">
        <f>(((AF130+AG130)/2)*(AC130/100)*AB130)/C130</f>
        <v>21.328695652173909</v>
      </c>
    </row>
    <row r="131" spans="1:34" x14ac:dyDescent="0.35">
      <c r="A131" s="3" t="s">
        <v>222</v>
      </c>
      <c r="B131" s="3" t="s">
        <v>18</v>
      </c>
      <c r="C131" s="3">
        <v>28</v>
      </c>
      <c r="D131" s="3">
        <v>0.14799999999999999</v>
      </c>
      <c r="E131" s="3">
        <v>0.26700000000000002</v>
      </c>
      <c r="F131" s="3">
        <v>0.20499999999999999</v>
      </c>
      <c r="G131" s="3">
        <v>88</v>
      </c>
      <c r="H131" s="3">
        <v>13</v>
      </c>
      <c r="I131" s="3">
        <v>5</v>
      </c>
      <c r="J131" s="3">
        <v>0</v>
      </c>
      <c r="K131" s="3">
        <v>0</v>
      </c>
      <c r="L131" s="3">
        <v>5</v>
      </c>
      <c r="M131" s="3">
        <v>8</v>
      </c>
      <c r="N131" s="3">
        <v>0</v>
      </c>
      <c r="O131" s="3">
        <v>15</v>
      </c>
      <c r="P131" s="3">
        <v>29</v>
      </c>
      <c r="Q131" s="3">
        <v>1</v>
      </c>
      <c r="R131" s="3">
        <v>0</v>
      </c>
      <c r="S131" s="6">
        <f>AH131/10</f>
        <v>2.1101428571428573</v>
      </c>
      <c r="T131" s="3">
        <v>40</v>
      </c>
      <c r="U131" s="4">
        <f>(S131*2)+T131</f>
        <v>44.220285714285716</v>
      </c>
      <c r="V131" s="4">
        <f>S131+T131</f>
        <v>42.110142857142854</v>
      </c>
      <c r="W131" s="3"/>
      <c r="X131" s="3"/>
      <c r="Y131" s="3"/>
      <c r="Z131" s="3"/>
      <c r="AA131" s="3"/>
      <c r="AB131" s="3">
        <f>_xlfn.IFS(B131="c", 8, B131="ss", 10, B131="cf", 8,  B131="2b", 8, B131="3b", 6, B131="rf", 4, B131="lf", 2, B131="1b", 2, B131 ="dh", 1)</f>
        <v>8</v>
      </c>
      <c r="AC131" s="3">
        <f>(G131+N131+O131)</f>
        <v>103</v>
      </c>
      <c r="AD131" s="5">
        <f>P131/AC131</f>
        <v>0.28155339805825241</v>
      </c>
      <c r="AE131" s="5">
        <f>(N131+O131)/AC131</f>
        <v>0.14563106796116504</v>
      </c>
      <c r="AF131" s="4">
        <f>100-((AD131-AE131)*100)</f>
        <v>86.407766990291265</v>
      </c>
      <c r="AG131" s="3">
        <f>(F131-D131)*1000</f>
        <v>56.999999999999993</v>
      </c>
      <c r="AH131" s="3">
        <f>(((AF131+AG131)/2)*(AC131/100)*AB131)/C131</f>
        <v>21.101428571428574</v>
      </c>
    </row>
    <row r="132" spans="1:34" x14ac:dyDescent="0.35">
      <c r="A132" s="3" t="s">
        <v>171</v>
      </c>
      <c r="B132" s="3" t="s">
        <v>30</v>
      </c>
      <c r="C132" s="3">
        <v>26</v>
      </c>
      <c r="D132" s="3">
        <v>0.185</v>
      </c>
      <c r="E132" s="3">
        <v>0.27900000000000003</v>
      </c>
      <c r="F132" s="3">
        <v>0.315</v>
      </c>
      <c r="G132" s="3">
        <v>54</v>
      </c>
      <c r="H132" s="3">
        <v>10</v>
      </c>
      <c r="I132" s="3">
        <v>4</v>
      </c>
      <c r="J132" s="3">
        <v>0</v>
      </c>
      <c r="K132" s="3">
        <v>1</v>
      </c>
      <c r="L132" s="3">
        <v>5</v>
      </c>
      <c r="M132" s="3">
        <v>10</v>
      </c>
      <c r="N132" s="3">
        <v>0</v>
      </c>
      <c r="O132" s="3">
        <v>7</v>
      </c>
      <c r="P132" s="3">
        <v>14</v>
      </c>
      <c r="Q132" s="3">
        <v>1</v>
      </c>
      <c r="R132" s="3">
        <v>1</v>
      </c>
      <c r="S132" s="6">
        <f>AH132/10</f>
        <v>2.0507692307692307</v>
      </c>
      <c r="T132" s="3">
        <v>40</v>
      </c>
      <c r="U132" s="4">
        <f>(S132*2)+T132</f>
        <v>44.10153846153846</v>
      </c>
      <c r="V132" s="4">
        <f>S132+T132</f>
        <v>42.050769230769234</v>
      </c>
      <c r="W132" s="3"/>
      <c r="X132" s="3"/>
      <c r="Y132" s="3"/>
      <c r="Z132" s="3"/>
      <c r="AA132" s="3"/>
      <c r="AB132" s="3">
        <f>_xlfn.IFS(B132="c", 8, B132="ss", 10, B132="cf", 8,  B132="2b", 8, B132="3b", 6, B132="rf", 4, B132="lf", 2, B132="1b", 2, B132 ="dh", 1)</f>
        <v>8</v>
      </c>
      <c r="AC132" s="3">
        <f>(G132+N132+O132)</f>
        <v>61</v>
      </c>
      <c r="AD132" s="5">
        <f>P132/AC132</f>
        <v>0.22950819672131148</v>
      </c>
      <c r="AE132" s="5">
        <f>(N132+O132)/AC132</f>
        <v>0.11475409836065574</v>
      </c>
      <c r="AF132" s="4">
        <f>100-((AD132-AE132)*100)</f>
        <v>88.52459016393442</v>
      </c>
      <c r="AG132" s="3">
        <f>(F132-D132)*1000</f>
        <v>130</v>
      </c>
      <c r="AH132" s="3">
        <f>(((AF132+AG132)/2)*(AC132/100)*AB132)/C132</f>
        <v>20.507692307692306</v>
      </c>
    </row>
    <row r="133" spans="1:34" x14ac:dyDescent="0.35">
      <c r="A133" s="3" t="s">
        <v>134</v>
      </c>
      <c r="B133" s="3" t="s">
        <v>47</v>
      </c>
      <c r="C133" s="3">
        <v>26</v>
      </c>
      <c r="D133" s="3">
        <v>0.20300000000000001</v>
      </c>
      <c r="E133" s="3">
        <v>0.27800000000000002</v>
      </c>
      <c r="F133" s="3">
        <v>0.33600000000000002</v>
      </c>
      <c r="G133" s="3">
        <v>217</v>
      </c>
      <c r="H133" s="3">
        <v>44</v>
      </c>
      <c r="I133" s="3">
        <v>9</v>
      </c>
      <c r="J133" s="3">
        <v>1</v>
      </c>
      <c r="K133" s="3">
        <v>6</v>
      </c>
      <c r="L133" s="3">
        <v>17</v>
      </c>
      <c r="M133" s="3">
        <v>20</v>
      </c>
      <c r="N133" s="3">
        <v>2</v>
      </c>
      <c r="O133" s="3">
        <v>21</v>
      </c>
      <c r="P133" s="3">
        <v>54</v>
      </c>
      <c r="Q133" s="3">
        <v>3</v>
      </c>
      <c r="R133" s="3">
        <v>3</v>
      </c>
      <c r="S133" s="6">
        <f>AH133/10</f>
        <v>2.0315384615384615</v>
      </c>
      <c r="T133" s="3">
        <v>40</v>
      </c>
      <c r="U133" s="4">
        <f>(S133*2)+T133</f>
        <v>44.06307692307692</v>
      </c>
      <c r="V133" s="4">
        <f>S133+T133</f>
        <v>42.03153846153846</v>
      </c>
      <c r="W133" s="3"/>
      <c r="X133" s="3"/>
      <c r="Y133" s="3"/>
      <c r="Z133" s="3"/>
      <c r="AA133" s="3"/>
      <c r="AB133" s="3">
        <f>_xlfn.IFS(B133="c", 8, B133="ss", 10, B133="cf", 8,  B133="2b", 8, B133="3b", 6, B133="rf", 4, B133="lf", 2, B133="1b", 2, B133 ="dh", 1)</f>
        <v>2</v>
      </c>
      <c r="AC133" s="3">
        <f>(G133+N133+O133)</f>
        <v>240</v>
      </c>
      <c r="AD133" s="5">
        <f>P133/AC133</f>
        <v>0.22500000000000001</v>
      </c>
      <c r="AE133" s="5">
        <f>(N133+O133)/AC133</f>
        <v>9.583333333333334E-2</v>
      </c>
      <c r="AF133" s="4">
        <f>100-((AD133-AE133)*100)</f>
        <v>87.083333333333343</v>
      </c>
      <c r="AG133" s="3">
        <f>(F133-D133)*1000</f>
        <v>133</v>
      </c>
      <c r="AH133" s="3">
        <f>(((AF133+AG133)/2)*(AC133/100)*AB133)/C133</f>
        <v>20.315384615384616</v>
      </c>
    </row>
    <row r="134" spans="1:34" x14ac:dyDescent="0.35">
      <c r="A134" s="3" t="s">
        <v>291</v>
      </c>
      <c r="B134" s="3" t="s">
        <v>18</v>
      </c>
      <c r="C134" s="3">
        <v>30</v>
      </c>
      <c r="D134" s="3">
        <v>0.221</v>
      </c>
      <c r="E134" s="3">
        <v>0.29899999999999999</v>
      </c>
      <c r="F134" s="3">
        <v>0.29899999999999999</v>
      </c>
      <c r="G134" s="3">
        <v>77</v>
      </c>
      <c r="H134" s="3">
        <v>17</v>
      </c>
      <c r="I134" s="3">
        <v>1</v>
      </c>
      <c r="J134" s="3">
        <v>1</v>
      </c>
      <c r="K134" s="3">
        <v>1</v>
      </c>
      <c r="L134" s="3">
        <v>12</v>
      </c>
      <c r="M134" s="3">
        <v>5</v>
      </c>
      <c r="N134" s="3">
        <v>2</v>
      </c>
      <c r="O134" s="3">
        <v>7</v>
      </c>
      <c r="P134" s="3">
        <v>10</v>
      </c>
      <c r="Q134" s="3">
        <v>0</v>
      </c>
      <c r="R134" s="3">
        <v>0</v>
      </c>
      <c r="S134" s="6">
        <f>AH134/10</f>
        <v>2.0277333333333329</v>
      </c>
      <c r="T134" s="3">
        <v>40</v>
      </c>
      <c r="U134" s="4">
        <f>(S134*2)+T134</f>
        <v>44.055466666666668</v>
      </c>
      <c r="V134" s="4">
        <f>S134+T134</f>
        <v>42.02773333333333</v>
      </c>
      <c r="W134" s="3"/>
      <c r="X134" s="3"/>
      <c r="Y134" s="3"/>
      <c r="Z134" s="3"/>
      <c r="AA134" s="3"/>
      <c r="AB134" s="3">
        <f>_xlfn.IFS(B134="c", 8, B134="ss", 10, B134="cf", 8,  B134="2b", 8, B134="3b", 6, B134="rf", 4, B134="lf", 2, B134="1b", 2, B134 ="dh", 1)</f>
        <v>8</v>
      </c>
      <c r="AC134" s="3">
        <f>(G134+N134+O134)</f>
        <v>86</v>
      </c>
      <c r="AD134" s="5">
        <f>P134/AC134</f>
        <v>0.11627906976744186</v>
      </c>
      <c r="AE134" s="5">
        <f>(N134+O134)/AC134</f>
        <v>0.10465116279069768</v>
      </c>
      <c r="AF134" s="4">
        <f>100-((AD134-AE134)*100)</f>
        <v>98.837209302325576</v>
      </c>
      <c r="AG134" s="3">
        <f>(F134-D134)*1000</f>
        <v>77.999999999999986</v>
      </c>
      <c r="AH134" s="3">
        <f>(((AF134+AG134)/2)*(AC134/100)*AB134)/C134</f>
        <v>20.277333333333331</v>
      </c>
    </row>
    <row r="135" spans="1:34" x14ac:dyDescent="0.35">
      <c r="A135" s="3" t="s">
        <v>76</v>
      </c>
      <c r="B135" s="3" t="s">
        <v>59</v>
      </c>
      <c r="C135" s="3">
        <v>24</v>
      </c>
      <c r="D135" s="3">
        <v>0.14099999999999999</v>
      </c>
      <c r="E135" s="3">
        <v>0.16900000000000001</v>
      </c>
      <c r="F135" s="3">
        <v>0.22500000000000001</v>
      </c>
      <c r="G135" s="3">
        <v>71</v>
      </c>
      <c r="H135" s="3">
        <v>10</v>
      </c>
      <c r="I135" s="3">
        <v>3</v>
      </c>
      <c r="J135" s="3">
        <v>0</v>
      </c>
      <c r="K135" s="3">
        <v>1</v>
      </c>
      <c r="L135" s="3">
        <v>8</v>
      </c>
      <c r="M135" s="3">
        <v>7</v>
      </c>
      <c r="N135" s="3">
        <v>1</v>
      </c>
      <c r="O135" s="3">
        <v>2</v>
      </c>
      <c r="P135" s="3">
        <v>22</v>
      </c>
      <c r="Q135" s="3">
        <v>0</v>
      </c>
      <c r="R135" s="3">
        <v>0</v>
      </c>
      <c r="S135" s="6">
        <f>AH135/10</f>
        <v>1.9526666666666668</v>
      </c>
      <c r="T135" s="3">
        <v>40</v>
      </c>
      <c r="U135" s="4">
        <f>(S135*2)+T135</f>
        <v>43.905333333333331</v>
      </c>
      <c r="V135" s="4">
        <f>S135+T135</f>
        <v>41.952666666666666</v>
      </c>
      <c r="W135" s="3"/>
      <c r="X135" s="3"/>
      <c r="Y135" s="3"/>
      <c r="Z135" s="3"/>
      <c r="AA135" s="3"/>
      <c r="AB135" s="3">
        <f>_xlfn.IFS(B135="c", 8, B135="ss", 10, B135="cf", 8,  B135="2b", 8, B135="3b", 6, B135="rf", 4, B135="lf", 2, B135="1b", 2, B135 ="dh", 1)</f>
        <v>8</v>
      </c>
      <c r="AC135" s="3">
        <f>(G135+N135+O135)</f>
        <v>74</v>
      </c>
      <c r="AD135" s="5">
        <f>P135/AC135</f>
        <v>0.29729729729729731</v>
      </c>
      <c r="AE135" s="5">
        <f>(N135+O135)/AC135</f>
        <v>4.0540540540540543E-2</v>
      </c>
      <c r="AF135" s="4">
        <f>100-((AD135-AE135)*100)</f>
        <v>74.324324324324323</v>
      </c>
      <c r="AG135" s="3">
        <f>(F135-D135)*1000</f>
        <v>84.000000000000014</v>
      </c>
      <c r="AH135" s="3">
        <f>(((AF135+AG135)/2)*(AC135/100)*AB135)/C135</f>
        <v>19.526666666666667</v>
      </c>
    </row>
    <row r="136" spans="1:34" x14ac:dyDescent="0.35">
      <c r="A136" s="3" t="s">
        <v>99</v>
      </c>
      <c r="B136" s="3" t="s">
        <v>30</v>
      </c>
      <c r="C136" s="3">
        <v>24</v>
      </c>
      <c r="D136" s="3">
        <v>0.161</v>
      </c>
      <c r="E136" s="3">
        <v>0.26600000000000001</v>
      </c>
      <c r="F136" s="3">
        <v>0.25</v>
      </c>
      <c r="G136" s="3">
        <v>56</v>
      </c>
      <c r="H136" s="3">
        <v>9</v>
      </c>
      <c r="I136" s="3">
        <v>2</v>
      </c>
      <c r="J136" s="3">
        <v>0</v>
      </c>
      <c r="K136" s="3">
        <v>1</v>
      </c>
      <c r="L136" s="3">
        <v>6</v>
      </c>
      <c r="M136" s="3">
        <v>5</v>
      </c>
      <c r="N136" s="3">
        <v>3</v>
      </c>
      <c r="O136" s="3">
        <v>5</v>
      </c>
      <c r="P136" s="3">
        <v>13</v>
      </c>
      <c r="Q136" s="3">
        <v>0</v>
      </c>
      <c r="R136" s="3">
        <v>0</v>
      </c>
      <c r="S136" s="6">
        <f>AH136/10</f>
        <v>1.9326666666666668</v>
      </c>
      <c r="T136" s="3">
        <v>40</v>
      </c>
      <c r="U136" s="4">
        <f>(S136*2)+T136</f>
        <v>43.865333333333332</v>
      </c>
      <c r="V136" s="4">
        <f>S136+T136</f>
        <v>41.93266666666667</v>
      </c>
      <c r="W136" s="3"/>
      <c r="X136" s="3"/>
      <c r="Y136" s="3"/>
      <c r="Z136" s="3"/>
      <c r="AA136" s="3"/>
      <c r="AB136" s="3">
        <f>_xlfn.IFS(B136="c", 8, B136="ss", 10, B136="cf", 8,  B136="2b", 8, B136="3b", 6, B136="rf", 4, B136="lf", 2, B136="1b", 2, B136 ="dh", 1)</f>
        <v>8</v>
      </c>
      <c r="AC136" s="3">
        <f>(G136+N136+O136)</f>
        <v>64</v>
      </c>
      <c r="AD136" s="5">
        <f>P136/AC136</f>
        <v>0.203125</v>
      </c>
      <c r="AE136" s="5">
        <f>(N136+O136)/AC136</f>
        <v>0.125</v>
      </c>
      <c r="AF136" s="4">
        <f>100-((AD136-AE136)*100)</f>
        <v>92.1875</v>
      </c>
      <c r="AG136" s="3">
        <f>(F136-D136)*1000</f>
        <v>89</v>
      </c>
      <c r="AH136" s="3">
        <f>(((AF136+AG136)/2)*(AC136/100)*AB136)/C136</f>
        <v>19.326666666666668</v>
      </c>
    </row>
    <row r="137" spans="1:34" x14ac:dyDescent="0.35">
      <c r="A137" s="3" t="s">
        <v>273</v>
      </c>
      <c r="B137" s="3" t="s">
        <v>22</v>
      </c>
      <c r="C137" s="3">
        <v>29</v>
      </c>
      <c r="D137" s="3">
        <v>0.20300000000000001</v>
      </c>
      <c r="E137" s="3">
        <v>0.29199999999999998</v>
      </c>
      <c r="F137" s="3">
        <v>0.30499999999999999</v>
      </c>
      <c r="G137" s="3">
        <v>128</v>
      </c>
      <c r="H137" s="3">
        <v>26</v>
      </c>
      <c r="I137" s="3">
        <v>4</v>
      </c>
      <c r="J137" s="3">
        <v>0</v>
      </c>
      <c r="K137" s="3">
        <v>3</v>
      </c>
      <c r="L137" s="3">
        <v>11</v>
      </c>
      <c r="M137" s="3">
        <v>9</v>
      </c>
      <c r="N137" s="3">
        <v>4</v>
      </c>
      <c r="O137" s="3">
        <v>12</v>
      </c>
      <c r="P137" s="3">
        <v>36</v>
      </c>
      <c r="Q137" s="3">
        <v>0</v>
      </c>
      <c r="R137" s="3">
        <v>0</v>
      </c>
      <c r="S137" s="6">
        <f>AH137/10</f>
        <v>1.8681379310344823</v>
      </c>
      <c r="T137" s="3">
        <v>40</v>
      </c>
      <c r="U137" s="4">
        <f>(S137*2)+T137</f>
        <v>43.736275862068965</v>
      </c>
      <c r="V137" s="4">
        <f>S137+T137</f>
        <v>41.868137931034482</v>
      </c>
      <c r="W137" s="3"/>
      <c r="X137" s="3"/>
      <c r="Y137" s="3"/>
      <c r="Z137" s="3"/>
      <c r="AA137" s="3"/>
      <c r="AB137" s="3">
        <f>_xlfn.IFS(B137="c", 8, B137="ss", 10, B137="cf", 8,  B137="2b", 8, B137="3b", 6, B137="rf", 4, B137="lf", 2, B137="1b", 2, B137 ="dh", 1)</f>
        <v>4</v>
      </c>
      <c r="AC137" s="3">
        <f>(G137+N137+O137)</f>
        <v>144</v>
      </c>
      <c r="AD137" s="5">
        <f>P137/AC137</f>
        <v>0.25</v>
      </c>
      <c r="AE137" s="5">
        <f>(N137+O137)/AC137</f>
        <v>0.1111111111111111</v>
      </c>
      <c r="AF137" s="4">
        <f>100-((AD137-AE137)*100)</f>
        <v>86.111111111111114</v>
      </c>
      <c r="AG137" s="3">
        <f>(F137-D137)*1000</f>
        <v>101.99999999999999</v>
      </c>
      <c r="AH137" s="3">
        <f>(((AF137+AG137)/2)*(AC137/100)*AB137)/C137</f>
        <v>18.681379310344823</v>
      </c>
    </row>
    <row r="138" spans="1:34" x14ac:dyDescent="0.35">
      <c r="A138" s="3" t="s">
        <v>197</v>
      </c>
      <c r="B138" s="3" t="s">
        <v>18</v>
      </c>
      <c r="C138" s="3">
        <v>27</v>
      </c>
      <c r="D138" s="3">
        <v>0.30599999999999999</v>
      </c>
      <c r="E138" s="3">
        <v>0.35799999999999998</v>
      </c>
      <c r="F138" s="3">
        <v>0.44900000000000001</v>
      </c>
      <c r="G138" s="3">
        <v>49</v>
      </c>
      <c r="H138" s="3">
        <v>15</v>
      </c>
      <c r="I138" s="3">
        <v>5</v>
      </c>
      <c r="J138" s="3">
        <v>1</v>
      </c>
      <c r="K138" s="3">
        <v>0</v>
      </c>
      <c r="L138" s="3">
        <v>6</v>
      </c>
      <c r="M138" s="3">
        <v>7</v>
      </c>
      <c r="N138" s="3">
        <v>0</v>
      </c>
      <c r="O138" s="3">
        <v>4</v>
      </c>
      <c r="P138" s="3">
        <v>7</v>
      </c>
      <c r="Q138" s="3">
        <v>2</v>
      </c>
      <c r="R138" s="3">
        <v>0</v>
      </c>
      <c r="S138" s="6">
        <f>AH138/10</f>
        <v>1.8635555555555559</v>
      </c>
      <c r="T138" s="3">
        <v>40</v>
      </c>
      <c r="U138" s="4">
        <f>(S138*2)+T138</f>
        <v>43.727111111111114</v>
      </c>
      <c r="V138" s="4">
        <f>S138+T138</f>
        <v>41.863555555555557</v>
      </c>
      <c r="W138" s="3"/>
      <c r="X138" s="3"/>
      <c r="Y138" s="3"/>
      <c r="Z138" s="3"/>
      <c r="AA138" s="3"/>
      <c r="AB138" s="3">
        <f>_xlfn.IFS(B138="c", 8, B138="ss", 10, B138="cf", 8,  B138="2b", 8, B138="3b", 6, B138="rf", 4, B138="lf", 2, B138="1b", 2, B138 ="dh", 1)</f>
        <v>8</v>
      </c>
      <c r="AC138" s="3">
        <f>(G138+N138+O138)</f>
        <v>53</v>
      </c>
      <c r="AD138" s="5">
        <f>P138/AC138</f>
        <v>0.13207547169811321</v>
      </c>
      <c r="AE138" s="5">
        <f>(N138+O138)/AC138</f>
        <v>7.5471698113207544E-2</v>
      </c>
      <c r="AF138" s="4">
        <f>100-((AD138-AE138)*100)</f>
        <v>94.339622641509436</v>
      </c>
      <c r="AG138" s="3">
        <f>(F138-D138)*1000</f>
        <v>143.00000000000003</v>
      </c>
      <c r="AH138" s="3">
        <f>(((AF138+AG138)/2)*(AC138/100)*AB138)/C138</f>
        <v>18.635555555555559</v>
      </c>
    </row>
    <row r="139" spans="1:34" x14ac:dyDescent="0.35">
      <c r="A139" s="3" t="s">
        <v>137</v>
      </c>
      <c r="B139" s="3" t="s">
        <v>59</v>
      </c>
      <c r="C139" s="3">
        <v>26</v>
      </c>
      <c r="D139" s="3">
        <v>0.33300000000000002</v>
      </c>
      <c r="E139" s="3">
        <v>0.35599999999999998</v>
      </c>
      <c r="F139" s="3">
        <v>0.45600000000000002</v>
      </c>
      <c r="G139" s="3">
        <v>57</v>
      </c>
      <c r="H139" s="3">
        <v>19</v>
      </c>
      <c r="I139" s="3">
        <v>1</v>
      </c>
      <c r="J139" s="3">
        <v>3</v>
      </c>
      <c r="K139" s="3">
        <v>0</v>
      </c>
      <c r="L139" s="3">
        <v>5</v>
      </c>
      <c r="M139" s="3">
        <v>4</v>
      </c>
      <c r="N139" s="3">
        <v>0</v>
      </c>
      <c r="O139" s="3">
        <v>2</v>
      </c>
      <c r="P139" s="3">
        <v>13</v>
      </c>
      <c r="Q139" s="3">
        <v>6</v>
      </c>
      <c r="R139" s="3">
        <v>0</v>
      </c>
      <c r="S139" s="6">
        <f>AH139/10</f>
        <v>1.8549230769230767</v>
      </c>
      <c r="T139" s="3">
        <v>40</v>
      </c>
      <c r="U139" s="4">
        <f>(S139*2)+T139</f>
        <v>43.709846153846151</v>
      </c>
      <c r="V139" s="4">
        <f>S139+T139</f>
        <v>41.854923076923079</v>
      </c>
      <c r="W139" s="3"/>
      <c r="X139" s="3"/>
      <c r="Y139" s="3"/>
      <c r="Z139" s="3"/>
      <c r="AA139" s="3"/>
      <c r="AB139" s="3">
        <f>_xlfn.IFS(B139="c", 8, B139="ss", 10, B139="cf", 8,  B139="2b", 8, B139="3b", 6, B139="rf", 4, B139="lf", 2, B139="1b", 2, B139 ="dh", 1)</f>
        <v>8</v>
      </c>
      <c r="AC139" s="3">
        <f>(G139+N139+O139)</f>
        <v>59</v>
      </c>
      <c r="AD139" s="5">
        <f>P139/AC139</f>
        <v>0.22033898305084745</v>
      </c>
      <c r="AE139" s="5">
        <f>(N139+O139)/AC139</f>
        <v>3.3898305084745763E-2</v>
      </c>
      <c r="AF139" s="4">
        <f>100-((AD139-AE139)*100)</f>
        <v>81.355932203389827</v>
      </c>
      <c r="AG139" s="3">
        <f>(F139-D139)*1000</f>
        <v>123</v>
      </c>
      <c r="AH139" s="3">
        <f>(((AF139+AG139)/2)*(AC139/100)*AB139)/C139</f>
        <v>18.549230769230768</v>
      </c>
    </row>
    <row r="140" spans="1:34" x14ac:dyDescent="0.35">
      <c r="A140" s="3" t="s">
        <v>333</v>
      </c>
      <c r="B140" s="3" t="s">
        <v>18</v>
      </c>
      <c r="C140" s="3">
        <v>32</v>
      </c>
      <c r="D140" s="3">
        <v>0.22900000000000001</v>
      </c>
      <c r="E140" s="3">
        <v>0.28899999999999998</v>
      </c>
      <c r="F140" s="3">
        <v>0.35699999999999998</v>
      </c>
      <c r="G140" s="3">
        <v>70</v>
      </c>
      <c r="H140" s="3">
        <v>16</v>
      </c>
      <c r="I140" s="3">
        <v>3</v>
      </c>
      <c r="J140" s="3">
        <v>0</v>
      </c>
      <c r="K140" s="3">
        <v>2</v>
      </c>
      <c r="L140" s="3">
        <v>11</v>
      </c>
      <c r="M140" s="3">
        <v>9</v>
      </c>
      <c r="N140" s="3">
        <v>2</v>
      </c>
      <c r="O140" s="3">
        <v>4</v>
      </c>
      <c r="P140" s="3">
        <v>31</v>
      </c>
      <c r="Q140" s="3">
        <v>0</v>
      </c>
      <c r="R140" s="3">
        <v>0</v>
      </c>
      <c r="S140" s="6">
        <f>AH140/10</f>
        <v>1.8534999999999997</v>
      </c>
      <c r="T140" s="3">
        <v>40</v>
      </c>
      <c r="U140" s="4">
        <f>(S140*2)+T140</f>
        <v>43.707000000000001</v>
      </c>
      <c r="V140" s="4">
        <f>S140+T140</f>
        <v>41.853499999999997</v>
      </c>
      <c r="W140" s="3"/>
      <c r="X140" s="3"/>
      <c r="Y140" s="3"/>
      <c r="Z140" s="3"/>
      <c r="AA140" s="3"/>
      <c r="AB140" s="3">
        <f>_xlfn.IFS(B140="c", 8, B140="ss", 10, B140="cf", 8,  B140="2b", 8, B140="3b", 6, B140="rf", 4, B140="lf", 2, B140="1b", 2, B140 ="dh", 1)</f>
        <v>8</v>
      </c>
      <c r="AC140" s="3">
        <f>(G140+N140+O140)</f>
        <v>76</v>
      </c>
      <c r="AD140" s="5">
        <f>P140/AC140</f>
        <v>0.40789473684210525</v>
      </c>
      <c r="AE140" s="5">
        <f>(N140+O140)/AC140</f>
        <v>7.8947368421052627E-2</v>
      </c>
      <c r="AF140" s="4">
        <f>100-((AD140-AE140)*100)</f>
        <v>67.10526315789474</v>
      </c>
      <c r="AG140" s="3">
        <f>(F140-D140)*1000</f>
        <v>127.99999999999997</v>
      </c>
      <c r="AH140" s="3">
        <f>(((AF140+AG140)/2)*(AC140/100)*AB140)/C140</f>
        <v>18.534999999999997</v>
      </c>
    </row>
    <row r="141" spans="1:34" x14ac:dyDescent="0.35">
      <c r="A141" s="3" t="s">
        <v>274</v>
      </c>
      <c r="B141" s="3" t="s">
        <v>18</v>
      </c>
      <c r="C141" s="3">
        <v>29</v>
      </c>
      <c r="D141" s="3">
        <v>0.246</v>
      </c>
      <c r="E141" s="3">
        <v>0.32500000000000001</v>
      </c>
      <c r="F141" s="3">
        <v>0.33300000000000002</v>
      </c>
      <c r="G141" s="3">
        <v>69</v>
      </c>
      <c r="H141" s="3">
        <v>17</v>
      </c>
      <c r="I141" s="3">
        <v>6</v>
      </c>
      <c r="J141" s="3">
        <v>0</v>
      </c>
      <c r="K141" s="3">
        <v>0</v>
      </c>
      <c r="L141" s="3">
        <v>4</v>
      </c>
      <c r="M141" s="3">
        <v>4</v>
      </c>
      <c r="N141" s="3">
        <v>0</v>
      </c>
      <c r="O141" s="3">
        <v>8</v>
      </c>
      <c r="P141" s="3">
        <v>21</v>
      </c>
      <c r="Q141" s="3">
        <v>0</v>
      </c>
      <c r="R141" s="3">
        <v>0</v>
      </c>
      <c r="S141" s="6">
        <f>AH141/10</f>
        <v>1.8067586206896558</v>
      </c>
      <c r="T141" s="3">
        <v>40</v>
      </c>
      <c r="U141" s="4">
        <f>(S141*2)+T141</f>
        <v>43.613517241379313</v>
      </c>
      <c r="V141" s="4">
        <f>S141+T141</f>
        <v>41.806758620689656</v>
      </c>
      <c r="W141" s="3"/>
      <c r="X141" s="3"/>
      <c r="Y141" s="3"/>
      <c r="Z141" s="3"/>
      <c r="AA141" s="3"/>
      <c r="AB141" s="3">
        <f>_xlfn.IFS(B141="c", 8, B141="ss", 10, B141="cf", 8,  B141="2b", 8, B141="3b", 6, B141="rf", 4, B141="lf", 2, B141="1b", 2, B141 ="dh", 1)</f>
        <v>8</v>
      </c>
      <c r="AC141" s="3">
        <f>(G141+N141+O141)</f>
        <v>77</v>
      </c>
      <c r="AD141" s="5">
        <f>P141/AC141</f>
        <v>0.27272727272727271</v>
      </c>
      <c r="AE141" s="5">
        <f>(N141+O141)/AC141</f>
        <v>0.1038961038961039</v>
      </c>
      <c r="AF141" s="4">
        <f>100-((AD141-AE141)*100)</f>
        <v>83.116883116883116</v>
      </c>
      <c r="AG141" s="3">
        <f>(F141-D141)*1000</f>
        <v>87.000000000000028</v>
      </c>
      <c r="AH141" s="3">
        <f>(((AF141+AG141)/2)*(AC141/100)*AB141)/C141</f>
        <v>18.067586206896557</v>
      </c>
    </row>
    <row r="142" spans="1:34" x14ac:dyDescent="0.35">
      <c r="A142" s="3" t="s">
        <v>105</v>
      </c>
      <c r="B142" s="3" t="s">
        <v>47</v>
      </c>
      <c r="C142" s="3">
        <v>25</v>
      </c>
      <c r="D142" s="3">
        <v>0.218</v>
      </c>
      <c r="E142" s="3">
        <v>0.27400000000000002</v>
      </c>
      <c r="F142" s="3">
        <v>0.33800000000000002</v>
      </c>
      <c r="G142" s="3">
        <v>216</v>
      </c>
      <c r="H142" s="3">
        <v>47</v>
      </c>
      <c r="I142" s="3">
        <v>6</v>
      </c>
      <c r="J142" s="3">
        <v>1</v>
      </c>
      <c r="K142" s="3">
        <v>6</v>
      </c>
      <c r="L142" s="3">
        <v>25</v>
      </c>
      <c r="M142" s="3">
        <v>20</v>
      </c>
      <c r="N142" s="3">
        <v>0</v>
      </c>
      <c r="O142" s="3">
        <v>17</v>
      </c>
      <c r="P142" s="3">
        <v>80</v>
      </c>
      <c r="Q142" s="3">
        <v>3</v>
      </c>
      <c r="R142" s="3">
        <v>1</v>
      </c>
      <c r="S142" s="6">
        <f>AH142/10</f>
        <v>1.7984000000000004</v>
      </c>
      <c r="T142" s="3">
        <v>40</v>
      </c>
      <c r="U142" s="4">
        <f>(S142*2)+T142</f>
        <v>43.596800000000002</v>
      </c>
      <c r="V142" s="4">
        <f>S142+T142</f>
        <v>41.798400000000001</v>
      </c>
      <c r="W142" s="3"/>
      <c r="X142" s="3"/>
      <c r="Y142" s="3"/>
      <c r="Z142" s="3"/>
      <c r="AA142" s="3"/>
      <c r="AB142" s="3">
        <f>_xlfn.IFS(B142="c", 8, B142="ss", 10, B142="cf", 8,  B142="2b", 8, B142="3b", 6, B142="rf", 4, B142="lf", 2, B142="1b", 2, B142 ="dh", 1)</f>
        <v>2</v>
      </c>
      <c r="AC142" s="3">
        <f>(G142+N142+O142)</f>
        <v>233</v>
      </c>
      <c r="AD142" s="5">
        <f>P142/AC142</f>
        <v>0.34334763948497854</v>
      </c>
      <c r="AE142" s="5">
        <f>(N142+O142)/AC142</f>
        <v>7.2961373390557943E-2</v>
      </c>
      <c r="AF142" s="4">
        <f>100-((AD142-AE142)*100)</f>
        <v>72.961373390557938</v>
      </c>
      <c r="AG142" s="3">
        <f>(F142-D142)*1000</f>
        <v>120.00000000000003</v>
      </c>
      <c r="AH142" s="3">
        <f>(((AF142+AG142)/2)*(AC142/100)*AB142)/C142</f>
        <v>17.984000000000005</v>
      </c>
    </row>
    <row r="143" spans="1:34" x14ac:dyDescent="0.35">
      <c r="A143" s="3" t="s">
        <v>125</v>
      </c>
      <c r="B143" s="3" t="s">
        <v>30</v>
      </c>
      <c r="C143" s="3">
        <v>25</v>
      </c>
      <c r="D143" s="3">
        <v>0.23400000000000001</v>
      </c>
      <c r="E143" s="3">
        <v>0.29899999999999999</v>
      </c>
      <c r="F143" s="3">
        <v>0.27300000000000002</v>
      </c>
      <c r="G143" s="3">
        <v>77</v>
      </c>
      <c r="H143" s="3">
        <v>18</v>
      </c>
      <c r="I143" s="3">
        <v>3</v>
      </c>
      <c r="J143" s="3">
        <v>0</v>
      </c>
      <c r="K143" s="3">
        <v>0</v>
      </c>
      <c r="L143" s="3">
        <v>10</v>
      </c>
      <c r="M143" s="3">
        <v>7</v>
      </c>
      <c r="N143" s="3">
        <v>0</v>
      </c>
      <c r="O143" s="3">
        <v>8</v>
      </c>
      <c r="P143" s="3">
        <v>15</v>
      </c>
      <c r="Q143" s="3">
        <v>1</v>
      </c>
      <c r="R143" s="3">
        <v>0</v>
      </c>
      <c r="S143" s="6">
        <f>AH143/10</f>
        <v>1.7784000000000002</v>
      </c>
      <c r="T143" s="3">
        <v>40</v>
      </c>
      <c r="U143" s="4">
        <f>(S143*2)+T143</f>
        <v>43.556800000000003</v>
      </c>
      <c r="V143" s="4">
        <f>S143+T143</f>
        <v>41.778399999999998</v>
      </c>
      <c r="W143" s="3"/>
      <c r="X143" s="3"/>
      <c r="Y143" s="3"/>
      <c r="Z143" s="3"/>
      <c r="AA143" s="3"/>
      <c r="AB143" s="3">
        <f>_xlfn.IFS(B143="c", 8, B143="ss", 10, B143="cf", 8,  B143="2b", 8, B143="3b", 6, B143="rf", 4, B143="lf", 2, B143="1b", 2, B143 ="dh", 1)</f>
        <v>8</v>
      </c>
      <c r="AC143" s="3">
        <f>(G143+N143+O143)</f>
        <v>85</v>
      </c>
      <c r="AD143" s="5">
        <f>P143/AC143</f>
        <v>0.17647058823529413</v>
      </c>
      <c r="AE143" s="5">
        <f>(N143+O143)/AC143</f>
        <v>9.4117647058823528E-2</v>
      </c>
      <c r="AF143" s="4">
        <f>100-((AD143-AE143)*100)</f>
        <v>91.764705882352942</v>
      </c>
      <c r="AG143" s="3">
        <f>(F143-D143)*1000</f>
        <v>39.000000000000007</v>
      </c>
      <c r="AH143" s="3">
        <f>(((AF143+AG143)/2)*(AC143/100)*AB143)/C143</f>
        <v>17.784000000000002</v>
      </c>
    </row>
    <row r="144" spans="1:34" x14ac:dyDescent="0.35">
      <c r="A144" s="3" t="s">
        <v>294</v>
      </c>
      <c r="B144" s="3" t="s">
        <v>59</v>
      </c>
      <c r="C144" s="3">
        <v>30</v>
      </c>
      <c r="D144" s="3">
        <v>0.17699999999999999</v>
      </c>
      <c r="E144" s="3">
        <v>0.217</v>
      </c>
      <c r="F144" s="3">
        <v>0.26600000000000001</v>
      </c>
      <c r="G144" s="3">
        <v>79</v>
      </c>
      <c r="H144" s="3">
        <v>14</v>
      </c>
      <c r="I144" s="3">
        <v>4</v>
      </c>
      <c r="J144" s="3">
        <v>0</v>
      </c>
      <c r="K144" s="3">
        <v>1</v>
      </c>
      <c r="L144" s="3">
        <v>9</v>
      </c>
      <c r="M144" s="3">
        <v>3</v>
      </c>
      <c r="N144" s="3">
        <v>0</v>
      </c>
      <c r="O144" s="3">
        <v>4</v>
      </c>
      <c r="P144" s="3">
        <v>30</v>
      </c>
      <c r="Q144" s="3">
        <v>15</v>
      </c>
      <c r="R144" s="3">
        <v>2</v>
      </c>
      <c r="S144" s="6">
        <f>AH144/10</f>
        <v>1.7449333333333334</v>
      </c>
      <c r="T144" s="3">
        <v>40</v>
      </c>
      <c r="U144" s="4">
        <f>(S144*2)+T144</f>
        <v>43.489866666666664</v>
      </c>
      <c r="V144" s="4">
        <f>S144+T144</f>
        <v>41.744933333333336</v>
      </c>
      <c r="W144" s="3"/>
      <c r="X144" s="3"/>
      <c r="Y144" s="3"/>
      <c r="Z144" s="3"/>
      <c r="AA144" s="3"/>
      <c r="AB144" s="3">
        <f>_xlfn.IFS(B144="c", 8, B144="ss", 10, B144="cf", 8,  B144="2b", 8, B144="3b", 6, B144="rf", 4, B144="lf", 2, B144="1b", 2, B144 ="dh", 1)</f>
        <v>8</v>
      </c>
      <c r="AC144" s="3">
        <f>(G144+N144+O144)</f>
        <v>83</v>
      </c>
      <c r="AD144" s="5">
        <f>P144/AC144</f>
        <v>0.36144578313253012</v>
      </c>
      <c r="AE144" s="5">
        <f>(N144+O144)/AC144</f>
        <v>4.8192771084337352E-2</v>
      </c>
      <c r="AF144" s="4">
        <f>100-((AD144-AE144)*100)</f>
        <v>68.674698795180717</v>
      </c>
      <c r="AG144" s="3">
        <f>(F144-D144)*1000</f>
        <v>89.000000000000028</v>
      </c>
      <c r="AH144" s="3">
        <f>(((AF144+AG144)/2)*(AC144/100)*AB144)/C144</f>
        <v>17.449333333333335</v>
      </c>
    </row>
    <row r="145" spans="1:34" x14ac:dyDescent="0.35">
      <c r="A145" s="3" t="s">
        <v>149</v>
      </c>
      <c r="B145" s="3" t="s">
        <v>47</v>
      </c>
      <c r="C145" s="3">
        <v>26</v>
      </c>
      <c r="D145" s="3">
        <v>0.20799999999999999</v>
      </c>
      <c r="E145" s="3">
        <v>0.27800000000000002</v>
      </c>
      <c r="F145" s="3">
        <v>0.35699999999999998</v>
      </c>
      <c r="G145" s="3">
        <v>168</v>
      </c>
      <c r="H145" s="3">
        <v>35</v>
      </c>
      <c r="I145" s="3">
        <v>9</v>
      </c>
      <c r="J145" s="3">
        <v>2</v>
      </c>
      <c r="K145" s="3">
        <v>4</v>
      </c>
      <c r="L145" s="3">
        <v>17</v>
      </c>
      <c r="M145" s="3">
        <v>20</v>
      </c>
      <c r="N145" s="3">
        <v>3</v>
      </c>
      <c r="O145" s="3">
        <v>14</v>
      </c>
      <c r="P145" s="3">
        <v>27</v>
      </c>
      <c r="Q145" s="3">
        <v>1</v>
      </c>
      <c r="R145" s="3">
        <v>1</v>
      </c>
      <c r="S145" s="6">
        <f>AH145/10</f>
        <v>1.7332692307692306</v>
      </c>
      <c r="T145" s="3">
        <v>40</v>
      </c>
      <c r="U145" s="4">
        <f>(S145*2)+T145</f>
        <v>43.466538461538462</v>
      </c>
      <c r="V145" s="4">
        <f>S145+T145</f>
        <v>41.733269230769231</v>
      </c>
      <c r="W145" s="3"/>
      <c r="X145" s="3"/>
      <c r="Y145" s="3"/>
      <c r="Z145" s="3"/>
      <c r="AA145" s="3"/>
      <c r="AB145" s="3">
        <f>_xlfn.IFS(B145="c", 8, B145="ss", 10, B145="cf", 8,  B145="2b", 8, B145="3b", 6, B145="rf", 4, B145="lf", 2, B145="1b", 2, B145 ="dh", 1)</f>
        <v>2</v>
      </c>
      <c r="AC145" s="3">
        <f>(G145+N145+O145)</f>
        <v>185</v>
      </c>
      <c r="AD145" s="5">
        <f>P145/AC145</f>
        <v>0.14594594594594595</v>
      </c>
      <c r="AE145" s="5">
        <f>(N145+O145)/AC145</f>
        <v>9.1891891891891897E-2</v>
      </c>
      <c r="AF145" s="4">
        <f>100-((AD145-AE145)*100)</f>
        <v>94.594594594594597</v>
      </c>
      <c r="AG145" s="3">
        <f>(F145-D145)*1000</f>
        <v>149</v>
      </c>
      <c r="AH145" s="3">
        <f>(((AF145+AG145)/2)*(AC145/100)*AB145)/C145</f>
        <v>17.332692307692305</v>
      </c>
    </row>
    <row r="146" spans="1:34" x14ac:dyDescent="0.35">
      <c r="A146" s="3" t="s">
        <v>128</v>
      </c>
      <c r="B146" s="3" t="s">
        <v>25</v>
      </c>
      <c r="C146" s="3">
        <v>25</v>
      </c>
      <c r="D146" s="3">
        <v>0.16</v>
      </c>
      <c r="E146" s="3">
        <v>0.20799999999999999</v>
      </c>
      <c r="F146" s="3">
        <v>0.24</v>
      </c>
      <c r="G146" s="3">
        <v>50</v>
      </c>
      <c r="H146" s="3">
        <v>8</v>
      </c>
      <c r="I146" s="3">
        <v>1</v>
      </c>
      <c r="J146" s="3">
        <v>0</v>
      </c>
      <c r="K146" s="3">
        <v>1</v>
      </c>
      <c r="L146" s="3">
        <v>6</v>
      </c>
      <c r="M146" s="3">
        <v>3</v>
      </c>
      <c r="N146" s="3">
        <v>0</v>
      </c>
      <c r="O146" s="3">
        <v>3</v>
      </c>
      <c r="P146" s="3">
        <v>14</v>
      </c>
      <c r="Q146" s="3">
        <v>2</v>
      </c>
      <c r="R146" s="3">
        <v>0</v>
      </c>
      <c r="S146" s="6">
        <f>AH146/10</f>
        <v>1.6879999999999999</v>
      </c>
      <c r="T146" s="3">
        <v>40</v>
      </c>
      <c r="U146" s="4">
        <f>(S146*2)+T146</f>
        <v>43.375999999999998</v>
      </c>
      <c r="V146" s="4">
        <f>S146+T146</f>
        <v>41.688000000000002</v>
      </c>
      <c r="W146" s="3"/>
      <c r="X146" s="3"/>
      <c r="Y146" s="3"/>
      <c r="Z146" s="3"/>
      <c r="AA146" s="3"/>
      <c r="AB146" s="3">
        <f>_xlfn.IFS(B146="c", 8, B146="ss", 10, B146="cf", 8,  B146="2b", 8, B146="3b", 6, B146="rf", 4, B146="lf", 2, B146="1b", 2, B146 ="dh", 1)</f>
        <v>10</v>
      </c>
      <c r="AC146" s="3">
        <f>(G146+N146+O146)</f>
        <v>53</v>
      </c>
      <c r="AD146" s="5">
        <f>P146/AC146</f>
        <v>0.26415094339622641</v>
      </c>
      <c r="AE146" s="5">
        <f>(N146+O146)/AC146</f>
        <v>5.6603773584905662E-2</v>
      </c>
      <c r="AF146" s="4">
        <f>100-((AD146-AE146)*100)</f>
        <v>79.245283018867923</v>
      </c>
      <c r="AG146" s="3">
        <f>(F146-D146)*1000</f>
        <v>79.999999999999986</v>
      </c>
      <c r="AH146" s="3">
        <f>(((AF146+AG146)/2)*(AC146/100)*AB146)/C146</f>
        <v>16.88</v>
      </c>
    </row>
    <row r="147" spans="1:34" x14ac:dyDescent="0.35">
      <c r="A147" s="3" t="s">
        <v>316</v>
      </c>
      <c r="B147" s="3" t="s">
        <v>32</v>
      </c>
      <c r="C147" s="3">
        <v>31</v>
      </c>
      <c r="D147" s="3">
        <v>0.20200000000000001</v>
      </c>
      <c r="E147" s="3">
        <v>0.20899999999999999</v>
      </c>
      <c r="F147" s="3">
        <v>0.27200000000000002</v>
      </c>
      <c r="G147" s="3">
        <v>114</v>
      </c>
      <c r="H147" s="3">
        <v>23</v>
      </c>
      <c r="I147" s="3">
        <v>2</v>
      </c>
      <c r="J147" s="3">
        <v>0</v>
      </c>
      <c r="K147" s="3">
        <v>2</v>
      </c>
      <c r="L147" s="3">
        <v>13</v>
      </c>
      <c r="M147" s="3">
        <v>11</v>
      </c>
      <c r="N147" s="3">
        <v>0</v>
      </c>
      <c r="O147" s="3">
        <v>1</v>
      </c>
      <c r="P147" s="3">
        <v>23</v>
      </c>
      <c r="Q147" s="3">
        <v>1</v>
      </c>
      <c r="R147" s="3">
        <v>0</v>
      </c>
      <c r="S147" s="6">
        <f>AH147/10</f>
        <v>1.6790322580645161</v>
      </c>
      <c r="T147" s="3">
        <v>40</v>
      </c>
      <c r="U147" s="4">
        <f>(S147*2)+T147</f>
        <v>43.358064516129033</v>
      </c>
      <c r="V147" s="4">
        <f>S147+T147</f>
        <v>41.679032258064517</v>
      </c>
      <c r="W147" s="3"/>
      <c r="X147" s="3"/>
      <c r="Y147" s="3"/>
      <c r="Z147" s="3"/>
      <c r="AA147" s="3"/>
      <c r="AB147" s="3">
        <f>_xlfn.IFS(B147="c", 8, B147="ss", 10, B147="cf", 8,  B147="2b", 8, B147="3b", 6, B147="rf", 4, B147="lf", 2, B147="1b", 2, B147 ="dh", 1)</f>
        <v>6</v>
      </c>
      <c r="AC147" s="3">
        <f>(G147+N147+O147)</f>
        <v>115</v>
      </c>
      <c r="AD147" s="5">
        <f>P147/AC147</f>
        <v>0.2</v>
      </c>
      <c r="AE147" s="5">
        <f>(N147+O147)/AC147</f>
        <v>8.6956521739130436E-3</v>
      </c>
      <c r="AF147" s="4">
        <f>100-((AD147-AE147)*100)</f>
        <v>80.869565217391312</v>
      </c>
      <c r="AG147" s="3">
        <f>(F147-D147)*1000</f>
        <v>70</v>
      </c>
      <c r="AH147" s="3">
        <f>(((AF147+AG147)/2)*(AC147/100)*AB147)/C147</f>
        <v>16.79032258064516</v>
      </c>
    </row>
    <row r="148" spans="1:34" x14ac:dyDescent="0.35">
      <c r="A148" s="3" t="s">
        <v>186</v>
      </c>
      <c r="B148" s="3" t="s">
        <v>18</v>
      </c>
      <c r="C148" s="3">
        <v>27</v>
      </c>
      <c r="D148" s="3">
        <v>0.20799999999999999</v>
      </c>
      <c r="E148" s="3">
        <v>0.25900000000000001</v>
      </c>
      <c r="F148" s="3">
        <v>0.34</v>
      </c>
      <c r="G148" s="3">
        <v>53</v>
      </c>
      <c r="H148" s="3">
        <v>11</v>
      </c>
      <c r="I148" s="3">
        <v>1</v>
      </c>
      <c r="J148" s="3">
        <v>0</v>
      </c>
      <c r="K148" s="3">
        <v>2</v>
      </c>
      <c r="L148" s="3">
        <v>5</v>
      </c>
      <c r="M148" s="3">
        <v>4</v>
      </c>
      <c r="N148" s="3">
        <v>0</v>
      </c>
      <c r="O148" s="3">
        <v>4</v>
      </c>
      <c r="P148" s="3">
        <v>25</v>
      </c>
      <c r="Q148" s="3">
        <v>0</v>
      </c>
      <c r="R148" s="3">
        <v>0</v>
      </c>
      <c r="S148" s="6">
        <f>AH148/10</f>
        <v>1.6480000000000001</v>
      </c>
      <c r="T148" s="3">
        <v>40</v>
      </c>
      <c r="U148" s="4">
        <f>(S148*2)+T148</f>
        <v>43.295999999999999</v>
      </c>
      <c r="V148" s="4">
        <f>S148+T148</f>
        <v>41.648000000000003</v>
      </c>
      <c r="W148" s="3"/>
      <c r="X148" s="3"/>
      <c r="Y148" s="3"/>
      <c r="Z148" s="3"/>
      <c r="AA148" s="3"/>
      <c r="AB148" s="3">
        <f>_xlfn.IFS(B148="c", 8, B148="ss", 10, B148="cf", 8,  B148="2b", 8, B148="3b", 6, B148="rf", 4, B148="lf", 2, B148="1b", 2, B148 ="dh", 1)</f>
        <v>8</v>
      </c>
      <c r="AC148" s="3">
        <f>(G148+N148+O148)</f>
        <v>57</v>
      </c>
      <c r="AD148" s="5">
        <f>P148/AC148</f>
        <v>0.43859649122807015</v>
      </c>
      <c r="AE148" s="5">
        <f>(N148+O148)/AC148</f>
        <v>7.0175438596491224E-2</v>
      </c>
      <c r="AF148" s="4">
        <f>100-((AD148-AE148)*100)</f>
        <v>63.15789473684211</v>
      </c>
      <c r="AG148" s="3">
        <f>(F148-D148)*1000</f>
        <v>132.00000000000003</v>
      </c>
      <c r="AH148" s="3">
        <f>(((AF148+AG148)/2)*(AC148/100)*AB148)/C148</f>
        <v>16.48</v>
      </c>
    </row>
    <row r="149" spans="1:34" x14ac:dyDescent="0.35">
      <c r="A149" s="3" t="s">
        <v>366</v>
      </c>
      <c r="B149" s="3" t="s">
        <v>18</v>
      </c>
      <c r="C149" s="3">
        <v>35</v>
      </c>
      <c r="D149" s="3">
        <v>0.13400000000000001</v>
      </c>
      <c r="E149" s="3">
        <v>0.19500000000000001</v>
      </c>
      <c r="F149" s="3">
        <v>0.16800000000000001</v>
      </c>
      <c r="G149" s="3">
        <v>119</v>
      </c>
      <c r="H149" s="3">
        <v>16</v>
      </c>
      <c r="I149" s="3">
        <v>4</v>
      </c>
      <c r="J149" s="3">
        <v>0</v>
      </c>
      <c r="K149" s="3">
        <v>0</v>
      </c>
      <c r="L149" s="3">
        <v>5</v>
      </c>
      <c r="M149" s="3">
        <v>9</v>
      </c>
      <c r="N149" s="3">
        <v>3</v>
      </c>
      <c r="O149" s="3">
        <v>6</v>
      </c>
      <c r="P149" s="3">
        <v>40</v>
      </c>
      <c r="Q149" s="3">
        <v>0</v>
      </c>
      <c r="R149" s="3">
        <v>0</v>
      </c>
      <c r="S149" s="6">
        <f>AH149/10</f>
        <v>1.6059428571428573</v>
      </c>
      <c r="T149" s="3">
        <v>40</v>
      </c>
      <c r="U149" s="4">
        <f>(S149*2)+T149</f>
        <v>43.211885714285714</v>
      </c>
      <c r="V149" s="4">
        <f>S149+T149</f>
        <v>41.605942857142857</v>
      </c>
      <c r="W149" s="3"/>
      <c r="X149" s="3"/>
      <c r="Y149" s="3"/>
      <c r="Z149" s="3"/>
      <c r="AA149" s="3"/>
      <c r="AB149" s="3">
        <f>_xlfn.IFS(B149="c", 8, B149="ss", 10, B149="cf", 8,  B149="2b", 8, B149="3b", 6, B149="rf", 4, B149="lf", 2, B149="1b", 2, B149 ="dh", 1)</f>
        <v>8</v>
      </c>
      <c r="AC149" s="3">
        <f>(G149+N149+O149)</f>
        <v>128</v>
      </c>
      <c r="AD149" s="5">
        <f>P149/AC149</f>
        <v>0.3125</v>
      </c>
      <c r="AE149" s="5">
        <f>(N149+O149)/AC149</f>
        <v>7.03125E-2</v>
      </c>
      <c r="AF149" s="4">
        <f>100-((AD149-AE149)*100)</f>
        <v>75.78125</v>
      </c>
      <c r="AG149" s="3">
        <f>(F149-D149)*1000</f>
        <v>34</v>
      </c>
      <c r="AH149" s="3">
        <f>(((AF149+AG149)/2)*(AC149/100)*AB149)/C149</f>
        <v>16.059428571428572</v>
      </c>
    </row>
    <row r="150" spans="1:34" x14ac:dyDescent="0.35">
      <c r="A150" s="3" t="s">
        <v>79</v>
      </c>
      <c r="B150" s="3" t="s">
        <v>22</v>
      </c>
      <c r="C150" s="3">
        <v>24</v>
      </c>
      <c r="D150" s="3">
        <v>0.255</v>
      </c>
      <c r="E150" s="3">
        <v>0.32700000000000001</v>
      </c>
      <c r="F150" s="3">
        <v>0.55300000000000005</v>
      </c>
      <c r="G150" s="3">
        <v>47</v>
      </c>
      <c r="H150" s="3">
        <v>12</v>
      </c>
      <c r="I150" s="3">
        <v>2</v>
      </c>
      <c r="J150" s="3">
        <v>0</v>
      </c>
      <c r="K150" s="3">
        <v>4</v>
      </c>
      <c r="L150" s="3">
        <v>9</v>
      </c>
      <c r="M150" s="3">
        <v>11</v>
      </c>
      <c r="N150" s="3">
        <v>0</v>
      </c>
      <c r="O150" s="3">
        <v>5</v>
      </c>
      <c r="P150" s="3">
        <v>20</v>
      </c>
      <c r="Q150" s="3">
        <v>3</v>
      </c>
      <c r="R150" s="3">
        <v>0</v>
      </c>
      <c r="S150" s="6">
        <f>AH150/10</f>
        <v>1.599666666666667</v>
      </c>
      <c r="T150" s="3">
        <v>40</v>
      </c>
      <c r="U150" s="4">
        <f>(S150*2)+T150</f>
        <v>43.199333333333335</v>
      </c>
      <c r="V150" s="4">
        <f>S150+T150</f>
        <v>41.599666666666664</v>
      </c>
      <c r="W150" s="3"/>
      <c r="X150" s="3"/>
      <c r="Y150" s="3"/>
      <c r="Z150" s="3"/>
      <c r="AA150" s="3"/>
      <c r="AB150" s="3">
        <f>_xlfn.IFS(B150="c", 8, B150="ss", 10, B150="cf", 8,  B150="2b", 8, B150="3b", 6, B150="rf", 4, B150="lf", 2, B150="1b", 2, B150 ="dh", 1)</f>
        <v>4</v>
      </c>
      <c r="AC150" s="3">
        <f>(G150+N150+O150)</f>
        <v>52</v>
      </c>
      <c r="AD150" s="5">
        <f>P150/AC150</f>
        <v>0.38461538461538464</v>
      </c>
      <c r="AE150" s="5">
        <f>(N150+O150)/AC150</f>
        <v>9.6153846153846159E-2</v>
      </c>
      <c r="AF150" s="4">
        <f>100-((AD150-AE150)*100)</f>
        <v>71.153846153846146</v>
      </c>
      <c r="AG150" s="3">
        <f>(F150-D150)*1000</f>
        <v>298.00000000000006</v>
      </c>
      <c r="AH150" s="3">
        <f>(((AF150+AG150)/2)*(AC150/100)*AB150)/C150</f>
        <v>15.99666666666667</v>
      </c>
    </row>
    <row r="151" spans="1:34" x14ac:dyDescent="0.35">
      <c r="A151" s="3" t="s">
        <v>340</v>
      </c>
      <c r="B151" s="3" t="s">
        <v>20</v>
      </c>
      <c r="C151" s="3">
        <v>33</v>
      </c>
      <c r="D151" s="3">
        <v>0.24099999999999999</v>
      </c>
      <c r="E151" s="3">
        <v>0.307</v>
      </c>
      <c r="F151" s="3">
        <v>0.379</v>
      </c>
      <c r="G151" s="3">
        <v>419</v>
      </c>
      <c r="H151" s="3">
        <v>101</v>
      </c>
      <c r="I151" s="3">
        <v>10</v>
      </c>
      <c r="J151" s="3">
        <v>0</v>
      </c>
      <c r="K151" s="3">
        <v>16</v>
      </c>
      <c r="L151" s="3">
        <v>44</v>
      </c>
      <c r="M151" s="3">
        <v>71</v>
      </c>
      <c r="N151" s="3">
        <v>7</v>
      </c>
      <c r="O151" s="3">
        <v>34</v>
      </c>
      <c r="P151" s="3">
        <v>88</v>
      </c>
      <c r="Q151" s="3">
        <v>1</v>
      </c>
      <c r="R151" s="3">
        <v>0</v>
      </c>
      <c r="S151" s="6">
        <f>AH151/10</f>
        <v>1.5875757575757574</v>
      </c>
      <c r="T151" s="3">
        <v>40</v>
      </c>
      <c r="U151" s="4">
        <f>(S151*2)+T151</f>
        <v>43.175151515151512</v>
      </c>
      <c r="V151" s="4">
        <f>S151+T151</f>
        <v>41.587575757575756</v>
      </c>
      <c r="W151" s="3"/>
      <c r="X151" s="3"/>
      <c r="Y151" s="3"/>
      <c r="Z151" s="3"/>
      <c r="AA151" s="3"/>
      <c r="AB151" s="3">
        <f>_xlfn.IFS(B151="c", 8, B151="ss", 10, B151="cf", 8,  B151="2b", 8, B151="3b", 6, B151="rf", 4, B151="lf", 2, B151="1b", 2, B151 ="dh", 1)</f>
        <v>1</v>
      </c>
      <c r="AC151" s="3">
        <f>(G151+N151+O151)</f>
        <v>460</v>
      </c>
      <c r="AD151" s="5">
        <f>P151/AC151</f>
        <v>0.19130434782608696</v>
      </c>
      <c r="AE151" s="5">
        <f>(N151+O151)/AC151</f>
        <v>8.9130434782608695E-2</v>
      </c>
      <c r="AF151" s="4">
        <f>100-((AD151-AE151)*100)</f>
        <v>89.782608695652172</v>
      </c>
      <c r="AG151" s="3">
        <f>(F151-D151)*1000</f>
        <v>138</v>
      </c>
      <c r="AH151" s="3">
        <f>(((AF151+AG151)/2)*(AC151/100)*AB151)/C151</f>
        <v>15.875757575757575</v>
      </c>
    </row>
    <row r="152" spans="1:34" x14ac:dyDescent="0.35">
      <c r="A152" s="3" t="s">
        <v>148</v>
      </c>
      <c r="B152" s="3" t="s">
        <v>18</v>
      </c>
      <c r="C152" s="3">
        <v>26</v>
      </c>
      <c r="D152" s="3">
        <v>0.25700000000000001</v>
      </c>
      <c r="E152" s="3">
        <v>0.33300000000000002</v>
      </c>
      <c r="F152" s="3">
        <v>0.42899999999999999</v>
      </c>
      <c r="G152" s="3">
        <v>35</v>
      </c>
      <c r="H152" s="3">
        <v>9</v>
      </c>
      <c r="I152" s="3">
        <v>3</v>
      </c>
      <c r="J152" s="3">
        <v>0</v>
      </c>
      <c r="K152" s="3">
        <v>1</v>
      </c>
      <c r="L152" s="3">
        <v>10</v>
      </c>
      <c r="M152" s="3">
        <v>3</v>
      </c>
      <c r="N152" s="3">
        <v>0</v>
      </c>
      <c r="O152" s="3">
        <v>4</v>
      </c>
      <c r="P152" s="3">
        <v>7</v>
      </c>
      <c r="Q152" s="3">
        <v>0</v>
      </c>
      <c r="R152" s="3">
        <v>0</v>
      </c>
      <c r="S152" s="6">
        <f>AH152/10</f>
        <v>1.5858461538461541</v>
      </c>
      <c r="T152" s="3">
        <v>40</v>
      </c>
      <c r="U152" s="4">
        <f>(S152*2)+T152</f>
        <v>43.171692307692311</v>
      </c>
      <c r="V152" s="4">
        <f>S152+T152</f>
        <v>41.585846153846155</v>
      </c>
      <c r="W152" s="3"/>
      <c r="X152" s="3"/>
      <c r="Y152" s="3"/>
      <c r="Z152" s="3"/>
      <c r="AA152" s="3"/>
      <c r="AB152" s="3">
        <f>_xlfn.IFS(B152="c", 8, B152="ss", 10, B152="cf", 8,  B152="2b", 8, B152="3b", 6, B152="rf", 4, B152="lf", 2, B152="1b", 2, B152 ="dh", 1)</f>
        <v>8</v>
      </c>
      <c r="AC152" s="3">
        <f>(G152+N152+O152)</f>
        <v>39</v>
      </c>
      <c r="AD152" s="5">
        <f>P152/AC152</f>
        <v>0.17948717948717949</v>
      </c>
      <c r="AE152" s="5">
        <f>(N152+O152)/AC152</f>
        <v>0.10256410256410256</v>
      </c>
      <c r="AF152" s="4">
        <f>100-((AD152-AE152)*100)</f>
        <v>92.307692307692307</v>
      </c>
      <c r="AG152" s="3">
        <f>(F152-D152)*1000</f>
        <v>172</v>
      </c>
      <c r="AH152" s="3">
        <f>(((AF152+AG152)/2)*(AC152/100)*AB152)/C152</f>
        <v>15.85846153846154</v>
      </c>
    </row>
    <row r="153" spans="1:34" x14ac:dyDescent="0.35">
      <c r="A153" s="3" t="s">
        <v>276</v>
      </c>
      <c r="B153" s="3" t="s">
        <v>32</v>
      </c>
      <c r="C153" s="3">
        <v>29</v>
      </c>
      <c r="D153" s="3">
        <v>0.25</v>
      </c>
      <c r="E153" s="3">
        <v>0.29099999999999998</v>
      </c>
      <c r="F153" s="3">
        <v>0.28299999999999997</v>
      </c>
      <c r="G153" s="3">
        <v>120</v>
      </c>
      <c r="H153" s="3">
        <v>30</v>
      </c>
      <c r="I153" s="3">
        <v>4</v>
      </c>
      <c r="J153" s="3">
        <v>0</v>
      </c>
      <c r="K153" s="3">
        <v>0</v>
      </c>
      <c r="L153" s="3">
        <v>5</v>
      </c>
      <c r="M153" s="3">
        <v>13</v>
      </c>
      <c r="N153" s="3">
        <v>1</v>
      </c>
      <c r="O153" s="3">
        <v>6</v>
      </c>
      <c r="P153" s="3">
        <v>24</v>
      </c>
      <c r="Q153" s="3">
        <v>1</v>
      </c>
      <c r="R153" s="3">
        <v>0</v>
      </c>
      <c r="S153" s="6">
        <f>AH153/10</f>
        <v>1.5714827586206892</v>
      </c>
      <c r="T153" s="3">
        <v>40</v>
      </c>
      <c r="U153" s="4">
        <f>(S153*2)+T153</f>
        <v>43.142965517241379</v>
      </c>
      <c r="V153" s="4">
        <f>S153+T153</f>
        <v>41.571482758620689</v>
      </c>
      <c r="W153" s="3"/>
      <c r="X153" s="3"/>
      <c r="Y153" s="3"/>
      <c r="Z153" s="3"/>
      <c r="AA153" s="3"/>
      <c r="AB153" s="3">
        <f>_xlfn.IFS(B153="c", 8, B153="ss", 10, B153="cf", 8,  B153="2b", 8, B153="3b", 6, B153="rf", 4, B153="lf", 2, B153="1b", 2, B153 ="dh", 1)</f>
        <v>6</v>
      </c>
      <c r="AC153" s="3">
        <f>(G153+N153+O153)</f>
        <v>127</v>
      </c>
      <c r="AD153" s="5">
        <f>P153/AC153</f>
        <v>0.1889763779527559</v>
      </c>
      <c r="AE153" s="5">
        <f>(N153+O153)/AC153</f>
        <v>5.5118110236220472E-2</v>
      </c>
      <c r="AF153" s="4">
        <f>100-((AD153-AE153)*100)</f>
        <v>86.614173228346459</v>
      </c>
      <c r="AG153" s="3">
        <f>(F153-D153)*1000</f>
        <v>32.999999999999972</v>
      </c>
      <c r="AH153" s="3">
        <f>(((AF153+AG153)/2)*(AC153/100)*AB153)/C153</f>
        <v>15.714827586206892</v>
      </c>
    </row>
    <row r="154" spans="1:34" x14ac:dyDescent="0.35">
      <c r="A154" s="3" t="s">
        <v>51</v>
      </c>
      <c r="B154" s="3" t="s">
        <v>47</v>
      </c>
      <c r="C154" s="3">
        <v>23</v>
      </c>
      <c r="D154" s="3">
        <v>0.22700000000000001</v>
      </c>
      <c r="E154" s="3">
        <v>0.375</v>
      </c>
      <c r="F154" s="3">
        <v>0.4</v>
      </c>
      <c r="G154" s="3">
        <v>110</v>
      </c>
      <c r="H154" s="3">
        <v>25</v>
      </c>
      <c r="I154" s="3">
        <v>5</v>
      </c>
      <c r="J154" s="3">
        <v>1</v>
      </c>
      <c r="K154" s="3">
        <v>4</v>
      </c>
      <c r="L154" s="3">
        <v>16</v>
      </c>
      <c r="M154" s="3">
        <v>14</v>
      </c>
      <c r="N154" s="3">
        <v>0</v>
      </c>
      <c r="O154" s="3">
        <v>26</v>
      </c>
      <c r="P154" s="3">
        <v>36</v>
      </c>
      <c r="Q154" s="3">
        <v>2</v>
      </c>
      <c r="R154" s="3">
        <v>2</v>
      </c>
      <c r="S154" s="6">
        <f>AH154/10</f>
        <v>1.5707826086956527</v>
      </c>
      <c r="T154" s="3">
        <v>50</v>
      </c>
      <c r="U154" s="4">
        <f>(S154*2)+T154</f>
        <v>53.141565217391303</v>
      </c>
      <c r="V154" s="4">
        <f>S154+T154</f>
        <v>51.570782608695652</v>
      </c>
      <c r="W154" s="3"/>
      <c r="X154" s="3"/>
      <c r="Y154" s="3"/>
      <c r="Z154" s="3"/>
      <c r="AA154" s="3"/>
      <c r="AB154" s="3">
        <f>_xlfn.IFS(B154="c", 8, B154="ss", 10, B154="cf", 8,  B154="2b", 8, B154="3b", 6, B154="rf", 4, B154="lf", 2, B154="1b", 2, B154 ="dh", 1)</f>
        <v>2</v>
      </c>
      <c r="AC154" s="3">
        <f>(G154+N154+O154)</f>
        <v>136</v>
      </c>
      <c r="AD154" s="5">
        <f>P154/AC154</f>
        <v>0.26470588235294118</v>
      </c>
      <c r="AE154" s="5">
        <f>(N154+O154)/AC154</f>
        <v>0.19117647058823528</v>
      </c>
      <c r="AF154" s="4">
        <f>100-((AD154-AE154)*100)</f>
        <v>92.647058823529406</v>
      </c>
      <c r="AG154" s="3">
        <f>(F154-D154)*1000</f>
        <v>173.00000000000003</v>
      </c>
      <c r="AH154" s="3">
        <f>(((AF154+AG154)/2)*(AC154/100)*AB154)/C154</f>
        <v>15.707826086956526</v>
      </c>
    </row>
    <row r="155" spans="1:34" x14ac:dyDescent="0.35">
      <c r="A155" s="3" t="s">
        <v>78</v>
      </c>
      <c r="B155" s="3" t="s">
        <v>59</v>
      </c>
      <c r="C155" s="3">
        <v>24</v>
      </c>
      <c r="D155" s="3">
        <v>0.17899999999999999</v>
      </c>
      <c r="E155" s="3">
        <v>0.254</v>
      </c>
      <c r="F155" s="3">
        <v>0.25</v>
      </c>
      <c r="G155" s="3">
        <v>56</v>
      </c>
      <c r="H155" s="3">
        <v>10</v>
      </c>
      <c r="I155" s="3">
        <v>1</v>
      </c>
      <c r="J155" s="3">
        <v>0</v>
      </c>
      <c r="K155" s="3">
        <v>1</v>
      </c>
      <c r="L155" s="3">
        <v>9</v>
      </c>
      <c r="M155" s="3">
        <v>8</v>
      </c>
      <c r="N155" s="3">
        <v>3</v>
      </c>
      <c r="O155" s="3">
        <v>3</v>
      </c>
      <c r="P155" s="3">
        <v>18</v>
      </c>
      <c r="Q155" s="3">
        <v>1</v>
      </c>
      <c r="R155" s="3">
        <v>0</v>
      </c>
      <c r="S155" s="6">
        <f>AH155/10</f>
        <v>1.5670000000000002</v>
      </c>
      <c r="T155" s="3">
        <v>40</v>
      </c>
      <c r="U155" s="4">
        <f>(S155*2)+T155</f>
        <v>43.134</v>
      </c>
      <c r="V155" s="4">
        <f>S155+T155</f>
        <v>41.567</v>
      </c>
      <c r="W155" s="3"/>
      <c r="X155" s="3"/>
      <c r="Y155" s="3"/>
      <c r="Z155" s="3"/>
      <c r="AA155" s="3"/>
      <c r="AB155" s="3">
        <f>_xlfn.IFS(B155="c", 8, B155="ss", 10, B155="cf", 8,  B155="2b", 8, B155="3b", 6, B155="rf", 4, B155="lf", 2, B155="1b", 2, B155 ="dh", 1)</f>
        <v>8</v>
      </c>
      <c r="AC155" s="3">
        <f>(G155+N155+O155)</f>
        <v>62</v>
      </c>
      <c r="AD155" s="5">
        <f>P155/AC155</f>
        <v>0.29032258064516131</v>
      </c>
      <c r="AE155" s="5">
        <f>(N155+O155)/AC155</f>
        <v>9.6774193548387094E-2</v>
      </c>
      <c r="AF155" s="4">
        <f>100-((AD155-AE155)*100)</f>
        <v>80.645161290322577</v>
      </c>
      <c r="AG155" s="3">
        <f>(F155-D155)*1000</f>
        <v>71.000000000000014</v>
      </c>
      <c r="AH155" s="3">
        <f>(((AF155+AG155)/2)*(AC155/100)*AB155)/C155</f>
        <v>15.670000000000002</v>
      </c>
    </row>
    <row r="156" spans="1:34" x14ac:dyDescent="0.35">
      <c r="A156" s="3" t="s">
        <v>52</v>
      </c>
      <c r="B156" s="3" t="s">
        <v>28</v>
      </c>
      <c r="C156" s="3">
        <v>23</v>
      </c>
      <c r="D156" s="3">
        <v>0.252</v>
      </c>
      <c r="E156" s="3">
        <v>0.28799999999999998</v>
      </c>
      <c r="F156" s="3">
        <v>0.41</v>
      </c>
      <c r="G156" s="3">
        <v>139</v>
      </c>
      <c r="H156" s="3">
        <v>35</v>
      </c>
      <c r="I156" s="3">
        <v>8</v>
      </c>
      <c r="J156" s="3">
        <v>1</v>
      </c>
      <c r="K156" s="3">
        <v>4</v>
      </c>
      <c r="L156" s="3">
        <v>15</v>
      </c>
      <c r="M156" s="3">
        <v>14</v>
      </c>
      <c r="N156" s="3">
        <v>0</v>
      </c>
      <c r="O156" s="3">
        <v>7</v>
      </c>
      <c r="P156" s="3">
        <v>25</v>
      </c>
      <c r="Q156" s="3">
        <v>1</v>
      </c>
      <c r="R156" s="3">
        <v>1</v>
      </c>
      <c r="S156" s="6">
        <f>AH156/10</f>
        <v>1.559478260869565</v>
      </c>
      <c r="T156" s="3">
        <v>40</v>
      </c>
      <c r="U156" s="4">
        <f>(S156*2)+T156</f>
        <v>43.118956521739129</v>
      </c>
      <c r="V156" s="4">
        <f>S156+T156</f>
        <v>41.559478260869568</v>
      </c>
      <c r="W156" s="3"/>
      <c r="X156" s="3"/>
      <c r="Y156" s="3"/>
      <c r="Z156" s="3"/>
      <c r="AA156" s="3"/>
      <c r="AB156" s="3">
        <f>_xlfn.IFS(B156="c", 8, B156="ss", 10, B156="cf", 8,  B156="2b", 8, B156="3b", 6, B156="rf", 4, B156="lf", 2, B156="1b", 2, B156 ="dh", 1)</f>
        <v>2</v>
      </c>
      <c r="AC156" s="3">
        <f>(G156+N156+O156)</f>
        <v>146</v>
      </c>
      <c r="AD156" s="5">
        <f>P156/AC156</f>
        <v>0.17123287671232876</v>
      </c>
      <c r="AE156" s="5">
        <f>(N156+O156)/AC156</f>
        <v>4.7945205479452052E-2</v>
      </c>
      <c r="AF156" s="4">
        <f>100-((AD156-AE156)*100)</f>
        <v>87.671232876712324</v>
      </c>
      <c r="AG156" s="3">
        <f>(F156-D156)*1000</f>
        <v>157.99999999999997</v>
      </c>
      <c r="AH156" s="3">
        <f>(((AF156+AG156)/2)*(AC156/100)*AB156)/C156</f>
        <v>15.594782608695651</v>
      </c>
    </row>
    <row r="157" spans="1:34" x14ac:dyDescent="0.35">
      <c r="A157" s="3" t="s">
        <v>266</v>
      </c>
      <c r="B157" s="3" t="s">
        <v>59</v>
      </c>
      <c r="C157" s="3">
        <v>29</v>
      </c>
      <c r="D157" s="3">
        <v>0.189</v>
      </c>
      <c r="E157" s="3">
        <v>0.246</v>
      </c>
      <c r="F157" s="3">
        <v>0.30199999999999999</v>
      </c>
      <c r="G157" s="3">
        <v>53</v>
      </c>
      <c r="H157" s="3">
        <v>10</v>
      </c>
      <c r="I157" s="3">
        <v>3</v>
      </c>
      <c r="J157" s="3">
        <v>0</v>
      </c>
      <c r="K157" s="3">
        <v>1</v>
      </c>
      <c r="L157" s="3">
        <v>13</v>
      </c>
      <c r="M157" s="3">
        <v>1</v>
      </c>
      <c r="N157" s="3">
        <v>0</v>
      </c>
      <c r="O157" s="3">
        <v>4</v>
      </c>
      <c r="P157" s="3">
        <v>13</v>
      </c>
      <c r="Q157" s="3">
        <v>2</v>
      </c>
      <c r="R157" s="3">
        <v>1</v>
      </c>
      <c r="S157" s="6">
        <f>AH157/10</f>
        <v>1.5504827586206897</v>
      </c>
      <c r="T157" s="3">
        <v>40</v>
      </c>
      <c r="U157" s="4">
        <f>(S157*2)+T157</f>
        <v>43.100965517241377</v>
      </c>
      <c r="V157" s="4">
        <f>S157+T157</f>
        <v>41.550482758620689</v>
      </c>
      <c r="W157" s="3"/>
      <c r="X157" s="3"/>
      <c r="Y157" s="3"/>
      <c r="Z157" s="3"/>
      <c r="AA157" s="3"/>
      <c r="AB157" s="3">
        <f>_xlfn.IFS(B157="c", 8, B157="ss", 10, B157="cf", 8,  B157="2b", 8, B157="3b", 6, B157="rf", 4, B157="lf", 2, B157="1b", 2, B157 ="dh", 1)</f>
        <v>8</v>
      </c>
      <c r="AC157" s="3">
        <f>(G157+N157+O157)</f>
        <v>57</v>
      </c>
      <c r="AD157" s="5">
        <f>P157/AC157</f>
        <v>0.22807017543859648</v>
      </c>
      <c r="AE157" s="5">
        <f>(N157+O157)/AC157</f>
        <v>7.0175438596491224E-2</v>
      </c>
      <c r="AF157" s="4">
        <f>100-((AD157-AE157)*100)</f>
        <v>84.21052631578948</v>
      </c>
      <c r="AG157" s="3">
        <f>(F157-D157)*1000</f>
        <v>112.99999999999999</v>
      </c>
      <c r="AH157" s="3">
        <f>(((AF157+AG157)/2)*(AC157/100)*AB157)/C157</f>
        <v>15.504827586206897</v>
      </c>
    </row>
    <row r="158" spans="1:34" x14ac:dyDescent="0.35">
      <c r="A158" s="3" t="s">
        <v>309</v>
      </c>
      <c r="B158" s="3" t="s">
        <v>32</v>
      </c>
      <c r="C158" s="3">
        <v>31</v>
      </c>
      <c r="D158" s="3">
        <v>0.112</v>
      </c>
      <c r="E158" s="3">
        <v>0.19800000000000001</v>
      </c>
      <c r="F158" s="3">
        <v>0.21299999999999999</v>
      </c>
      <c r="G158" s="3">
        <v>80</v>
      </c>
      <c r="H158" s="3">
        <v>9</v>
      </c>
      <c r="I158" s="3">
        <v>2</v>
      </c>
      <c r="J158" s="3">
        <v>0</v>
      </c>
      <c r="K158" s="3">
        <v>2</v>
      </c>
      <c r="L158" s="3">
        <v>3</v>
      </c>
      <c r="M158" s="3">
        <v>10</v>
      </c>
      <c r="N158" s="3">
        <v>0</v>
      </c>
      <c r="O158" s="3">
        <v>9</v>
      </c>
      <c r="P158" s="3">
        <v>29</v>
      </c>
      <c r="Q158" s="3">
        <v>0</v>
      </c>
      <c r="R158" s="3">
        <v>1</v>
      </c>
      <c r="S158" s="6">
        <f>AH158/10</f>
        <v>1.5376451612903224</v>
      </c>
      <c r="T158" s="3">
        <v>40</v>
      </c>
      <c r="U158" s="4">
        <f>(S158*2)+T158</f>
        <v>43.075290322580642</v>
      </c>
      <c r="V158" s="4">
        <f>S158+T158</f>
        <v>41.537645161290321</v>
      </c>
      <c r="W158" s="3"/>
      <c r="X158" s="3"/>
      <c r="Y158" s="3"/>
      <c r="Z158" s="3"/>
      <c r="AA158" s="3"/>
      <c r="AB158" s="3">
        <f>_xlfn.IFS(B158="c", 8, B158="ss", 10, B158="cf", 8,  B158="2b", 8, B158="3b", 6, B158="rf", 4, B158="lf", 2, B158="1b", 2, B158 ="dh", 1)</f>
        <v>6</v>
      </c>
      <c r="AC158" s="3">
        <f>(G158+N158+O158)</f>
        <v>89</v>
      </c>
      <c r="AD158" s="5">
        <f>P158/AC158</f>
        <v>0.3258426966292135</v>
      </c>
      <c r="AE158" s="5">
        <f>(N158+O158)/AC158</f>
        <v>0.10112359550561797</v>
      </c>
      <c r="AF158" s="4">
        <f>100-((AD158-AE158)*100)</f>
        <v>77.528089887640448</v>
      </c>
      <c r="AG158" s="3">
        <f>(F158-D158)*1000</f>
        <v>100.99999999999999</v>
      </c>
      <c r="AH158" s="3">
        <f>(((AF158+AG158)/2)*(AC158/100)*AB158)/C158</f>
        <v>15.376451612903224</v>
      </c>
    </row>
    <row r="159" spans="1:34" x14ac:dyDescent="0.35">
      <c r="A159" s="3" t="s">
        <v>123</v>
      </c>
      <c r="B159" s="3" t="s">
        <v>22</v>
      </c>
      <c r="C159" s="3">
        <v>25</v>
      </c>
      <c r="D159" s="3">
        <v>0.19700000000000001</v>
      </c>
      <c r="E159" s="3">
        <v>0.26</v>
      </c>
      <c r="F159" s="3">
        <v>0.36599999999999999</v>
      </c>
      <c r="G159" s="3">
        <v>71</v>
      </c>
      <c r="H159" s="3">
        <v>14</v>
      </c>
      <c r="I159" s="3">
        <v>4</v>
      </c>
      <c r="J159" s="3">
        <v>1</v>
      </c>
      <c r="K159" s="3">
        <v>2</v>
      </c>
      <c r="L159" s="3">
        <v>6</v>
      </c>
      <c r="M159" s="3">
        <v>10</v>
      </c>
      <c r="N159" s="3">
        <v>0</v>
      </c>
      <c r="O159" s="3">
        <v>6</v>
      </c>
      <c r="P159" s="3">
        <v>22</v>
      </c>
      <c r="Q159" s="3">
        <v>1</v>
      </c>
      <c r="R159" s="3">
        <v>0</v>
      </c>
      <c r="S159" s="6">
        <f>AH159/10</f>
        <v>1.52904</v>
      </c>
      <c r="T159" s="3">
        <v>40</v>
      </c>
      <c r="U159" s="4">
        <f>(S159*2)+T159</f>
        <v>43.058079999999997</v>
      </c>
      <c r="V159" s="4">
        <f>S159+T159</f>
        <v>41.529040000000002</v>
      </c>
      <c r="W159" s="3"/>
      <c r="X159" s="3"/>
      <c r="Y159" s="3"/>
      <c r="Z159" s="3"/>
      <c r="AA159" s="3"/>
      <c r="AB159" s="3">
        <f>_xlfn.IFS(B159="c", 8, B159="ss", 10, B159="cf", 8,  B159="2b", 8, B159="3b", 6, B159="rf", 4, B159="lf", 2, B159="1b", 2, B159 ="dh", 1)</f>
        <v>4</v>
      </c>
      <c r="AC159" s="3">
        <f>(G159+N159+O159)</f>
        <v>77</v>
      </c>
      <c r="AD159" s="5">
        <f>P159/AC159</f>
        <v>0.2857142857142857</v>
      </c>
      <c r="AE159" s="5">
        <f>(N159+O159)/AC159</f>
        <v>7.792207792207792E-2</v>
      </c>
      <c r="AF159" s="4">
        <f>100-((AD159-AE159)*100)</f>
        <v>79.220779220779221</v>
      </c>
      <c r="AG159" s="3">
        <f>(F159-D159)*1000</f>
        <v>168.99999999999997</v>
      </c>
      <c r="AH159" s="3">
        <f>(((AF159+AG159)/2)*(AC159/100)*AB159)/C159</f>
        <v>15.2904</v>
      </c>
    </row>
    <row r="160" spans="1:34" x14ac:dyDescent="0.35">
      <c r="A160" s="3" t="s">
        <v>207</v>
      </c>
      <c r="B160" s="3" t="s">
        <v>59</v>
      </c>
      <c r="C160" s="3">
        <v>27</v>
      </c>
      <c r="D160" s="3">
        <v>0.28000000000000003</v>
      </c>
      <c r="E160" s="3">
        <v>0.32100000000000001</v>
      </c>
      <c r="F160" s="3">
        <v>0.38</v>
      </c>
      <c r="G160" s="3">
        <v>50</v>
      </c>
      <c r="H160" s="3">
        <v>14</v>
      </c>
      <c r="I160" s="3">
        <v>2</v>
      </c>
      <c r="J160" s="3">
        <v>0</v>
      </c>
      <c r="K160" s="3">
        <v>1</v>
      </c>
      <c r="L160" s="3">
        <v>19</v>
      </c>
      <c r="M160" s="3">
        <v>6</v>
      </c>
      <c r="N160" s="3">
        <v>3</v>
      </c>
      <c r="O160" s="3">
        <v>1</v>
      </c>
      <c r="P160" s="3">
        <v>11</v>
      </c>
      <c r="Q160" s="3">
        <v>21</v>
      </c>
      <c r="R160" s="3">
        <v>2</v>
      </c>
      <c r="S160" s="6">
        <f>AH160/10</f>
        <v>1.496296296296296</v>
      </c>
      <c r="T160" s="3">
        <v>40</v>
      </c>
      <c r="U160" s="4">
        <f>(S160*2)+T160</f>
        <v>42.992592592592594</v>
      </c>
      <c r="V160" s="4">
        <f>S160+T160</f>
        <v>41.496296296296293</v>
      </c>
      <c r="W160" s="3"/>
      <c r="X160" s="3"/>
      <c r="Y160" s="3"/>
      <c r="Z160" s="3"/>
      <c r="AA160" s="3"/>
      <c r="AB160" s="3">
        <f>_xlfn.IFS(B160="c", 8, B160="ss", 10, B160="cf", 8,  B160="2b", 8, B160="3b", 6, B160="rf", 4, B160="lf", 2, B160="1b", 2, B160 ="dh", 1)</f>
        <v>8</v>
      </c>
      <c r="AC160" s="3">
        <f>(G160+N160+O160)</f>
        <v>54</v>
      </c>
      <c r="AD160" s="5">
        <f>P160/AC160</f>
        <v>0.20370370370370369</v>
      </c>
      <c r="AE160" s="5">
        <f>(N160+O160)/AC160</f>
        <v>7.407407407407407E-2</v>
      </c>
      <c r="AF160" s="4">
        <f>100-((AD160-AE160)*100)</f>
        <v>87.037037037037038</v>
      </c>
      <c r="AG160" s="3">
        <f>(F160-D160)*1000</f>
        <v>99.999999999999972</v>
      </c>
      <c r="AH160" s="3">
        <f>(((AF160+AG160)/2)*(AC160/100)*AB160)/C160</f>
        <v>14.96296296296296</v>
      </c>
    </row>
    <row r="161" spans="1:34" x14ac:dyDescent="0.35">
      <c r="A161" s="3" t="s">
        <v>175</v>
      </c>
      <c r="B161" s="3" t="s">
        <v>32</v>
      </c>
      <c r="C161" s="3">
        <v>27</v>
      </c>
      <c r="D161" s="3">
        <v>0.253</v>
      </c>
      <c r="E161" s="3">
        <v>0.30499999999999999</v>
      </c>
      <c r="F161" s="3">
        <v>0.31</v>
      </c>
      <c r="G161" s="3">
        <v>87</v>
      </c>
      <c r="H161" s="3">
        <v>22</v>
      </c>
      <c r="I161" s="3">
        <v>5</v>
      </c>
      <c r="J161" s="3">
        <v>0</v>
      </c>
      <c r="K161" s="3">
        <v>0</v>
      </c>
      <c r="L161" s="3">
        <v>14</v>
      </c>
      <c r="M161" s="3">
        <v>8</v>
      </c>
      <c r="N161" s="3">
        <v>1</v>
      </c>
      <c r="O161" s="3">
        <v>6</v>
      </c>
      <c r="P161" s="3">
        <v>21</v>
      </c>
      <c r="Q161" s="3">
        <v>2</v>
      </c>
      <c r="R161" s="3">
        <v>1</v>
      </c>
      <c r="S161" s="6">
        <f>AH161/10</f>
        <v>1.4842222222222221</v>
      </c>
      <c r="T161" s="3">
        <v>60</v>
      </c>
      <c r="U161" s="4">
        <f>(S161*2)+T161</f>
        <v>62.968444444444444</v>
      </c>
      <c r="V161" s="4">
        <f>S161+T161</f>
        <v>61.484222222222222</v>
      </c>
      <c r="W161" s="3"/>
      <c r="X161" s="3"/>
      <c r="Y161" s="3"/>
      <c r="Z161" s="3"/>
      <c r="AA161" s="3"/>
      <c r="AB161" s="3">
        <f>_xlfn.IFS(B161="c", 8, B161="ss", 10, B161="cf", 8,  B161="2b", 8, B161="3b", 6, B161="rf", 4, B161="lf", 2, B161="1b", 2, B161 ="dh", 1)</f>
        <v>6</v>
      </c>
      <c r="AC161" s="3">
        <f>(G161+N161+O161)</f>
        <v>94</v>
      </c>
      <c r="AD161" s="5">
        <f>P161/AC161</f>
        <v>0.22340425531914893</v>
      </c>
      <c r="AE161" s="5">
        <f>(N161+O161)/AC161</f>
        <v>7.4468085106382975E-2</v>
      </c>
      <c r="AF161" s="4">
        <f>100-((AD161-AE161)*100)</f>
        <v>85.106382978723403</v>
      </c>
      <c r="AG161" s="3">
        <f>(F161-D161)*1000</f>
        <v>56.999999999999993</v>
      </c>
      <c r="AH161" s="3">
        <f>(((AF161+AG161)/2)*(AC161/100)*AB161)/C161</f>
        <v>14.842222222222221</v>
      </c>
    </row>
    <row r="162" spans="1:34" x14ac:dyDescent="0.35">
      <c r="A162" s="3" t="s">
        <v>56</v>
      </c>
      <c r="B162" s="3" t="s">
        <v>18</v>
      </c>
      <c r="C162" s="3">
        <v>23</v>
      </c>
      <c r="D162" s="3">
        <v>0.13300000000000001</v>
      </c>
      <c r="E162" s="3">
        <v>0.152</v>
      </c>
      <c r="F162" s="3">
        <v>0.24399999999999999</v>
      </c>
      <c r="G162" s="3">
        <v>45</v>
      </c>
      <c r="H162" s="3">
        <v>6</v>
      </c>
      <c r="I162" s="3">
        <v>0</v>
      </c>
      <c r="J162" s="3">
        <v>1</v>
      </c>
      <c r="K162" s="3">
        <v>1</v>
      </c>
      <c r="L162" s="3">
        <v>3</v>
      </c>
      <c r="M162" s="3">
        <v>1</v>
      </c>
      <c r="N162" s="3">
        <v>1</v>
      </c>
      <c r="O162" s="3">
        <v>0</v>
      </c>
      <c r="P162" s="3">
        <v>17</v>
      </c>
      <c r="Q162" s="3">
        <v>0</v>
      </c>
      <c r="R162" s="3">
        <v>0</v>
      </c>
      <c r="S162" s="6">
        <f>AH162/10</f>
        <v>1.4097391304347826</v>
      </c>
      <c r="T162" s="3">
        <v>40</v>
      </c>
      <c r="U162" s="4">
        <f>(S162*2)+T162</f>
        <v>42.819478260869566</v>
      </c>
      <c r="V162" s="4">
        <f>S162+T162</f>
        <v>41.409739130434779</v>
      </c>
      <c r="W162" s="3"/>
      <c r="X162" s="3"/>
      <c r="Y162" s="3"/>
      <c r="Z162" s="3"/>
      <c r="AA162" s="3"/>
      <c r="AB162" s="3">
        <f>_xlfn.IFS(B162="c", 8, B162="ss", 10, B162="cf", 8,  B162="2b", 8, B162="3b", 6, B162="rf", 4, B162="lf", 2, B162="1b", 2, B162 ="dh", 1)</f>
        <v>8</v>
      </c>
      <c r="AC162" s="3">
        <f>(G162+N162+O162)</f>
        <v>46</v>
      </c>
      <c r="AD162" s="5">
        <f>P162/AC162</f>
        <v>0.36956521739130432</v>
      </c>
      <c r="AE162" s="5">
        <f>(N162+O162)/AC162</f>
        <v>2.1739130434782608E-2</v>
      </c>
      <c r="AF162" s="4">
        <f>100-((AD162-AE162)*100)</f>
        <v>65.217391304347828</v>
      </c>
      <c r="AG162" s="3">
        <f>(F162-D162)*1000</f>
        <v>110.99999999999999</v>
      </c>
      <c r="AH162" s="3">
        <f>(((AF162+AG162)/2)*(AC162/100)*AB162)/C162</f>
        <v>14.097391304347827</v>
      </c>
    </row>
    <row r="163" spans="1:34" x14ac:dyDescent="0.35">
      <c r="A163" s="3" t="s">
        <v>214</v>
      </c>
      <c r="B163" s="3" t="s">
        <v>32</v>
      </c>
      <c r="C163" s="3">
        <v>28</v>
      </c>
      <c r="D163" s="3">
        <v>0.125</v>
      </c>
      <c r="E163" s="3">
        <v>0.157</v>
      </c>
      <c r="F163" s="3">
        <v>0.17699999999999999</v>
      </c>
      <c r="G163" s="3">
        <v>96</v>
      </c>
      <c r="H163" s="3">
        <v>12</v>
      </c>
      <c r="I163" s="3">
        <v>2</v>
      </c>
      <c r="J163" s="3">
        <v>0</v>
      </c>
      <c r="K163" s="3">
        <v>1</v>
      </c>
      <c r="L163" s="3">
        <v>10</v>
      </c>
      <c r="M163" s="3">
        <v>6</v>
      </c>
      <c r="N163" s="3">
        <v>1</v>
      </c>
      <c r="O163" s="3">
        <v>3</v>
      </c>
      <c r="P163" s="3">
        <v>25</v>
      </c>
      <c r="Q163" s="3">
        <v>2</v>
      </c>
      <c r="R163" s="3">
        <v>0</v>
      </c>
      <c r="S163" s="6">
        <f>AH163/10</f>
        <v>1.4035714285714287</v>
      </c>
      <c r="T163" s="3">
        <v>40</v>
      </c>
      <c r="U163" s="4">
        <f>(S163*2)+T163</f>
        <v>42.807142857142857</v>
      </c>
      <c r="V163" s="4">
        <f>S163+T163</f>
        <v>41.403571428571432</v>
      </c>
      <c r="W163" s="3"/>
      <c r="X163" s="3"/>
      <c r="Y163" s="3"/>
      <c r="Z163" s="3"/>
      <c r="AA163" s="3"/>
      <c r="AB163" s="3">
        <f>_xlfn.IFS(B163="c", 8, B163="ss", 10, B163="cf", 8,  B163="2b", 8, B163="3b", 6, B163="rf", 4, B163="lf", 2, B163="1b", 2, B163 ="dh", 1)</f>
        <v>6</v>
      </c>
      <c r="AC163" s="3">
        <f>(G163+N163+O163)</f>
        <v>100</v>
      </c>
      <c r="AD163" s="5">
        <f>P163/AC163</f>
        <v>0.25</v>
      </c>
      <c r="AE163" s="5">
        <f>(N163+O163)/AC163</f>
        <v>0.04</v>
      </c>
      <c r="AF163" s="4">
        <f>100-((AD163-AE163)*100)</f>
        <v>79</v>
      </c>
      <c r="AG163" s="3">
        <f>(F163-D163)*1000</f>
        <v>51.999999999999993</v>
      </c>
      <c r="AH163" s="3">
        <f>(((AF163+AG163)/2)*(AC163/100)*AB163)/C163</f>
        <v>14.035714285714286</v>
      </c>
    </row>
    <row r="164" spans="1:34" x14ac:dyDescent="0.35">
      <c r="A164" s="3" t="s">
        <v>354</v>
      </c>
      <c r="B164" s="3" t="s">
        <v>22</v>
      </c>
      <c r="C164" s="3">
        <v>34</v>
      </c>
      <c r="D164" s="3">
        <v>0.186</v>
      </c>
      <c r="E164" s="3">
        <v>0.25600000000000001</v>
      </c>
      <c r="F164" s="3">
        <v>0.30099999999999999</v>
      </c>
      <c r="G164" s="3">
        <v>113</v>
      </c>
      <c r="H164" s="3">
        <v>21</v>
      </c>
      <c r="I164" s="3">
        <v>7</v>
      </c>
      <c r="J164" s="3">
        <v>0</v>
      </c>
      <c r="K164" s="3">
        <v>2</v>
      </c>
      <c r="L164" s="3">
        <v>15</v>
      </c>
      <c r="M164" s="3">
        <v>12</v>
      </c>
      <c r="N164" s="3">
        <v>6</v>
      </c>
      <c r="O164" s="3">
        <v>5</v>
      </c>
      <c r="P164" s="3">
        <v>42</v>
      </c>
      <c r="Q164" s="3">
        <v>2</v>
      </c>
      <c r="R164" s="3">
        <v>2</v>
      </c>
      <c r="S164" s="6">
        <f>AH164/10</f>
        <v>1.3858823529411766</v>
      </c>
      <c r="T164" s="3">
        <v>40</v>
      </c>
      <c r="U164" s="4">
        <f>(S164*2)+T164</f>
        <v>42.771764705882354</v>
      </c>
      <c r="V164" s="4">
        <f>S164+T164</f>
        <v>41.385882352941174</v>
      </c>
      <c r="W164" s="3"/>
      <c r="X164" s="3"/>
      <c r="Y164" s="3"/>
      <c r="Z164" s="3"/>
      <c r="AA164" s="3"/>
      <c r="AB164" s="3">
        <f>_xlfn.IFS(B164="c", 8, B164="ss", 10, B164="cf", 8,  B164="2b", 8, B164="3b", 6, B164="rf", 4, B164="lf", 2, B164="1b", 2, B164 ="dh", 1)</f>
        <v>4</v>
      </c>
      <c r="AC164" s="3">
        <f>(G164+N164+O164)</f>
        <v>124</v>
      </c>
      <c r="AD164" s="5">
        <f>P164/AC164</f>
        <v>0.33870967741935482</v>
      </c>
      <c r="AE164" s="5">
        <f>(N164+O164)/AC164</f>
        <v>8.8709677419354843E-2</v>
      </c>
      <c r="AF164" s="4">
        <f>100-((AD164-AE164)*100)</f>
        <v>75</v>
      </c>
      <c r="AG164" s="3">
        <f>(F164-D164)*1000</f>
        <v>114.99999999999999</v>
      </c>
      <c r="AH164" s="3">
        <f>(((AF164+AG164)/2)*(AC164/100)*AB164)/C164</f>
        <v>13.858823529411765</v>
      </c>
    </row>
    <row r="165" spans="1:34" x14ac:dyDescent="0.35">
      <c r="A165" s="3" t="s">
        <v>196</v>
      </c>
      <c r="B165" s="3" t="s">
        <v>28</v>
      </c>
      <c r="C165" s="3">
        <v>27</v>
      </c>
      <c r="D165" s="3">
        <v>0.17499999999999999</v>
      </c>
      <c r="E165" s="3">
        <v>0.254</v>
      </c>
      <c r="F165" s="3">
        <v>0.38300000000000001</v>
      </c>
      <c r="G165" s="3">
        <v>120</v>
      </c>
      <c r="H165" s="3">
        <v>21</v>
      </c>
      <c r="I165" s="3">
        <v>4</v>
      </c>
      <c r="J165" s="3">
        <v>0</v>
      </c>
      <c r="K165" s="3">
        <v>7</v>
      </c>
      <c r="L165" s="3">
        <v>15</v>
      </c>
      <c r="M165" s="3">
        <v>14</v>
      </c>
      <c r="N165" s="3">
        <v>2</v>
      </c>
      <c r="O165" s="3">
        <v>11</v>
      </c>
      <c r="P165" s="3">
        <v>50</v>
      </c>
      <c r="Q165" s="3">
        <v>0</v>
      </c>
      <c r="R165" s="3">
        <v>0</v>
      </c>
      <c r="S165" s="6">
        <f>AH165/10</f>
        <v>1.3801481481481486</v>
      </c>
      <c r="T165" s="3">
        <v>40</v>
      </c>
      <c r="U165" s="4">
        <f>(S165*2)+T165</f>
        <v>42.760296296296296</v>
      </c>
      <c r="V165" s="4">
        <f>S165+T165</f>
        <v>41.380148148148152</v>
      </c>
      <c r="W165" s="3"/>
      <c r="X165" s="3"/>
      <c r="Y165" s="3"/>
      <c r="Z165" s="3"/>
      <c r="AA165" s="3"/>
      <c r="AB165" s="3">
        <f>_xlfn.IFS(B165="c", 8, B165="ss", 10, B165="cf", 8,  B165="2b", 8, B165="3b", 6, B165="rf", 4, B165="lf", 2, B165="1b", 2, B165 ="dh", 1)</f>
        <v>2</v>
      </c>
      <c r="AC165" s="3">
        <f>(G165+N165+O165)</f>
        <v>133</v>
      </c>
      <c r="AD165" s="5">
        <f>P165/AC165</f>
        <v>0.37593984962406013</v>
      </c>
      <c r="AE165" s="5">
        <f>(N165+O165)/AC165</f>
        <v>9.7744360902255634E-2</v>
      </c>
      <c r="AF165" s="4">
        <f>100-((AD165-AE165)*100)</f>
        <v>72.180451127819552</v>
      </c>
      <c r="AG165" s="3">
        <f>(F165-D165)*1000</f>
        <v>208.00000000000003</v>
      </c>
      <c r="AH165" s="3">
        <f>(((AF165+AG165)/2)*(AC165/100)*AB165)/C165</f>
        <v>13.801481481481485</v>
      </c>
    </row>
    <row r="166" spans="1:34" x14ac:dyDescent="0.35">
      <c r="A166" s="3" t="s">
        <v>323</v>
      </c>
      <c r="B166" s="3" t="s">
        <v>28</v>
      </c>
      <c r="C166" s="3">
        <v>31</v>
      </c>
      <c r="D166" s="3">
        <v>0.16700000000000001</v>
      </c>
      <c r="E166" s="3">
        <v>0.27100000000000002</v>
      </c>
      <c r="F166" s="3">
        <v>0.254</v>
      </c>
      <c r="G166" s="3">
        <v>209</v>
      </c>
      <c r="H166" s="3">
        <v>35</v>
      </c>
      <c r="I166" s="3">
        <v>8</v>
      </c>
      <c r="J166" s="3">
        <v>2</v>
      </c>
      <c r="K166" s="3">
        <v>2</v>
      </c>
      <c r="L166" s="3">
        <v>19</v>
      </c>
      <c r="M166" s="3">
        <v>18</v>
      </c>
      <c r="N166" s="3">
        <v>3</v>
      </c>
      <c r="O166" s="3">
        <v>27</v>
      </c>
      <c r="P166" s="3">
        <v>58</v>
      </c>
      <c r="Q166" s="3">
        <v>1</v>
      </c>
      <c r="R166" s="3">
        <v>0</v>
      </c>
      <c r="S166" s="6">
        <f>AH166/10</f>
        <v>1.3513870967741937</v>
      </c>
      <c r="T166" s="3">
        <v>40</v>
      </c>
      <c r="U166" s="4">
        <f>(S166*2)+T166</f>
        <v>42.702774193548386</v>
      </c>
      <c r="V166" s="4">
        <f>S166+T166</f>
        <v>41.351387096774197</v>
      </c>
      <c r="W166" s="3"/>
      <c r="X166" s="3"/>
      <c r="Y166" s="3"/>
      <c r="Z166" s="3"/>
      <c r="AA166" s="3"/>
      <c r="AB166" s="3">
        <f>_xlfn.IFS(B166="c", 8, B166="ss", 10, B166="cf", 8,  B166="2b", 8, B166="3b", 6, B166="rf", 4, B166="lf", 2, B166="1b", 2, B166 ="dh", 1)</f>
        <v>2</v>
      </c>
      <c r="AC166" s="3">
        <f>(G166+N166+O166)</f>
        <v>239</v>
      </c>
      <c r="AD166" s="5">
        <f>P166/AC166</f>
        <v>0.24267782426778242</v>
      </c>
      <c r="AE166" s="5">
        <f>(N166+O166)/AC166</f>
        <v>0.12552301255230125</v>
      </c>
      <c r="AF166" s="4">
        <f>100-((AD166-AE166)*100)</f>
        <v>88.28451882845188</v>
      </c>
      <c r="AG166" s="3">
        <f>(F166-D166)*1000</f>
        <v>87</v>
      </c>
      <c r="AH166" s="3">
        <f>(((AF166+AG166)/2)*(AC166/100)*AB166)/C166</f>
        <v>13.513870967741937</v>
      </c>
    </row>
    <row r="167" spans="1:34" x14ac:dyDescent="0.35">
      <c r="A167" s="3" t="s">
        <v>176</v>
      </c>
      <c r="B167" s="3" t="s">
        <v>22</v>
      </c>
      <c r="C167" s="3">
        <v>27</v>
      </c>
      <c r="D167" s="3">
        <v>0.17199999999999999</v>
      </c>
      <c r="E167" s="3">
        <v>0.27300000000000002</v>
      </c>
      <c r="F167" s="3">
        <v>0.34499999999999997</v>
      </c>
      <c r="G167" s="3">
        <v>58</v>
      </c>
      <c r="H167" s="3">
        <v>10</v>
      </c>
      <c r="I167" s="3">
        <v>1</v>
      </c>
      <c r="J167" s="3">
        <v>0</v>
      </c>
      <c r="K167" s="3">
        <v>3</v>
      </c>
      <c r="L167" s="3">
        <v>9</v>
      </c>
      <c r="M167" s="3">
        <v>8</v>
      </c>
      <c r="N167" s="3">
        <v>3</v>
      </c>
      <c r="O167" s="3">
        <v>5</v>
      </c>
      <c r="P167" s="3">
        <v>14</v>
      </c>
      <c r="Q167" s="3">
        <v>4</v>
      </c>
      <c r="R167" s="3">
        <v>1</v>
      </c>
      <c r="S167" s="6">
        <f>AH167/10</f>
        <v>1.2902222222222222</v>
      </c>
      <c r="T167" s="3">
        <v>40</v>
      </c>
      <c r="U167" s="4">
        <f>(S167*2)+T167</f>
        <v>42.580444444444446</v>
      </c>
      <c r="V167" s="4">
        <f>S167+T167</f>
        <v>41.290222222222219</v>
      </c>
      <c r="W167" s="3"/>
      <c r="X167" s="3"/>
      <c r="Y167" s="3"/>
      <c r="Z167" s="3"/>
      <c r="AA167" s="3"/>
      <c r="AB167" s="3">
        <f>_xlfn.IFS(B167="c", 8, B167="ss", 10, B167="cf", 8,  B167="2b", 8, B167="3b", 6, B167="rf", 4, B167="lf", 2, B167="1b", 2, B167 ="dh", 1)</f>
        <v>4</v>
      </c>
      <c r="AC167" s="3">
        <f>(G167+N167+O167)</f>
        <v>66</v>
      </c>
      <c r="AD167" s="5">
        <f>P167/AC167</f>
        <v>0.21212121212121213</v>
      </c>
      <c r="AE167" s="5">
        <f>(N167+O167)/AC167</f>
        <v>0.12121212121212122</v>
      </c>
      <c r="AF167" s="4">
        <f>100-((AD167-AE167)*100)</f>
        <v>90.909090909090907</v>
      </c>
      <c r="AG167" s="3">
        <f>(F167-D167)*1000</f>
        <v>173</v>
      </c>
      <c r="AH167" s="3">
        <f>(((AF167+AG167)/2)*(AC167/100)*AB167)/C167</f>
        <v>12.902222222222221</v>
      </c>
    </row>
    <row r="168" spans="1:34" x14ac:dyDescent="0.35">
      <c r="A168" s="3" t="s">
        <v>89</v>
      </c>
      <c r="B168" s="3" t="s">
        <v>59</v>
      </c>
      <c r="C168" s="3">
        <v>24</v>
      </c>
      <c r="D168" s="3">
        <v>0.157</v>
      </c>
      <c r="E168" s="3">
        <v>0.23400000000000001</v>
      </c>
      <c r="F168" s="3">
        <v>0.186</v>
      </c>
      <c r="G168" s="3">
        <v>70</v>
      </c>
      <c r="H168" s="3">
        <v>11</v>
      </c>
      <c r="I168" s="3">
        <v>0</v>
      </c>
      <c r="J168" s="3">
        <v>1</v>
      </c>
      <c r="K168" s="3">
        <v>0</v>
      </c>
      <c r="L168" s="3">
        <v>7</v>
      </c>
      <c r="M168" s="3">
        <v>7</v>
      </c>
      <c r="N168" s="3">
        <v>1</v>
      </c>
      <c r="O168" s="3">
        <v>6</v>
      </c>
      <c r="P168" s="3">
        <v>29</v>
      </c>
      <c r="Q168" s="3">
        <v>7</v>
      </c>
      <c r="R168" s="3">
        <v>2</v>
      </c>
      <c r="S168" s="6">
        <f>AH168/10</f>
        <v>1.2888333333333333</v>
      </c>
      <c r="T168" s="3">
        <v>40</v>
      </c>
      <c r="U168" s="4">
        <f>(S168*2)+T168</f>
        <v>42.577666666666666</v>
      </c>
      <c r="V168" s="4">
        <f>S168+T168</f>
        <v>41.288833333333336</v>
      </c>
      <c r="W168" s="3"/>
      <c r="X168" s="3"/>
      <c r="Y168" s="3"/>
      <c r="Z168" s="3"/>
      <c r="AA168" s="3"/>
      <c r="AB168" s="3">
        <f>_xlfn.IFS(B168="c", 8, B168="ss", 10, B168="cf", 8,  B168="2b", 8, B168="3b", 6, B168="rf", 4, B168="lf", 2, B168="1b", 2, B168 ="dh", 1)</f>
        <v>8</v>
      </c>
      <c r="AC168" s="3">
        <f>(G168+N168+O168)</f>
        <v>77</v>
      </c>
      <c r="AD168" s="5">
        <f>P168/AC168</f>
        <v>0.37662337662337664</v>
      </c>
      <c r="AE168" s="5">
        <f>(N168+O168)/AC168</f>
        <v>9.0909090909090912E-2</v>
      </c>
      <c r="AF168" s="4">
        <f>100-((AD168-AE168)*100)</f>
        <v>71.428571428571431</v>
      </c>
      <c r="AG168" s="3">
        <f>(F168-D168)*1000</f>
        <v>28.999999999999996</v>
      </c>
      <c r="AH168" s="3">
        <f>(((AF168+AG168)/2)*(AC168/100)*AB168)/C168</f>
        <v>12.888333333333334</v>
      </c>
    </row>
    <row r="169" spans="1:34" x14ac:dyDescent="0.35">
      <c r="A169" s="3" t="s">
        <v>166</v>
      </c>
      <c r="B169" s="3" t="s">
        <v>47</v>
      </c>
      <c r="C169" s="3">
        <v>26</v>
      </c>
      <c r="D169" s="3">
        <v>0.24299999999999999</v>
      </c>
      <c r="E169" s="3">
        <v>0.28799999999999998</v>
      </c>
      <c r="F169" s="3">
        <v>0.316</v>
      </c>
      <c r="G169" s="3">
        <v>206</v>
      </c>
      <c r="H169" s="3">
        <v>50</v>
      </c>
      <c r="I169" s="3">
        <v>6</v>
      </c>
      <c r="J169" s="3">
        <v>3</v>
      </c>
      <c r="K169" s="3">
        <v>1</v>
      </c>
      <c r="L169" s="3">
        <v>21</v>
      </c>
      <c r="M169" s="3">
        <v>14</v>
      </c>
      <c r="N169" s="3">
        <v>2</v>
      </c>
      <c r="O169" s="3">
        <v>11</v>
      </c>
      <c r="P169" s="3">
        <v>60</v>
      </c>
      <c r="Q169" s="3">
        <v>5</v>
      </c>
      <c r="R169" s="3">
        <v>3</v>
      </c>
      <c r="S169" s="6">
        <f>AH169/10</f>
        <v>1.2764230769230769</v>
      </c>
      <c r="T169" s="3">
        <v>40</v>
      </c>
      <c r="U169" s="4">
        <f>(S169*2)+T169</f>
        <v>42.552846153846154</v>
      </c>
      <c r="V169" s="4">
        <f>S169+T169</f>
        <v>41.276423076923074</v>
      </c>
      <c r="W169" s="3"/>
      <c r="X169" s="3"/>
      <c r="Y169" s="3"/>
      <c r="Z169" s="3"/>
      <c r="AA169" s="3"/>
      <c r="AB169" s="3">
        <f>_xlfn.IFS(B169="c", 8, B169="ss", 10, B169="cf", 8,  B169="2b", 8, B169="3b", 6, B169="rf", 4, B169="lf", 2, B169="1b", 2, B169 ="dh", 1)</f>
        <v>2</v>
      </c>
      <c r="AC169" s="3">
        <f>(G169+N169+O169)</f>
        <v>219</v>
      </c>
      <c r="AD169" s="5">
        <f>P169/AC169</f>
        <v>0.27397260273972601</v>
      </c>
      <c r="AE169" s="5">
        <f>(N169+O169)/AC169</f>
        <v>5.9360730593607303E-2</v>
      </c>
      <c r="AF169" s="4">
        <f>100-((AD169-AE169)*100)</f>
        <v>78.538812785388131</v>
      </c>
      <c r="AG169" s="3">
        <f>(F169-D169)*1000</f>
        <v>73.000000000000014</v>
      </c>
      <c r="AH169" s="3">
        <f>(((AF169+AG169)/2)*(AC169/100)*AB169)/C169</f>
        <v>12.764230769230769</v>
      </c>
    </row>
    <row r="170" spans="1:34" x14ac:dyDescent="0.35">
      <c r="A170" s="3" t="s">
        <v>130</v>
      </c>
      <c r="B170" s="3" t="s">
        <v>25</v>
      </c>
      <c r="C170" s="3">
        <v>26</v>
      </c>
      <c r="D170" s="3">
        <v>0.106</v>
      </c>
      <c r="E170" s="3">
        <v>0.13900000000000001</v>
      </c>
      <c r="F170" s="3">
        <v>0.121</v>
      </c>
      <c r="G170" s="3">
        <v>66</v>
      </c>
      <c r="H170" s="3">
        <v>7</v>
      </c>
      <c r="I170" s="3">
        <v>1</v>
      </c>
      <c r="J170" s="3">
        <v>0</v>
      </c>
      <c r="K170" s="3">
        <v>0</v>
      </c>
      <c r="L170" s="3">
        <v>7</v>
      </c>
      <c r="M170" s="3">
        <v>8</v>
      </c>
      <c r="N170" s="3">
        <v>0</v>
      </c>
      <c r="O170" s="3">
        <v>3</v>
      </c>
      <c r="P170" s="3">
        <v>16</v>
      </c>
      <c r="Q170" s="3">
        <v>2</v>
      </c>
      <c r="R170" s="3">
        <v>0</v>
      </c>
      <c r="S170" s="6">
        <f>AH170/10</f>
        <v>1.2759615384615386</v>
      </c>
      <c r="T170" s="3">
        <v>40</v>
      </c>
      <c r="U170" s="4">
        <f>(S170*2)+T170</f>
        <v>42.551923076923075</v>
      </c>
      <c r="V170" s="4">
        <f>S170+T170</f>
        <v>41.275961538461537</v>
      </c>
      <c r="W170" s="3"/>
      <c r="X170" s="3"/>
      <c r="Y170" s="3"/>
      <c r="Z170" s="3"/>
      <c r="AA170" s="3"/>
      <c r="AB170" s="3">
        <f>_xlfn.IFS(B170="c", 8, B170="ss", 10, B170="cf", 8,  B170="2b", 8, B170="3b", 6, B170="rf", 4, B170="lf", 2, B170="1b", 2, B170 ="dh", 1)</f>
        <v>10</v>
      </c>
      <c r="AC170" s="3">
        <f>(G170+N170+O170)</f>
        <v>69</v>
      </c>
      <c r="AD170" s="5">
        <f>P170/AC170</f>
        <v>0.2318840579710145</v>
      </c>
      <c r="AE170" s="5">
        <f>(N170+O170)/AC170</f>
        <v>4.3478260869565216E-2</v>
      </c>
      <c r="AF170" s="4">
        <f>100-((AD170-AE170)*100)</f>
        <v>81.159420289855063</v>
      </c>
      <c r="AG170" s="3">
        <f>(F170-D170)*1000</f>
        <v>15</v>
      </c>
      <c r="AH170" s="3">
        <f>(((AF170+AG170)/2)*(AC170/100)*AB170)/C170</f>
        <v>12.759615384615385</v>
      </c>
    </row>
    <row r="171" spans="1:34" x14ac:dyDescent="0.35">
      <c r="A171" s="3" t="s">
        <v>46</v>
      </c>
      <c r="B171" s="3" t="s">
        <v>47</v>
      </c>
      <c r="C171" s="3">
        <v>22</v>
      </c>
      <c r="D171" s="3">
        <v>0.21199999999999999</v>
      </c>
      <c r="E171" s="3">
        <v>0.313</v>
      </c>
      <c r="F171" s="3">
        <v>0.27800000000000002</v>
      </c>
      <c r="G171" s="3">
        <v>151</v>
      </c>
      <c r="H171" s="3">
        <v>32</v>
      </c>
      <c r="I171" s="3">
        <v>4</v>
      </c>
      <c r="J171" s="3">
        <v>0</v>
      </c>
      <c r="K171" s="3">
        <v>2</v>
      </c>
      <c r="L171" s="3">
        <v>12</v>
      </c>
      <c r="M171" s="3">
        <v>15</v>
      </c>
      <c r="N171" s="3">
        <v>2</v>
      </c>
      <c r="O171" s="3">
        <v>21</v>
      </c>
      <c r="P171" s="3">
        <v>34</v>
      </c>
      <c r="Q171" s="3">
        <v>5</v>
      </c>
      <c r="R171" s="3">
        <v>4</v>
      </c>
      <c r="S171" s="6">
        <f>AH171/10</f>
        <v>1.262909090909091</v>
      </c>
      <c r="T171" s="3">
        <v>40</v>
      </c>
      <c r="U171" s="4">
        <f>(S171*2)+T171</f>
        <v>42.525818181818181</v>
      </c>
      <c r="V171" s="4">
        <f>S171+T171</f>
        <v>41.262909090909091</v>
      </c>
      <c r="W171" s="3"/>
      <c r="X171" s="3"/>
      <c r="Y171" s="3"/>
      <c r="Z171" s="3"/>
      <c r="AA171" s="3"/>
      <c r="AB171" s="3">
        <f>_xlfn.IFS(B171="c", 8, B171="ss", 10, B171="cf", 8,  B171="2b", 8, B171="3b", 6, B171="rf", 4, B171="lf", 2, B171="1b", 2, B171 ="dh", 1)</f>
        <v>2</v>
      </c>
      <c r="AC171" s="3">
        <f>(G171+N171+O171)</f>
        <v>174</v>
      </c>
      <c r="AD171" s="5">
        <f>P171/AC171</f>
        <v>0.19540229885057472</v>
      </c>
      <c r="AE171" s="5">
        <f>(N171+O171)/AC171</f>
        <v>0.13218390804597702</v>
      </c>
      <c r="AF171" s="4">
        <f>100-((AD171-AE171)*100)</f>
        <v>93.678160919540232</v>
      </c>
      <c r="AG171" s="3">
        <f>(F171-D171)*1000</f>
        <v>66.000000000000028</v>
      </c>
      <c r="AH171" s="3">
        <f>(((AF171+AG171)/2)*(AC171/100)*AB171)/C171</f>
        <v>12.629090909090911</v>
      </c>
    </row>
    <row r="172" spans="1:34" x14ac:dyDescent="0.35">
      <c r="A172" s="3" t="s">
        <v>200</v>
      </c>
      <c r="B172" s="3" t="s">
        <v>47</v>
      </c>
      <c r="C172" s="3">
        <v>27</v>
      </c>
      <c r="D172" s="3">
        <v>0.19600000000000001</v>
      </c>
      <c r="E172" s="3">
        <v>0.28299999999999997</v>
      </c>
      <c r="F172" s="3">
        <v>0.307</v>
      </c>
      <c r="G172" s="3">
        <v>153</v>
      </c>
      <c r="H172" s="3">
        <v>30</v>
      </c>
      <c r="I172" s="3">
        <v>5</v>
      </c>
      <c r="J172" s="3">
        <v>0</v>
      </c>
      <c r="K172" s="3">
        <v>4</v>
      </c>
      <c r="L172" s="3">
        <v>18</v>
      </c>
      <c r="M172" s="3">
        <v>14</v>
      </c>
      <c r="N172" s="3">
        <v>1</v>
      </c>
      <c r="O172" s="3">
        <v>18</v>
      </c>
      <c r="P172" s="3">
        <v>46</v>
      </c>
      <c r="Q172" s="3">
        <v>7</v>
      </c>
      <c r="R172" s="3">
        <v>2</v>
      </c>
      <c r="S172" s="6">
        <f>AH172/10</f>
        <v>1.244148148148148</v>
      </c>
      <c r="T172" s="3">
        <v>40</v>
      </c>
      <c r="U172" s="4">
        <f>(S172*2)+T172</f>
        <v>42.488296296296298</v>
      </c>
      <c r="V172" s="4">
        <f>S172+T172</f>
        <v>41.244148148148149</v>
      </c>
      <c r="W172" s="3"/>
      <c r="X172" s="3"/>
      <c r="Y172" s="3"/>
      <c r="Z172" s="3"/>
      <c r="AA172" s="3"/>
      <c r="AB172" s="3">
        <f>_xlfn.IFS(B172="c", 8, B172="ss", 10, B172="cf", 8,  B172="2b", 8, B172="3b", 6, B172="rf", 4, B172="lf", 2, B172="1b", 2, B172 ="dh", 1)</f>
        <v>2</v>
      </c>
      <c r="AC172" s="3">
        <f>(G172+N172+O172)</f>
        <v>172</v>
      </c>
      <c r="AD172" s="5">
        <f>P172/AC172</f>
        <v>0.26744186046511625</v>
      </c>
      <c r="AE172" s="5">
        <f>(N172+O172)/AC172</f>
        <v>0.11046511627906977</v>
      </c>
      <c r="AF172" s="4">
        <f>100-((AD172-AE172)*100)</f>
        <v>84.302325581395351</v>
      </c>
      <c r="AG172" s="3">
        <f>(F172-D172)*1000</f>
        <v>110.99999999999999</v>
      </c>
      <c r="AH172" s="3">
        <f>(((AF172+AG172)/2)*(AC172/100)*AB172)/C172</f>
        <v>12.44148148148148</v>
      </c>
    </row>
    <row r="173" spans="1:34" x14ac:dyDescent="0.35">
      <c r="A173" s="3" t="s">
        <v>289</v>
      </c>
      <c r="B173" s="3" t="s">
        <v>30</v>
      </c>
      <c r="C173" s="3">
        <v>30</v>
      </c>
      <c r="D173" s="3">
        <v>0.14299999999999999</v>
      </c>
      <c r="E173" s="3">
        <v>0.25</v>
      </c>
      <c r="F173" s="3">
        <v>0.16900000000000001</v>
      </c>
      <c r="G173" s="3">
        <v>77</v>
      </c>
      <c r="H173" s="3">
        <v>11</v>
      </c>
      <c r="I173" s="3">
        <v>2</v>
      </c>
      <c r="J173" s="3">
        <v>0</v>
      </c>
      <c r="K173" s="3">
        <v>0</v>
      </c>
      <c r="L173" s="3">
        <v>19</v>
      </c>
      <c r="M173" s="3">
        <v>1</v>
      </c>
      <c r="N173" s="3">
        <v>0</v>
      </c>
      <c r="O173" s="3">
        <v>11</v>
      </c>
      <c r="P173" s="3">
        <v>29</v>
      </c>
      <c r="Q173" s="3">
        <v>3</v>
      </c>
      <c r="R173" s="3">
        <v>1</v>
      </c>
      <c r="S173" s="6">
        <f>AH173/10</f>
        <v>1.2384000000000002</v>
      </c>
      <c r="T173" s="3">
        <v>40</v>
      </c>
      <c r="U173" s="4">
        <f>(S173*2)+T173</f>
        <v>42.476799999999997</v>
      </c>
      <c r="V173" s="4">
        <f>S173+T173</f>
        <v>41.238399999999999</v>
      </c>
      <c r="W173" s="3"/>
      <c r="X173" s="3"/>
      <c r="Y173" s="3"/>
      <c r="Z173" s="3"/>
      <c r="AA173" s="3"/>
      <c r="AB173" s="3">
        <f>_xlfn.IFS(B173="c", 8, B173="ss", 10, B173="cf", 8,  B173="2b", 8, B173="3b", 6, B173="rf", 4, B173="lf", 2, B173="1b", 2, B173 ="dh", 1)</f>
        <v>8</v>
      </c>
      <c r="AC173" s="3">
        <f>(G173+N173+O173)</f>
        <v>88</v>
      </c>
      <c r="AD173" s="5">
        <f>P173/AC173</f>
        <v>0.32954545454545453</v>
      </c>
      <c r="AE173" s="5">
        <f>(N173+O173)/AC173</f>
        <v>0.125</v>
      </c>
      <c r="AF173" s="4">
        <f>100-((AD173-AE173)*100)</f>
        <v>79.545454545454547</v>
      </c>
      <c r="AG173" s="3">
        <f>(F173-D173)*1000</f>
        <v>26.000000000000021</v>
      </c>
      <c r="AH173" s="3">
        <f>(((AF173+AG173)/2)*(AC173/100)*AB173)/C173</f>
        <v>12.384000000000002</v>
      </c>
    </row>
    <row r="174" spans="1:34" x14ac:dyDescent="0.35">
      <c r="A174" s="3" t="s">
        <v>172</v>
      </c>
      <c r="B174" s="3" t="s">
        <v>25</v>
      </c>
      <c r="C174" s="3">
        <v>27</v>
      </c>
      <c r="D174" s="3">
        <v>0.13800000000000001</v>
      </c>
      <c r="E174" s="3">
        <v>0.19400000000000001</v>
      </c>
      <c r="F174" s="3">
        <v>0.27600000000000002</v>
      </c>
      <c r="G174" s="3">
        <v>29</v>
      </c>
      <c r="H174" s="3">
        <v>4</v>
      </c>
      <c r="I174" s="3">
        <v>1</v>
      </c>
      <c r="J174" s="3">
        <v>0</v>
      </c>
      <c r="K174" s="3">
        <v>1</v>
      </c>
      <c r="L174" s="3">
        <v>4</v>
      </c>
      <c r="M174" s="3">
        <v>3</v>
      </c>
      <c r="N174" s="3">
        <v>1</v>
      </c>
      <c r="O174" s="3">
        <v>1</v>
      </c>
      <c r="P174" s="3">
        <v>9</v>
      </c>
      <c r="Q174" s="3">
        <v>0</v>
      </c>
      <c r="R174" s="3">
        <v>0</v>
      </c>
      <c r="S174" s="6">
        <f>AH174/10</f>
        <v>1.2366666666666666</v>
      </c>
      <c r="T174" s="3">
        <v>40</v>
      </c>
      <c r="U174" s="4">
        <f>(S174*2)+T174</f>
        <v>42.473333333333336</v>
      </c>
      <c r="V174" s="4">
        <f>S174+T174</f>
        <v>41.236666666666665</v>
      </c>
      <c r="W174" s="3"/>
      <c r="X174" s="3"/>
      <c r="Y174" s="3"/>
      <c r="Z174" s="3"/>
      <c r="AA174" s="3"/>
      <c r="AB174" s="3">
        <f>_xlfn.IFS(B174="c", 8, B174="ss", 10, B174="cf", 8,  B174="2b", 8, B174="3b", 6, B174="rf", 4, B174="lf", 2, B174="1b", 2, B174 ="dh", 1)</f>
        <v>10</v>
      </c>
      <c r="AC174" s="3">
        <f>(G174+N174+O174)</f>
        <v>31</v>
      </c>
      <c r="AD174" s="5">
        <f>P174/AC174</f>
        <v>0.29032258064516131</v>
      </c>
      <c r="AE174" s="5">
        <f>(N174+O174)/AC174</f>
        <v>6.4516129032258063E-2</v>
      </c>
      <c r="AF174" s="4">
        <f>100-((AD174-AE174)*100)</f>
        <v>77.41935483870968</v>
      </c>
      <c r="AG174" s="3">
        <f>(F174-D174)*1000</f>
        <v>138</v>
      </c>
      <c r="AH174" s="3">
        <f>(((AF174+AG174)/2)*(AC174/100)*AB174)/C174</f>
        <v>12.366666666666665</v>
      </c>
    </row>
    <row r="175" spans="1:34" x14ac:dyDescent="0.35">
      <c r="A175" s="3" t="s">
        <v>254</v>
      </c>
      <c r="B175" s="3" t="s">
        <v>32</v>
      </c>
      <c r="C175" s="3">
        <v>29</v>
      </c>
      <c r="D175" s="3">
        <v>0.17</v>
      </c>
      <c r="E175" s="3">
        <v>0.248</v>
      </c>
      <c r="F175" s="3">
        <v>0.188</v>
      </c>
      <c r="G175" s="3">
        <v>112</v>
      </c>
      <c r="H175" s="3">
        <v>19</v>
      </c>
      <c r="I175" s="3">
        <v>2</v>
      </c>
      <c r="J175" s="3">
        <v>0</v>
      </c>
      <c r="K175" s="3">
        <v>0</v>
      </c>
      <c r="L175" s="3">
        <v>7</v>
      </c>
      <c r="M175" s="3">
        <v>5</v>
      </c>
      <c r="N175" s="3">
        <v>1</v>
      </c>
      <c r="O175" s="3">
        <v>11</v>
      </c>
      <c r="P175" s="3">
        <v>39</v>
      </c>
      <c r="Q175" s="3">
        <v>0</v>
      </c>
      <c r="R175" s="3">
        <v>0</v>
      </c>
      <c r="S175" s="6">
        <f>AH175/10</f>
        <v>1.2343448275862066</v>
      </c>
      <c r="T175" s="3">
        <v>40</v>
      </c>
      <c r="U175" s="4">
        <f>(S175*2)+T175</f>
        <v>42.468689655172412</v>
      </c>
      <c r="V175" s="4">
        <f>S175+T175</f>
        <v>41.234344827586206</v>
      </c>
      <c r="W175" s="3"/>
      <c r="X175" s="3"/>
      <c r="Y175" s="3"/>
      <c r="Z175" s="3"/>
      <c r="AA175" s="3"/>
      <c r="AB175" s="3">
        <f>_xlfn.IFS(B175="c", 8, B175="ss", 10, B175="cf", 8,  B175="2b", 8, B175="3b", 6, B175="rf", 4, B175="lf", 2, B175="1b", 2, B175 ="dh", 1)</f>
        <v>6</v>
      </c>
      <c r="AC175" s="3">
        <f>(G175+N175+O175)</f>
        <v>124</v>
      </c>
      <c r="AD175" s="5">
        <f>P175/AC175</f>
        <v>0.31451612903225806</v>
      </c>
      <c r="AE175" s="5">
        <f>(N175+O175)/AC175</f>
        <v>9.6774193548387094E-2</v>
      </c>
      <c r="AF175" s="4">
        <f>100-((AD175-AE175)*100)</f>
        <v>78.225806451612897</v>
      </c>
      <c r="AG175" s="3">
        <f>(F175-D175)*1000</f>
        <v>17.999999999999989</v>
      </c>
      <c r="AH175" s="3">
        <f>(((AF175+AG175)/2)*(AC175/100)*AB175)/C175</f>
        <v>12.343448275862066</v>
      </c>
    </row>
    <row r="176" spans="1:34" x14ac:dyDescent="0.35">
      <c r="A176" s="3" t="s">
        <v>328</v>
      </c>
      <c r="B176" s="3" t="s">
        <v>30</v>
      </c>
      <c r="C176" s="3">
        <v>32</v>
      </c>
      <c r="D176" s="3">
        <v>0.20499999999999999</v>
      </c>
      <c r="E176" s="3">
        <v>0.25800000000000001</v>
      </c>
      <c r="F176" s="3">
        <v>0.24099999999999999</v>
      </c>
      <c r="G176" s="3">
        <v>83</v>
      </c>
      <c r="H176" s="3">
        <v>17</v>
      </c>
      <c r="I176" s="3">
        <v>3</v>
      </c>
      <c r="J176" s="3">
        <v>0</v>
      </c>
      <c r="K176" s="3">
        <v>0</v>
      </c>
      <c r="L176" s="3">
        <v>8</v>
      </c>
      <c r="M176" s="3">
        <v>3</v>
      </c>
      <c r="N176" s="3">
        <v>3</v>
      </c>
      <c r="O176" s="3">
        <v>3</v>
      </c>
      <c r="P176" s="3">
        <v>29</v>
      </c>
      <c r="Q176" s="3">
        <v>1</v>
      </c>
      <c r="R176" s="3">
        <v>1</v>
      </c>
      <c r="S176" s="6">
        <f>AH176/10</f>
        <v>1.2254999999999998</v>
      </c>
      <c r="T176" s="3">
        <v>40</v>
      </c>
      <c r="U176" s="4">
        <f>(S176*2)+T176</f>
        <v>42.451000000000001</v>
      </c>
      <c r="V176" s="4">
        <f>S176+T176</f>
        <v>41.225499999999997</v>
      </c>
      <c r="W176" s="3"/>
      <c r="X176" s="3"/>
      <c r="Y176" s="3"/>
      <c r="Z176" s="3"/>
      <c r="AA176" s="3"/>
      <c r="AB176" s="3">
        <f>_xlfn.IFS(B176="c", 8, B176="ss", 10, B176="cf", 8,  B176="2b", 8, B176="3b", 6, B176="rf", 4, B176="lf", 2, B176="1b", 2, B176 ="dh", 1)</f>
        <v>8</v>
      </c>
      <c r="AC176" s="3">
        <f>(G176+N176+O176)</f>
        <v>89</v>
      </c>
      <c r="AD176" s="5">
        <f>P176/AC176</f>
        <v>0.3258426966292135</v>
      </c>
      <c r="AE176" s="5">
        <f>(N176+O176)/AC176</f>
        <v>6.741573033707865E-2</v>
      </c>
      <c r="AF176" s="4">
        <f>100-((AD176-AE176)*100)</f>
        <v>74.157303370786508</v>
      </c>
      <c r="AG176" s="3">
        <f>(F176-D176)*1000</f>
        <v>36.000000000000007</v>
      </c>
      <c r="AH176" s="3">
        <f>(((AF176+AG176)/2)*(AC176/100)*AB176)/C176</f>
        <v>12.254999999999999</v>
      </c>
    </row>
    <row r="177" spans="1:34" x14ac:dyDescent="0.35">
      <c r="A177" s="3" t="s">
        <v>168</v>
      </c>
      <c r="B177" s="3" t="s">
        <v>22</v>
      </c>
      <c r="C177" s="3">
        <v>26</v>
      </c>
      <c r="D177" s="3">
        <v>0.23599999999999999</v>
      </c>
      <c r="E177" s="3">
        <v>0.27900000000000003</v>
      </c>
      <c r="F177" s="3">
        <v>0.436</v>
      </c>
      <c r="G177" s="3">
        <v>55</v>
      </c>
      <c r="H177" s="3">
        <v>13</v>
      </c>
      <c r="I177" s="3">
        <v>2</v>
      </c>
      <c r="J177" s="3">
        <v>0</v>
      </c>
      <c r="K177" s="3">
        <v>3</v>
      </c>
      <c r="L177" s="3">
        <v>7</v>
      </c>
      <c r="M177" s="3">
        <v>12</v>
      </c>
      <c r="N177" s="3">
        <v>2</v>
      </c>
      <c r="O177" s="3">
        <v>2</v>
      </c>
      <c r="P177" s="3">
        <v>23</v>
      </c>
      <c r="Q177" s="3">
        <v>0</v>
      </c>
      <c r="R177" s="3">
        <v>0</v>
      </c>
      <c r="S177" s="6">
        <f>AH177/10</f>
        <v>1.2153846153846151</v>
      </c>
      <c r="T177" s="3">
        <v>40</v>
      </c>
      <c r="U177" s="4">
        <f>(S177*2)+T177</f>
        <v>42.430769230769229</v>
      </c>
      <c r="V177" s="4">
        <f>S177+T177</f>
        <v>41.215384615384615</v>
      </c>
      <c r="W177" s="3"/>
      <c r="X177" s="3"/>
      <c r="Y177" s="3"/>
      <c r="Z177" s="3"/>
      <c r="AA177" s="3"/>
      <c r="AB177" s="3">
        <f>_xlfn.IFS(B177="c", 8, B177="ss", 10, B177="cf", 8,  B177="2b", 8, B177="3b", 6, B177="rf", 4, B177="lf", 2, B177="1b", 2, B177 ="dh", 1)</f>
        <v>4</v>
      </c>
      <c r="AC177" s="3">
        <f>(G177+N177+O177)</f>
        <v>59</v>
      </c>
      <c r="AD177" s="5">
        <f>P177/AC177</f>
        <v>0.38983050847457629</v>
      </c>
      <c r="AE177" s="5">
        <f>(N177+O177)/AC177</f>
        <v>6.7796610169491525E-2</v>
      </c>
      <c r="AF177" s="4">
        <f>100-((AD177-AE177)*100)</f>
        <v>67.796610169491515</v>
      </c>
      <c r="AG177" s="3">
        <f>(F177-D177)*1000</f>
        <v>200</v>
      </c>
      <c r="AH177" s="3">
        <f>(((AF177+AG177)/2)*(AC177/100)*AB177)/C177</f>
        <v>12.153846153846152</v>
      </c>
    </row>
    <row r="178" spans="1:34" x14ac:dyDescent="0.35">
      <c r="A178" s="3" t="s">
        <v>169</v>
      </c>
      <c r="B178" s="3" t="s">
        <v>32</v>
      </c>
      <c r="C178" s="3">
        <v>26</v>
      </c>
      <c r="D178" s="3">
        <v>0.192</v>
      </c>
      <c r="E178" s="3">
        <v>0.26700000000000002</v>
      </c>
      <c r="F178" s="3">
        <v>0.24399999999999999</v>
      </c>
      <c r="G178" s="3">
        <v>78</v>
      </c>
      <c r="H178" s="3">
        <v>15</v>
      </c>
      <c r="I178" s="3">
        <v>4</v>
      </c>
      <c r="J178" s="3">
        <v>0</v>
      </c>
      <c r="K178" s="3">
        <v>0</v>
      </c>
      <c r="L178" s="3">
        <v>7</v>
      </c>
      <c r="M178" s="3">
        <v>2</v>
      </c>
      <c r="N178" s="3">
        <v>1</v>
      </c>
      <c r="O178" s="3">
        <v>7</v>
      </c>
      <c r="P178" s="3">
        <v>34</v>
      </c>
      <c r="Q178" s="3">
        <v>2</v>
      </c>
      <c r="R178" s="3">
        <v>0</v>
      </c>
      <c r="S178" s="6">
        <f>AH178/10</f>
        <v>1.2083076923076921</v>
      </c>
      <c r="T178" s="3">
        <v>40</v>
      </c>
      <c r="U178" s="4">
        <f>(S178*2)+T178</f>
        <v>42.416615384615383</v>
      </c>
      <c r="V178" s="4">
        <f>S178+T178</f>
        <v>41.208307692307692</v>
      </c>
      <c r="W178" s="3"/>
      <c r="X178" s="3"/>
      <c r="Y178" s="3"/>
      <c r="Z178" s="3"/>
      <c r="AA178" s="3"/>
      <c r="AB178" s="3">
        <f>_xlfn.IFS(B178="c", 8, B178="ss", 10, B178="cf", 8,  B178="2b", 8, B178="3b", 6, B178="rf", 4, B178="lf", 2, B178="1b", 2, B178 ="dh", 1)</f>
        <v>6</v>
      </c>
      <c r="AC178" s="3">
        <f>(G178+N178+O178)</f>
        <v>86</v>
      </c>
      <c r="AD178" s="5">
        <f>P178/AC178</f>
        <v>0.39534883720930231</v>
      </c>
      <c r="AE178" s="5">
        <f>(N178+O178)/AC178</f>
        <v>9.3023255813953487E-2</v>
      </c>
      <c r="AF178" s="4">
        <f>100-((AD178-AE178)*100)</f>
        <v>69.767441860465112</v>
      </c>
      <c r="AG178" s="3">
        <f>(F178-D178)*1000</f>
        <v>51.999999999999993</v>
      </c>
      <c r="AH178" s="3">
        <f>(((AF178+AG178)/2)*(AC178/100)*AB178)/C178</f>
        <v>12.083076923076922</v>
      </c>
    </row>
    <row r="179" spans="1:34" x14ac:dyDescent="0.35">
      <c r="A179" s="3" t="s">
        <v>312</v>
      </c>
      <c r="B179" s="3" t="s">
        <v>47</v>
      </c>
      <c r="C179" s="3">
        <v>31</v>
      </c>
      <c r="D179" s="3">
        <v>0.253</v>
      </c>
      <c r="E179" s="3">
        <v>0.32800000000000001</v>
      </c>
      <c r="F179" s="3">
        <v>0.37</v>
      </c>
      <c r="G179" s="3">
        <v>162</v>
      </c>
      <c r="H179" s="3">
        <v>41</v>
      </c>
      <c r="I179" s="3">
        <v>7</v>
      </c>
      <c r="J179" s="3">
        <v>3</v>
      </c>
      <c r="K179" s="3">
        <v>2</v>
      </c>
      <c r="L179" s="3">
        <v>31</v>
      </c>
      <c r="M179" s="3">
        <v>13</v>
      </c>
      <c r="N179" s="3">
        <v>2</v>
      </c>
      <c r="O179" s="3">
        <v>16</v>
      </c>
      <c r="P179" s="3">
        <v>37</v>
      </c>
      <c r="Q179" s="3">
        <v>12</v>
      </c>
      <c r="R179" s="3">
        <v>4</v>
      </c>
      <c r="S179" s="6">
        <f>AH179/10</f>
        <v>1.1987096774193549</v>
      </c>
      <c r="T179" s="3">
        <v>40</v>
      </c>
      <c r="U179" s="4">
        <f>(S179*2)+T179</f>
        <v>42.397419354838711</v>
      </c>
      <c r="V179" s="4">
        <f>S179+T179</f>
        <v>41.198709677419352</v>
      </c>
      <c r="W179" s="3"/>
      <c r="X179" s="3"/>
      <c r="Y179" s="3"/>
      <c r="Z179" s="3"/>
      <c r="AA179" s="3"/>
      <c r="AB179" s="3">
        <f>_xlfn.IFS(B179="c", 8, B179="ss", 10, B179="cf", 8,  B179="2b", 8, B179="3b", 6, B179="rf", 4, B179="lf", 2, B179="1b", 2, B179 ="dh", 1)</f>
        <v>2</v>
      </c>
      <c r="AC179" s="3">
        <f>(G179+N179+O179)</f>
        <v>180</v>
      </c>
      <c r="AD179" s="5">
        <f>P179/AC179</f>
        <v>0.20555555555555555</v>
      </c>
      <c r="AE179" s="5">
        <f>(N179+O179)/AC179</f>
        <v>0.1</v>
      </c>
      <c r="AF179" s="4">
        <f>100-((AD179-AE179)*100)</f>
        <v>89.444444444444443</v>
      </c>
      <c r="AG179" s="3">
        <f>(F179-D179)*1000</f>
        <v>117</v>
      </c>
      <c r="AH179" s="3">
        <f>(((AF179+AG179)/2)*(AC179/100)*AB179)/C179</f>
        <v>11.987096774193549</v>
      </c>
    </row>
    <row r="180" spans="1:34" x14ac:dyDescent="0.35">
      <c r="A180" s="3" t="s">
        <v>353</v>
      </c>
      <c r="B180" s="3" t="s">
        <v>18</v>
      </c>
      <c r="C180" s="3">
        <v>34</v>
      </c>
      <c r="D180" s="3">
        <v>0.24399999999999999</v>
      </c>
      <c r="E180" s="3">
        <v>0.34599999999999997</v>
      </c>
      <c r="F180" s="3">
        <v>0.35599999999999998</v>
      </c>
      <c r="G180" s="3">
        <v>45</v>
      </c>
      <c r="H180" s="3">
        <v>11</v>
      </c>
      <c r="I180" s="3">
        <v>2</v>
      </c>
      <c r="J180" s="3">
        <v>0</v>
      </c>
      <c r="K180" s="3">
        <v>1</v>
      </c>
      <c r="L180" s="3">
        <v>6</v>
      </c>
      <c r="M180" s="3">
        <v>6</v>
      </c>
      <c r="N180" s="3">
        <v>0</v>
      </c>
      <c r="O180" s="3">
        <v>7</v>
      </c>
      <c r="P180" s="3">
        <v>16</v>
      </c>
      <c r="Q180" s="3">
        <v>1</v>
      </c>
      <c r="R180" s="3">
        <v>0</v>
      </c>
      <c r="S180" s="6">
        <f>AH180/10</f>
        <v>1.1910588235294117</v>
      </c>
      <c r="T180" s="3">
        <v>40</v>
      </c>
      <c r="U180" s="4">
        <f>(S180*2)+T180</f>
        <v>42.38211764705882</v>
      </c>
      <c r="V180" s="4">
        <f>S180+T180</f>
        <v>41.19105882352941</v>
      </c>
      <c r="W180" s="3"/>
      <c r="X180" s="3"/>
      <c r="Y180" s="3"/>
      <c r="Z180" s="3"/>
      <c r="AA180" s="3"/>
      <c r="AB180" s="3">
        <f>_xlfn.IFS(B180="c", 8, B180="ss", 10, B180="cf", 8,  B180="2b", 8, B180="3b", 6, B180="rf", 4, B180="lf", 2, B180="1b", 2, B180 ="dh", 1)</f>
        <v>8</v>
      </c>
      <c r="AC180" s="3">
        <f>(G180+N180+O180)</f>
        <v>52</v>
      </c>
      <c r="AD180" s="5">
        <f>P180/AC180</f>
        <v>0.30769230769230771</v>
      </c>
      <c r="AE180" s="5">
        <f>(N180+O180)/AC180</f>
        <v>0.13461538461538461</v>
      </c>
      <c r="AF180" s="4">
        <f>100-((AD180-AE180)*100)</f>
        <v>82.692307692307693</v>
      </c>
      <c r="AG180" s="3">
        <f>(F180-D180)*1000</f>
        <v>111.99999999999999</v>
      </c>
      <c r="AH180" s="3">
        <f>(((AF180+AG180)/2)*(AC180/100)*AB180)/C180</f>
        <v>11.910588235294117</v>
      </c>
    </row>
    <row r="181" spans="1:34" x14ac:dyDescent="0.35">
      <c r="A181" s="3" t="s">
        <v>122</v>
      </c>
      <c r="B181" s="3" t="s">
        <v>47</v>
      </c>
      <c r="C181" s="3">
        <v>25</v>
      </c>
      <c r="D181" s="3">
        <v>0.191</v>
      </c>
      <c r="E181" s="3">
        <v>0.26100000000000001</v>
      </c>
      <c r="F181" s="3">
        <v>0.29399999999999998</v>
      </c>
      <c r="G181" s="3">
        <v>136</v>
      </c>
      <c r="H181" s="3">
        <v>26</v>
      </c>
      <c r="I181" s="3">
        <v>6</v>
      </c>
      <c r="J181" s="3">
        <v>1</v>
      </c>
      <c r="K181" s="3">
        <v>2</v>
      </c>
      <c r="L181" s="3">
        <v>17</v>
      </c>
      <c r="M181" s="3">
        <v>9</v>
      </c>
      <c r="N181" s="3">
        <v>6</v>
      </c>
      <c r="O181" s="3">
        <v>8</v>
      </c>
      <c r="P181" s="3">
        <v>37</v>
      </c>
      <c r="Q181" s="3">
        <v>1</v>
      </c>
      <c r="R181" s="3">
        <v>1</v>
      </c>
      <c r="S181" s="6">
        <f>AH181/10</f>
        <v>1.1259999999999999</v>
      </c>
      <c r="T181" s="3">
        <v>50</v>
      </c>
      <c r="U181" s="4">
        <f>(S181*2)+T181</f>
        <v>52.252000000000002</v>
      </c>
      <c r="V181" s="4">
        <f>S181+T181</f>
        <v>51.125999999999998</v>
      </c>
      <c r="W181" s="3"/>
      <c r="X181" s="3"/>
      <c r="Y181" s="3"/>
      <c r="Z181" s="3"/>
      <c r="AA181" s="3"/>
      <c r="AB181" s="3">
        <f>_xlfn.IFS(B181="c", 8, B181="ss", 10, B181="cf", 8,  B181="2b", 8, B181="3b", 6, B181="rf", 4, B181="lf", 2, B181="1b", 2, B181 ="dh", 1)</f>
        <v>2</v>
      </c>
      <c r="AC181" s="3">
        <f>(G181+N181+O181)</f>
        <v>150</v>
      </c>
      <c r="AD181" s="5">
        <f>P181/AC181</f>
        <v>0.24666666666666667</v>
      </c>
      <c r="AE181" s="5">
        <f>(N181+O181)/AC181</f>
        <v>9.3333333333333338E-2</v>
      </c>
      <c r="AF181" s="4">
        <f>100-((AD181-AE181)*100)</f>
        <v>84.666666666666671</v>
      </c>
      <c r="AG181" s="3">
        <f>(F181-D181)*1000</f>
        <v>102.99999999999999</v>
      </c>
      <c r="AH181" s="3">
        <f>(((AF181+AG181)/2)*(AC181/100)*AB181)/C181</f>
        <v>11.26</v>
      </c>
    </row>
    <row r="182" spans="1:34" x14ac:dyDescent="0.35">
      <c r="A182" s="3" t="s">
        <v>220</v>
      </c>
      <c r="B182" s="3" t="s">
        <v>22</v>
      </c>
      <c r="C182" s="3">
        <v>28</v>
      </c>
      <c r="D182" s="3">
        <v>0.29599999999999999</v>
      </c>
      <c r="E182" s="3">
        <v>0.34799999999999998</v>
      </c>
      <c r="F182" s="3">
        <v>0.38300000000000001</v>
      </c>
      <c r="G182" s="3">
        <v>81</v>
      </c>
      <c r="H182" s="3">
        <v>24</v>
      </c>
      <c r="I182" s="3">
        <v>4</v>
      </c>
      <c r="J182" s="3">
        <v>0</v>
      </c>
      <c r="K182" s="3">
        <v>1</v>
      </c>
      <c r="L182" s="3">
        <v>16</v>
      </c>
      <c r="M182" s="3">
        <v>4</v>
      </c>
      <c r="N182" s="3">
        <v>1</v>
      </c>
      <c r="O182" s="3">
        <v>6</v>
      </c>
      <c r="P182" s="3">
        <v>19</v>
      </c>
      <c r="Q182" s="3">
        <v>9</v>
      </c>
      <c r="R182" s="3">
        <v>2</v>
      </c>
      <c r="S182" s="6">
        <f>AH182/10</f>
        <v>1.0897142857142856</v>
      </c>
      <c r="T182" s="3">
        <v>40</v>
      </c>
      <c r="U182" s="4">
        <f>(S182*2)+T182</f>
        <v>42.179428571428573</v>
      </c>
      <c r="V182" s="4">
        <f>S182+T182</f>
        <v>41.089714285714287</v>
      </c>
      <c r="W182" s="3"/>
      <c r="X182" s="3"/>
      <c r="Y182" s="3"/>
      <c r="Z182" s="3"/>
      <c r="AA182" s="3"/>
      <c r="AB182" s="3">
        <f>_xlfn.IFS(B182="c", 8, B182="ss", 10, B182="cf", 8,  B182="2b", 8, B182="3b", 6, B182="rf", 4, B182="lf", 2, B182="1b", 2, B182 ="dh", 1)</f>
        <v>4</v>
      </c>
      <c r="AC182" s="3">
        <f>(G182+N182+O182)</f>
        <v>88</v>
      </c>
      <c r="AD182" s="5">
        <f>P182/AC182</f>
        <v>0.21590909090909091</v>
      </c>
      <c r="AE182" s="5">
        <f>(N182+O182)/AC182</f>
        <v>7.9545454545454544E-2</v>
      </c>
      <c r="AF182" s="4">
        <f>100-((AD182-AE182)*100)</f>
        <v>86.36363636363636</v>
      </c>
      <c r="AG182" s="3">
        <f>(F182-D182)*1000</f>
        <v>87.000000000000028</v>
      </c>
      <c r="AH182" s="3">
        <f>(((AF182+AG182)/2)*(AC182/100)*AB182)/C182</f>
        <v>10.897142857142857</v>
      </c>
    </row>
    <row r="183" spans="1:34" x14ac:dyDescent="0.35">
      <c r="A183" s="3" t="s">
        <v>114</v>
      </c>
      <c r="B183" s="3" t="s">
        <v>22</v>
      </c>
      <c r="C183" s="3">
        <v>25</v>
      </c>
      <c r="D183" s="3">
        <v>0.16700000000000001</v>
      </c>
      <c r="E183" s="3">
        <v>0.23100000000000001</v>
      </c>
      <c r="F183" s="3">
        <v>0.3</v>
      </c>
      <c r="G183" s="3">
        <v>60</v>
      </c>
      <c r="H183" s="3">
        <v>10</v>
      </c>
      <c r="I183" s="3">
        <v>2</v>
      </c>
      <c r="J183" s="3">
        <v>0</v>
      </c>
      <c r="K183" s="3">
        <v>2</v>
      </c>
      <c r="L183" s="3">
        <v>7</v>
      </c>
      <c r="M183" s="3">
        <v>2</v>
      </c>
      <c r="N183" s="3">
        <v>0</v>
      </c>
      <c r="O183" s="3">
        <v>5</v>
      </c>
      <c r="P183" s="3">
        <v>23</v>
      </c>
      <c r="Q183" s="3">
        <v>0</v>
      </c>
      <c r="R183" s="3">
        <v>1</v>
      </c>
      <c r="S183" s="6">
        <f>AH183/10</f>
        <v>1.0675999999999999</v>
      </c>
      <c r="T183" s="3">
        <v>40</v>
      </c>
      <c r="U183" s="4">
        <f>(S183*2)+T183</f>
        <v>42.135199999999998</v>
      </c>
      <c r="V183" s="4">
        <f>S183+T183</f>
        <v>41.067599999999999</v>
      </c>
      <c r="W183" s="3"/>
      <c r="X183" s="3"/>
      <c r="Y183" s="3"/>
      <c r="Z183" s="3"/>
      <c r="AA183" s="3"/>
      <c r="AB183" s="3">
        <f>_xlfn.IFS(B183="c", 8, B183="ss", 10, B183="cf", 8,  B183="2b", 8, B183="3b", 6, B183="rf", 4, B183="lf", 2, B183="1b", 2, B183 ="dh", 1)</f>
        <v>4</v>
      </c>
      <c r="AC183" s="3">
        <f>(G183+N183+O183)</f>
        <v>65</v>
      </c>
      <c r="AD183" s="5">
        <f>P183/AC183</f>
        <v>0.35384615384615387</v>
      </c>
      <c r="AE183" s="5">
        <f>(N183+O183)/AC183</f>
        <v>7.6923076923076927E-2</v>
      </c>
      <c r="AF183" s="4">
        <f>100-((AD183-AE183)*100)</f>
        <v>72.307692307692307</v>
      </c>
      <c r="AG183" s="3">
        <f>(F183-D183)*1000</f>
        <v>132.99999999999997</v>
      </c>
      <c r="AH183" s="3">
        <f>(((AF183+AG183)/2)*(AC183/100)*AB183)/C183</f>
        <v>10.675999999999998</v>
      </c>
    </row>
    <row r="184" spans="1:34" x14ac:dyDescent="0.35">
      <c r="A184" s="3" t="s">
        <v>308</v>
      </c>
      <c r="B184" s="3" t="s">
        <v>47</v>
      </c>
      <c r="C184" s="3">
        <v>30</v>
      </c>
      <c r="D184" s="3">
        <v>0.19800000000000001</v>
      </c>
      <c r="E184" s="3">
        <v>0.28199999999999997</v>
      </c>
      <c r="F184" s="3">
        <v>0.36899999999999999</v>
      </c>
      <c r="G184" s="3">
        <v>111</v>
      </c>
      <c r="H184" s="3">
        <v>22</v>
      </c>
      <c r="I184" s="3">
        <v>4</v>
      </c>
      <c r="J184" s="3">
        <v>0</v>
      </c>
      <c r="K184" s="3">
        <v>5</v>
      </c>
      <c r="L184" s="3">
        <v>15</v>
      </c>
      <c r="M184" s="3">
        <v>17</v>
      </c>
      <c r="N184" s="3">
        <v>1</v>
      </c>
      <c r="O184" s="3">
        <v>12</v>
      </c>
      <c r="P184" s="3">
        <v>34</v>
      </c>
      <c r="Q184" s="3">
        <v>2</v>
      </c>
      <c r="R184" s="3">
        <v>3</v>
      </c>
      <c r="S184" s="6">
        <f>AH184/10</f>
        <v>1.0501333333333331</v>
      </c>
      <c r="T184" s="3">
        <v>40</v>
      </c>
      <c r="U184" s="4">
        <f>(S184*2)+T184</f>
        <v>42.10026666666667</v>
      </c>
      <c r="V184" s="4">
        <f>S184+T184</f>
        <v>41.050133333333335</v>
      </c>
      <c r="W184" s="3"/>
      <c r="X184" s="3"/>
      <c r="Y184" s="3"/>
      <c r="Z184" s="3"/>
      <c r="AA184" s="3"/>
      <c r="AB184" s="3">
        <f>_xlfn.IFS(B184="c", 8, B184="ss", 10, B184="cf", 8,  B184="2b", 8, B184="3b", 6, B184="rf", 4, B184="lf", 2, B184="1b", 2, B184 ="dh", 1)</f>
        <v>2</v>
      </c>
      <c r="AC184" s="3">
        <f>(G184+N184+O184)</f>
        <v>124</v>
      </c>
      <c r="AD184" s="5">
        <f>P184/AC184</f>
        <v>0.27419354838709675</v>
      </c>
      <c r="AE184" s="5">
        <f>(N184+O184)/AC184</f>
        <v>0.10483870967741936</v>
      </c>
      <c r="AF184" s="4">
        <f>100-((AD184-AE184)*100)</f>
        <v>83.064516129032256</v>
      </c>
      <c r="AG184" s="3">
        <f>(F184-D184)*1000</f>
        <v>170.99999999999997</v>
      </c>
      <c r="AH184" s="3">
        <f>(((AF184+AG184)/2)*(AC184/100)*AB184)/C184</f>
        <v>10.501333333333331</v>
      </c>
    </row>
    <row r="185" spans="1:34" x14ac:dyDescent="0.35">
      <c r="A185" s="3" t="s">
        <v>281</v>
      </c>
      <c r="B185" s="3" t="s">
        <v>47</v>
      </c>
      <c r="C185" s="3">
        <v>29</v>
      </c>
      <c r="D185" s="3">
        <v>0.23899999999999999</v>
      </c>
      <c r="E185" s="3">
        <v>0.29599999999999999</v>
      </c>
      <c r="F185" s="3">
        <v>0.28899999999999998</v>
      </c>
      <c r="G185" s="3">
        <v>197</v>
      </c>
      <c r="H185" s="3">
        <v>47</v>
      </c>
      <c r="I185" s="3">
        <v>10</v>
      </c>
      <c r="J185" s="3">
        <v>0</v>
      </c>
      <c r="K185" s="3">
        <v>0</v>
      </c>
      <c r="L185" s="3">
        <v>21</v>
      </c>
      <c r="M185" s="3">
        <v>12</v>
      </c>
      <c r="N185" s="3">
        <v>2</v>
      </c>
      <c r="O185" s="3">
        <v>14</v>
      </c>
      <c r="P185" s="3">
        <v>31</v>
      </c>
      <c r="Q185" s="3">
        <v>1</v>
      </c>
      <c r="R185" s="3">
        <v>0</v>
      </c>
      <c r="S185" s="6">
        <f>AH185/10</f>
        <v>1.0499999999999998</v>
      </c>
      <c r="T185" s="3">
        <v>40</v>
      </c>
      <c r="U185" s="4">
        <f>(S185*2)+T185</f>
        <v>42.1</v>
      </c>
      <c r="V185" s="4">
        <f>S185+T185</f>
        <v>41.05</v>
      </c>
      <c r="W185" s="3"/>
      <c r="X185" s="3"/>
      <c r="Y185" s="3"/>
      <c r="Z185" s="3"/>
      <c r="AA185" s="3"/>
      <c r="AB185" s="3">
        <f>_xlfn.IFS(B185="c", 8, B185="ss", 10, B185="cf", 8,  B185="2b", 8, B185="3b", 6, B185="rf", 4, B185="lf", 2, B185="1b", 2, B185 ="dh", 1)</f>
        <v>2</v>
      </c>
      <c r="AC185" s="3">
        <f>(G185+N185+O185)</f>
        <v>213</v>
      </c>
      <c r="AD185" s="5">
        <f>P185/AC185</f>
        <v>0.14553990610328638</v>
      </c>
      <c r="AE185" s="5">
        <f>(N185+O185)/AC185</f>
        <v>7.5117370892018781E-2</v>
      </c>
      <c r="AF185" s="4">
        <f>100-((AD185-AE185)*100)</f>
        <v>92.957746478873247</v>
      </c>
      <c r="AG185" s="3">
        <f>(F185-D185)*1000</f>
        <v>49.999999999999986</v>
      </c>
      <c r="AH185" s="3">
        <f>(((AF185+AG185)/2)*(AC185/100)*AB185)/C185</f>
        <v>10.499999999999998</v>
      </c>
    </row>
    <row r="186" spans="1:34" x14ac:dyDescent="0.35">
      <c r="A186" s="3" t="s">
        <v>27</v>
      </c>
      <c r="B186" s="3" t="s">
        <v>28</v>
      </c>
      <c r="C186" s="3">
        <v>21</v>
      </c>
      <c r="D186" s="3">
        <v>0.255</v>
      </c>
      <c r="E186" s="3">
        <v>0.29299999999999998</v>
      </c>
      <c r="F186" s="3">
        <v>0.54500000000000004</v>
      </c>
      <c r="G186" s="3">
        <v>55</v>
      </c>
      <c r="H186" s="3">
        <v>14</v>
      </c>
      <c r="I186" s="3">
        <v>1</v>
      </c>
      <c r="J186" s="3">
        <v>0</v>
      </c>
      <c r="K186" s="3">
        <v>5</v>
      </c>
      <c r="L186" s="3">
        <v>11</v>
      </c>
      <c r="M186" s="3">
        <v>8</v>
      </c>
      <c r="N186" s="3">
        <v>0</v>
      </c>
      <c r="O186" s="3">
        <v>3</v>
      </c>
      <c r="P186" s="3">
        <v>15</v>
      </c>
      <c r="Q186" s="3">
        <v>0</v>
      </c>
      <c r="R186" s="3">
        <v>0</v>
      </c>
      <c r="S186" s="6">
        <f>AH186/10</f>
        <v>1.02</v>
      </c>
      <c r="T186" s="3">
        <v>40</v>
      </c>
      <c r="U186" s="4">
        <f>(S186*2)+T186</f>
        <v>42.04</v>
      </c>
      <c r="V186" s="4">
        <f>S186+T186</f>
        <v>41.02</v>
      </c>
      <c r="W186" s="3"/>
      <c r="X186" s="3"/>
      <c r="Y186" s="3"/>
      <c r="Z186" s="3"/>
      <c r="AA186" s="3"/>
      <c r="AB186" s="3">
        <f>_xlfn.IFS(B186="c", 8, B186="ss", 10, B186="cf", 8,  B186="2b", 8, B186="3b", 6, B186="rf", 4, B186="lf", 2, B186="1b", 2, B186 ="dh", 1)</f>
        <v>2</v>
      </c>
      <c r="AC186" s="3">
        <f>(G186+N186+O186)</f>
        <v>58</v>
      </c>
      <c r="AD186" s="5">
        <f>P186/AC186</f>
        <v>0.25862068965517243</v>
      </c>
      <c r="AE186" s="5">
        <f>(N186+O186)/AC186</f>
        <v>5.1724137931034482E-2</v>
      </c>
      <c r="AF186" s="4">
        <f>100-((AD186-AE186)*100)</f>
        <v>79.310344827586206</v>
      </c>
      <c r="AG186" s="3">
        <f>(F186-D186)*1000</f>
        <v>290.00000000000006</v>
      </c>
      <c r="AH186" s="3">
        <f>(((AF186+AG186)/2)*(AC186/100)*AB186)/C186</f>
        <v>10.200000000000001</v>
      </c>
    </row>
    <row r="187" spans="1:34" x14ac:dyDescent="0.35">
      <c r="A187" s="3" t="s">
        <v>180</v>
      </c>
      <c r="B187" s="3" t="s">
        <v>22</v>
      </c>
      <c r="C187" s="3">
        <v>27</v>
      </c>
      <c r="D187" s="3">
        <v>0.2</v>
      </c>
      <c r="E187" s="3">
        <v>0.214</v>
      </c>
      <c r="F187" s="3">
        <v>0.36399999999999999</v>
      </c>
      <c r="G187" s="3">
        <v>55</v>
      </c>
      <c r="H187" s="3">
        <v>11</v>
      </c>
      <c r="I187" s="3">
        <v>3</v>
      </c>
      <c r="J187" s="3">
        <v>0</v>
      </c>
      <c r="K187" s="3">
        <v>2</v>
      </c>
      <c r="L187" s="3">
        <v>5</v>
      </c>
      <c r="M187" s="3">
        <v>7</v>
      </c>
      <c r="N187" s="3">
        <v>0</v>
      </c>
      <c r="O187" s="3">
        <v>1</v>
      </c>
      <c r="P187" s="3">
        <v>15</v>
      </c>
      <c r="Q187" s="3">
        <v>1</v>
      </c>
      <c r="R187" s="3">
        <v>0</v>
      </c>
      <c r="S187" s="6">
        <f>AH187/10</f>
        <v>0.9914074074074074</v>
      </c>
      <c r="T187" s="3">
        <v>40</v>
      </c>
      <c r="U187" s="4">
        <f>(S187*2)+T187</f>
        <v>41.982814814814816</v>
      </c>
      <c r="V187" s="4">
        <f>S187+T187</f>
        <v>40.991407407407408</v>
      </c>
      <c r="W187" s="3"/>
      <c r="X187" s="3"/>
      <c r="Y187" s="3"/>
      <c r="Z187" s="3"/>
      <c r="AA187" s="3"/>
      <c r="AB187" s="3">
        <f>_xlfn.IFS(B187="c", 8, B187="ss", 10, B187="cf", 8,  B187="2b", 8, B187="3b", 6, B187="rf", 4, B187="lf", 2, B187="1b", 2, B187 ="dh", 1)</f>
        <v>4</v>
      </c>
      <c r="AC187" s="3">
        <f>(G187+N187+O187)</f>
        <v>56</v>
      </c>
      <c r="AD187" s="5">
        <f>P187/AC187</f>
        <v>0.26785714285714285</v>
      </c>
      <c r="AE187" s="5">
        <f>(N187+O187)/AC187</f>
        <v>1.7857142857142856E-2</v>
      </c>
      <c r="AF187" s="4">
        <f>100-((AD187-AE187)*100)</f>
        <v>75</v>
      </c>
      <c r="AG187" s="3">
        <f>(F187-D187)*1000</f>
        <v>163.99999999999997</v>
      </c>
      <c r="AH187" s="3">
        <f>(((AF187+AG187)/2)*(AC187/100)*AB187)/C187</f>
        <v>9.9140740740740743</v>
      </c>
    </row>
    <row r="188" spans="1:34" x14ac:dyDescent="0.35">
      <c r="A188" s="3" t="s">
        <v>226</v>
      </c>
      <c r="B188" s="3" t="s">
        <v>28</v>
      </c>
      <c r="C188" s="3">
        <v>28</v>
      </c>
      <c r="D188" s="3">
        <v>0.27700000000000002</v>
      </c>
      <c r="E188" s="3">
        <v>0.33100000000000002</v>
      </c>
      <c r="F188" s="3">
        <v>0.42</v>
      </c>
      <c r="G188" s="3">
        <v>112</v>
      </c>
      <c r="H188" s="3">
        <v>31</v>
      </c>
      <c r="I188" s="3">
        <v>2</v>
      </c>
      <c r="J188" s="3">
        <v>1</v>
      </c>
      <c r="K188" s="3">
        <v>4</v>
      </c>
      <c r="L188" s="3">
        <v>12</v>
      </c>
      <c r="M188" s="3">
        <v>13</v>
      </c>
      <c r="N188" s="3">
        <v>1</v>
      </c>
      <c r="O188" s="3">
        <v>8</v>
      </c>
      <c r="P188" s="3">
        <v>26</v>
      </c>
      <c r="Q188" s="3">
        <v>2</v>
      </c>
      <c r="R188" s="3">
        <v>2</v>
      </c>
      <c r="S188" s="6">
        <f>AH188/10</f>
        <v>0.98939285714285707</v>
      </c>
      <c r="T188" s="3">
        <v>40</v>
      </c>
      <c r="U188" s="4">
        <f>(S188*2)+T188</f>
        <v>41.978785714285713</v>
      </c>
      <c r="V188" s="4">
        <f>S188+T188</f>
        <v>40.98939285714286</v>
      </c>
      <c r="W188" s="3"/>
      <c r="X188" s="3"/>
      <c r="Y188" s="3"/>
      <c r="Z188" s="3"/>
      <c r="AA188" s="3"/>
      <c r="AB188" s="3">
        <f>_xlfn.IFS(B188="c", 8, B188="ss", 10, B188="cf", 8,  B188="2b", 8, B188="3b", 6, B188="rf", 4, B188="lf", 2, B188="1b", 2, B188 ="dh", 1)</f>
        <v>2</v>
      </c>
      <c r="AC188" s="3">
        <f>(G188+N188+O188)</f>
        <v>121</v>
      </c>
      <c r="AD188" s="5">
        <f>P188/AC188</f>
        <v>0.21487603305785125</v>
      </c>
      <c r="AE188" s="5">
        <f>(N188+O188)/AC188</f>
        <v>7.43801652892562E-2</v>
      </c>
      <c r="AF188" s="4">
        <f>100-((AD188-AE188)*100)</f>
        <v>85.950413223140501</v>
      </c>
      <c r="AG188" s="3">
        <f>(F188-D188)*1000</f>
        <v>142.99999999999997</v>
      </c>
      <c r="AH188" s="3">
        <f>(((AF188+AG188)/2)*(AC188/100)*AB188)/C188</f>
        <v>9.893928571428571</v>
      </c>
    </row>
    <row r="189" spans="1:34" x14ac:dyDescent="0.35">
      <c r="A189" s="3" t="s">
        <v>189</v>
      </c>
      <c r="B189" s="3" t="s">
        <v>20</v>
      </c>
      <c r="C189" s="3">
        <v>27</v>
      </c>
      <c r="D189" s="3">
        <v>0.28699999999999998</v>
      </c>
      <c r="E189" s="3">
        <v>0.38700000000000001</v>
      </c>
      <c r="F189" s="3">
        <v>0.55000000000000004</v>
      </c>
      <c r="G189" s="3">
        <v>129</v>
      </c>
      <c r="H189" s="3">
        <v>37</v>
      </c>
      <c r="I189" s="3">
        <v>11</v>
      </c>
      <c r="J189" s="3">
        <v>1</v>
      </c>
      <c r="K189" s="3">
        <v>7</v>
      </c>
      <c r="L189" s="3">
        <v>21</v>
      </c>
      <c r="M189" s="3">
        <v>23</v>
      </c>
      <c r="N189" s="3">
        <v>3</v>
      </c>
      <c r="O189" s="3">
        <v>18</v>
      </c>
      <c r="P189" s="3">
        <v>32</v>
      </c>
      <c r="Q189" s="3">
        <v>2</v>
      </c>
      <c r="R189" s="3">
        <v>0</v>
      </c>
      <c r="S189" s="6">
        <f>AH189/10</f>
        <v>0.98796296296296315</v>
      </c>
      <c r="T189" s="3">
        <v>40</v>
      </c>
      <c r="U189" s="4">
        <f>(S189*2)+T189</f>
        <v>41.975925925925928</v>
      </c>
      <c r="V189" s="4">
        <f>S189+T189</f>
        <v>40.98796296296296</v>
      </c>
      <c r="W189" s="3"/>
      <c r="X189" s="3"/>
      <c r="Y189" s="3"/>
      <c r="Z189" s="3"/>
      <c r="AA189" s="3"/>
      <c r="AB189" s="3">
        <f>_xlfn.IFS(B189="c", 8, B189="ss", 10, B189="cf", 8,  B189="2b", 8, B189="3b", 6, B189="rf", 4, B189="lf", 2, B189="1b", 2, B189 ="dh", 1)</f>
        <v>1</v>
      </c>
      <c r="AC189" s="3">
        <f>(G189+N189+O189)</f>
        <v>150</v>
      </c>
      <c r="AD189" s="5">
        <f>P189/AC189</f>
        <v>0.21333333333333335</v>
      </c>
      <c r="AE189" s="5">
        <f>(N189+O189)/AC189</f>
        <v>0.14000000000000001</v>
      </c>
      <c r="AF189" s="4">
        <f>100-((AD189-AE189)*100)</f>
        <v>92.666666666666671</v>
      </c>
      <c r="AG189" s="3">
        <f>(F189-D189)*1000</f>
        <v>263.00000000000006</v>
      </c>
      <c r="AH189" s="3">
        <f>(((AF189+AG189)/2)*(AC189/100)*AB189)/C189</f>
        <v>9.8796296296296315</v>
      </c>
    </row>
    <row r="190" spans="1:34" x14ac:dyDescent="0.35">
      <c r="A190" s="3" t="s">
        <v>138</v>
      </c>
      <c r="B190" s="3" t="s">
        <v>22</v>
      </c>
      <c r="C190" s="3">
        <v>26</v>
      </c>
      <c r="D190" s="3">
        <v>0.15</v>
      </c>
      <c r="E190" s="3">
        <v>0.32</v>
      </c>
      <c r="F190" s="3">
        <v>0.23300000000000001</v>
      </c>
      <c r="G190" s="3">
        <v>60</v>
      </c>
      <c r="H190" s="3">
        <v>9</v>
      </c>
      <c r="I190" s="3">
        <v>2</v>
      </c>
      <c r="J190" s="3">
        <v>0</v>
      </c>
      <c r="K190" s="3">
        <v>1</v>
      </c>
      <c r="L190" s="3">
        <v>10</v>
      </c>
      <c r="M190" s="3">
        <v>7</v>
      </c>
      <c r="N190" s="3">
        <v>7</v>
      </c>
      <c r="O190" s="3">
        <v>8</v>
      </c>
      <c r="P190" s="3">
        <v>25</v>
      </c>
      <c r="Q190" s="3">
        <v>1</v>
      </c>
      <c r="R190" s="3">
        <v>1</v>
      </c>
      <c r="S190" s="6">
        <f>AH190/10</f>
        <v>0.97884615384615403</v>
      </c>
      <c r="T190" s="3">
        <v>40</v>
      </c>
      <c r="U190" s="4">
        <f>(S190*2)+T190</f>
        <v>41.957692307692305</v>
      </c>
      <c r="V190" s="4">
        <f>S190+T190</f>
        <v>40.978846153846156</v>
      </c>
      <c r="W190" s="3"/>
      <c r="X190" s="3"/>
      <c r="Y190" s="3"/>
      <c r="Z190" s="3"/>
      <c r="AA190" s="3"/>
      <c r="AB190" s="3">
        <f>_xlfn.IFS(B190="c", 8, B190="ss", 10, B190="cf", 8,  B190="2b", 8, B190="3b", 6, B190="rf", 4, B190="lf", 2, B190="1b", 2, B190 ="dh", 1)</f>
        <v>4</v>
      </c>
      <c r="AC190" s="3">
        <f>(G190+N190+O190)</f>
        <v>75</v>
      </c>
      <c r="AD190" s="5">
        <f>P190/AC190</f>
        <v>0.33333333333333331</v>
      </c>
      <c r="AE190" s="5">
        <f>(N190+O190)/AC190</f>
        <v>0.2</v>
      </c>
      <c r="AF190" s="4">
        <f>100-((AD190-AE190)*100)</f>
        <v>86.666666666666671</v>
      </c>
      <c r="AG190" s="3">
        <f>(F190-D190)*1000</f>
        <v>83.000000000000014</v>
      </c>
      <c r="AH190" s="3">
        <f>(((AF190+AG190)/2)*(AC190/100)*AB190)/C190</f>
        <v>9.7884615384615401</v>
      </c>
    </row>
    <row r="191" spans="1:34" x14ac:dyDescent="0.35">
      <c r="A191" s="3" t="s">
        <v>163</v>
      </c>
      <c r="B191" s="3" t="s">
        <v>28</v>
      </c>
      <c r="C191" s="3">
        <v>26</v>
      </c>
      <c r="D191" s="3">
        <v>0.20899999999999999</v>
      </c>
      <c r="E191" s="3">
        <v>0.29399999999999998</v>
      </c>
      <c r="F191" s="3">
        <v>0.36299999999999999</v>
      </c>
      <c r="G191" s="3">
        <v>91</v>
      </c>
      <c r="H191" s="3">
        <v>19</v>
      </c>
      <c r="I191" s="3">
        <v>4</v>
      </c>
      <c r="J191" s="3">
        <v>2</v>
      </c>
      <c r="K191" s="3">
        <v>2</v>
      </c>
      <c r="L191" s="3">
        <v>7</v>
      </c>
      <c r="M191" s="3">
        <v>12</v>
      </c>
      <c r="N191" s="3">
        <v>0</v>
      </c>
      <c r="O191" s="3">
        <v>11</v>
      </c>
      <c r="P191" s="3">
        <v>16</v>
      </c>
      <c r="Q191" s="3">
        <v>0</v>
      </c>
      <c r="R191" s="3">
        <v>0</v>
      </c>
      <c r="S191" s="6">
        <f>AH191/10</f>
        <v>0.97723076923076935</v>
      </c>
      <c r="T191" s="3">
        <v>40</v>
      </c>
      <c r="U191" s="4">
        <f>(S191*2)+T191</f>
        <v>41.954461538461537</v>
      </c>
      <c r="V191" s="4">
        <f>S191+T191</f>
        <v>40.977230769230772</v>
      </c>
      <c r="W191" s="3"/>
      <c r="X191" s="3"/>
      <c r="Y191" s="3"/>
      <c r="Z191" s="3"/>
      <c r="AA191" s="3"/>
      <c r="AB191" s="3">
        <f>_xlfn.IFS(B191="c", 8, B191="ss", 10, B191="cf", 8,  B191="2b", 8, B191="3b", 6, B191="rf", 4, B191="lf", 2, B191="1b", 2, B191 ="dh", 1)</f>
        <v>2</v>
      </c>
      <c r="AC191" s="3">
        <f>(G191+N191+O191)</f>
        <v>102</v>
      </c>
      <c r="AD191" s="5">
        <f>P191/AC191</f>
        <v>0.15686274509803921</v>
      </c>
      <c r="AE191" s="5">
        <f>(N191+O191)/AC191</f>
        <v>0.10784313725490197</v>
      </c>
      <c r="AF191" s="4">
        <f>100-((AD191-AE191)*100)</f>
        <v>95.098039215686271</v>
      </c>
      <c r="AG191" s="3">
        <f>(F191-D191)*1000</f>
        <v>154</v>
      </c>
      <c r="AH191" s="3">
        <f>(((AF191+AG191)/2)*(AC191/100)*AB191)/C191</f>
        <v>9.7723076923076935</v>
      </c>
    </row>
    <row r="192" spans="1:34" x14ac:dyDescent="0.35">
      <c r="A192" s="3" t="s">
        <v>359</v>
      </c>
      <c r="B192" s="3" t="s">
        <v>32</v>
      </c>
      <c r="C192" s="3">
        <v>35</v>
      </c>
      <c r="D192" s="3">
        <v>0.21</v>
      </c>
      <c r="E192" s="3">
        <v>0.26200000000000001</v>
      </c>
      <c r="F192" s="3">
        <v>0.23</v>
      </c>
      <c r="G192" s="3">
        <v>100</v>
      </c>
      <c r="H192" s="3">
        <v>21</v>
      </c>
      <c r="I192" s="3">
        <v>2</v>
      </c>
      <c r="J192" s="3">
        <v>0</v>
      </c>
      <c r="K192" s="3">
        <v>0</v>
      </c>
      <c r="L192" s="3">
        <v>12</v>
      </c>
      <c r="M192" s="3">
        <v>2</v>
      </c>
      <c r="N192" s="3">
        <v>2</v>
      </c>
      <c r="O192" s="3">
        <v>5</v>
      </c>
      <c r="P192" s="3">
        <v>22</v>
      </c>
      <c r="Q192" s="3">
        <v>11</v>
      </c>
      <c r="R192" s="3">
        <v>3</v>
      </c>
      <c r="S192" s="6">
        <f>AH192/10</f>
        <v>0.97200000000000009</v>
      </c>
      <c r="T192" s="3">
        <v>40</v>
      </c>
      <c r="U192" s="4">
        <f>(S192*2)+T192</f>
        <v>41.944000000000003</v>
      </c>
      <c r="V192" s="4">
        <f>S192+T192</f>
        <v>40.972000000000001</v>
      </c>
      <c r="W192" s="3"/>
      <c r="X192" s="3"/>
      <c r="Y192" s="3"/>
      <c r="Z192" s="3"/>
      <c r="AA192" s="3"/>
      <c r="AB192" s="3">
        <f>_xlfn.IFS(B192="c", 8, B192="ss", 10, B192="cf", 8,  B192="2b", 8, B192="3b", 6, B192="rf", 4, B192="lf", 2, B192="1b", 2, B192 ="dh", 1)</f>
        <v>6</v>
      </c>
      <c r="AC192" s="3">
        <f>(G192+N192+O192)</f>
        <v>107</v>
      </c>
      <c r="AD192" s="5">
        <f>P192/AC192</f>
        <v>0.20560747663551401</v>
      </c>
      <c r="AE192" s="5">
        <f>(N192+O192)/AC192</f>
        <v>6.5420560747663545E-2</v>
      </c>
      <c r="AF192" s="4">
        <f>100-((AD192-AE192)*100)</f>
        <v>85.981308411214954</v>
      </c>
      <c r="AG192" s="3">
        <f>(F192-D192)*1000</f>
        <v>20.000000000000018</v>
      </c>
      <c r="AH192" s="3">
        <f>(((AF192+AG192)/2)*(AC192/100)*AB192)/C192</f>
        <v>9.7200000000000006</v>
      </c>
    </row>
    <row r="193" spans="1:34" x14ac:dyDescent="0.35">
      <c r="A193" s="3" t="s">
        <v>241</v>
      </c>
      <c r="B193" s="3" t="s">
        <v>18</v>
      </c>
      <c r="C193" s="3">
        <v>28</v>
      </c>
      <c r="D193" s="3">
        <v>0.18099999999999999</v>
      </c>
      <c r="E193" s="3">
        <v>0.221</v>
      </c>
      <c r="F193" s="3">
        <v>0.19400000000000001</v>
      </c>
      <c r="G193" s="3">
        <v>72</v>
      </c>
      <c r="H193" s="3">
        <v>13</v>
      </c>
      <c r="I193" s="3">
        <v>1</v>
      </c>
      <c r="J193" s="3">
        <v>0</v>
      </c>
      <c r="K193" s="3">
        <v>0</v>
      </c>
      <c r="L193" s="3">
        <v>8</v>
      </c>
      <c r="M193" s="3">
        <v>4</v>
      </c>
      <c r="N193" s="3">
        <v>1</v>
      </c>
      <c r="O193" s="3">
        <v>3</v>
      </c>
      <c r="P193" s="3">
        <v>22</v>
      </c>
      <c r="Q193" s="3">
        <v>0</v>
      </c>
      <c r="R193" s="3">
        <v>0</v>
      </c>
      <c r="S193" s="6">
        <f>AH193/10</f>
        <v>0.96971428571428597</v>
      </c>
      <c r="T193" s="3">
        <v>40</v>
      </c>
      <c r="U193" s="4">
        <f>(S193*2)+T193</f>
        <v>41.939428571428572</v>
      </c>
      <c r="V193" s="4">
        <f>S193+T193</f>
        <v>40.969714285714289</v>
      </c>
      <c r="W193" s="3"/>
      <c r="X193" s="3"/>
      <c r="Y193" s="3"/>
      <c r="Z193" s="3"/>
      <c r="AA193" s="3"/>
      <c r="AB193" s="3">
        <f>_xlfn.IFS(B193="c", 8, B193="ss", 10, B193="cf", 8,  B193="2b", 8, B193="3b", 6, B193="rf", 4, B193="lf", 2, B193="1b", 2, B193 ="dh", 1)</f>
        <v>8</v>
      </c>
      <c r="AC193" s="3">
        <f>(G193+N193+O193)</f>
        <v>76</v>
      </c>
      <c r="AD193" s="5">
        <f>P193/AC193</f>
        <v>0.28947368421052633</v>
      </c>
      <c r="AE193" s="5">
        <f>(N193+O193)/AC193</f>
        <v>5.2631578947368418E-2</v>
      </c>
      <c r="AF193" s="4">
        <f>100-((AD193-AE193)*100)</f>
        <v>76.315789473684205</v>
      </c>
      <c r="AG193" s="3">
        <f>(F193-D193)*1000</f>
        <v>13.000000000000011</v>
      </c>
      <c r="AH193" s="3">
        <f>(((AF193+AG193)/2)*(AC193/100)*AB193)/C193</f>
        <v>9.6971428571428593</v>
      </c>
    </row>
    <row r="194" spans="1:34" x14ac:dyDescent="0.35">
      <c r="A194" s="3" t="s">
        <v>344</v>
      </c>
      <c r="B194" s="3" t="s">
        <v>22</v>
      </c>
      <c r="C194" s="3">
        <v>33</v>
      </c>
      <c r="D194" s="3">
        <v>0.182</v>
      </c>
      <c r="E194" s="3">
        <v>0.24099999999999999</v>
      </c>
      <c r="F194" s="3">
        <v>0.24199999999999999</v>
      </c>
      <c r="G194" s="3">
        <v>99</v>
      </c>
      <c r="H194" s="3">
        <v>18</v>
      </c>
      <c r="I194" s="3">
        <v>6</v>
      </c>
      <c r="J194" s="3">
        <v>0</v>
      </c>
      <c r="K194" s="3">
        <v>0</v>
      </c>
      <c r="L194" s="3">
        <v>5</v>
      </c>
      <c r="M194" s="3">
        <v>4</v>
      </c>
      <c r="N194" s="3">
        <v>0</v>
      </c>
      <c r="O194" s="3">
        <v>8</v>
      </c>
      <c r="P194" s="3">
        <v>21</v>
      </c>
      <c r="Q194" s="3">
        <v>0</v>
      </c>
      <c r="R194" s="3">
        <v>0</v>
      </c>
      <c r="S194" s="6">
        <f>AH194/10</f>
        <v>0.95878787878787897</v>
      </c>
      <c r="T194" s="3">
        <v>40</v>
      </c>
      <c r="U194" s="4">
        <f>(S194*2)+T194</f>
        <v>41.917575757575761</v>
      </c>
      <c r="V194" s="4">
        <f>S194+T194</f>
        <v>40.958787878787881</v>
      </c>
      <c r="W194" s="3"/>
      <c r="X194" s="3"/>
      <c r="Y194" s="3"/>
      <c r="Z194" s="3"/>
      <c r="AA194" s="3"/>
      <c r="AB194" s="3">
        <f>_xlfn.IFS(B194="c", 8, B194="ss", 10, B194="cf", 8,  B194="2b", 8, B194="3b", 6, B194="rf", 4, B194="lf", 2, B194="1b", 2, B194 ="dh", 1)</f>
        <v>4</v>
      </c>
      <c r="AC194" s="3">
        <f>(G194+N194+O194)</f>
        <v>107</v>
      </c>
      <c r="AD194" s="5">
        <f>P194/AC194</f>
        <v>0.19626168224299065</v>
      </c>
      <c r="AE194" s="5">
        <f>(N194+O194)/AC194</f>
        <v>7.476635514018691E-2</v>
      </c>
      <c r="AF194" s="4">
        <f>100-((AD194-AE194)*100)</f>
        <v>87.850467289719631</v>
      </c>
      <c r="AG194" s="3">
        <f>(F194-D194)*1000</f>
        <v>60</v>
      </c>
      <c r="AH194" s="3">
        <f>(((AF194+AG194)/2)*(AC194/100)*AB194)/C194</f>
        <v>9.5878787878787897</v>
      </c>
    </row>
    <row r="195" spans="1:34" x14ac:dyDescent="0.35">
      <c r="A195" s="3" t="s">
        <v>280</v>
      </c>
      <c r="B195" s="3" t="s">
        <v>25</v>
      </c>
      <c r="C195" s="3">
        <v>29</v>
      </c>
      <c r="D195" s="3">
        <v>0.17499999999999999</v>
      </c>
      <c r="E195" s="3">
        <v>0.19</v>
      </c>
      <c r="F195" s="3">
        <v>0.22500000000000001</v>
      </c>
      <c r="G195" s="3">
        <v>40</v>
      </c>
      <c r="H195" s="3">
        <v>7</v>
      </c>
      <c r="I195" s="3">
        <v>2</v>
      </c>
      <c r="J195" s="3">
        <v>0</v>
      </c>
      <c r="K195" s="3">
        <v>0</v>
      </c>
      <c r="L195" s="3">
        <v>3</v>
      </c>
      <c r="M195" s="3">
        <v>1</v>
      </c>
      <c r="N195" s="3">
        <v>0</v>
      </c>
      <c r="O195" s="3">
        <v>1</v>
      </c>
      <c r="P195" s="3">
        <v>7</v>
      </c>
      <c r="Q195" s="3">
        <v>0</v>
      </c>
      <c r="R195" s="3">
        <v>0</v>
      </c>
      <c r="S195" s="6">
        <f>AH195/10</f>
        <v>0.9568965517241379</v>
      </c>
      <c r="T195" s="3">
        <v>40</v>
      </c>
      <c r="U195" s="4">
        <f>(S195*2)+T195</f>
        <v>41.913793103448278</v>
      </c>
      <c r="V195" s="4">
        <f>S195+T195</f>
        <v>40.956896551724135</v>
      </c>
      <c r="W195" s="3"/>
      <c r="X195" s="3"/>
      <c r="Y195" s="3"/>
      <c r="Z195" s="3"/>
      <c r="AA195" s="3"/>
      <c r="AB195" s="3">
        <f>_xlfn.IFS(B195="c", 8, B195="ss", 10, B195="cf", 8,  B195="2b", 8, B195="3b", 6, B195="rf", 4, B195="lf", 2, B195="1b", 2, B195 ="dh", 1)</f>
        <v>10</v>
      </c>
      <c r="AC195" s="3">
        <f>(G195+N195+O195)</f>
        <v>41</v>
      </c>
      <c r="AD195" s="5">
        <f>P195/AC195</f>
        <v>0.17073170731707318</v>
      </c>
      <c r="AE195" s="5">
        <f>(N195+O195)/AC195</f>
        <v>2.4390243902439025E-2</v>
      </c>
      <c r="AF195" s="4">
        <f>100-((AD195-AE195)*100)</f>
        <v>85.365853658536579</v>
      </c>
      <c r="AG195" s="3">
        <f>(F195-D195)*1000</f>
        <v>50.000000000000014</v>
      </c>
      <c r="AH195" s="3">
        <f>(((AF195+AG195)/2)*(AC195/100)*AB195)/C195</f>
        <v>9.568965517241379</v>
      </c>
    </row>
    <row r="196" spans="1:34" x14ac:dyDescent="0.35">
      <c r="A196" s="3" t="s">
        <v>83</v>
      </c>
      <c r="B196" s="3" t="s">
        <v>30</v>
      </c>
      <c r="C196" s="3">
        <v>24</v>
      </c>
      <c r="D196" s="3">
        <v>6.9000000000000006E-2</v>
      </c>
      <c r="E196" s="3">
        <v>0.129</v>
      </c>
      <c r="F196" s="3">
        <v>0.17199999999999999</v>
      </c>
      <c r="G196" s="3">
        <v>29</v>
      </c>
      <c r="H196" s="3">
        <v>2</v>
      </c>
      <c r="I196" s="3">
        <v>0</v>
      </c>
      <c r="J196" s="3">
        <v>0</v>
      </c>
      <c r="K196" s="3">
        <v>1</v>
      </c>
      <c r="L196" s="3">
        <v>2</v>
      </c>
      <c r="M196" s="3">
        <v>1</v>
      </c>
      <c r="N196" s="3">
        <v>0</v>
      </c>
      <c r="O196" s="3">
        <v>2</v>
      </c>
      <c r="P196" s="3">
        <v>8</v>
      </c>
      <c r="Q196" s="3">
        <v>0</v>
      </c>
      <c r="R196" s="3">
        <v>0</v>
      </c>
      <c r="S196" s="6">
        <f>AH196/10</f>
        <v>0.9488333333333332</v>
      </c>
      <c r="T196" s="3">
        <v>40</v>
      </c>
      <c r="U196" s="4">
        <f>(S196*2)+T196</f>
        <v>41.897666666666666</v>
      </c>
      <c r="V196" s="4">
        <f>S196+T196</f>
        <v>40.948833333333333</v>
      </c>
      <c r="W196" s="3"/>
      <c r="X196" s="3"/>
      <c r="Y196" s="3"/>
      <c r="Z196" s="3"/>
      <c r="AA196" s="3"/>
      <c r="AB196" s="3">
        <f>_xlfn.IFS(B196="c", 8, B196="ss", 10, B196="cf", 8,  B196="2b", 8, B196="3b", 6, B196="rf", 4, B196="lf", 2, B196="1b", 2, B196 ="dh", 1)</f>
        <v>8</v>
      </c>
      <c r="AC196" s="3">
        <f>(G196+N196+O196)</f>
        <v>31</v>
      </c>
      <c r="AD196" s="5">
        <f>P196/AC196</f>
        <v>0.25806451612903225</v>
      </c>
      <c r="AE196" s="5">
        <f>(N196+O196)/AC196</f>
        <v>6.4516129032258063E-2</v>
      </c>
      <c r="AF196" s="4">
        <f>100-((AD196-AE196)*100)</f>
        <v>80.645161290322577</v>
      </c>
      <c r="AG196" s="3">
        <f>(F196-D196)*1000</f>
        <v>102.99999999999999</v>
      </c>
      <c r="AH196" s="3">
        <f>(((AF196+AG196)/2)*(AC196/100)*AB196)/C196</f>
        <v>9.4883333333333315</v>
      </c>
    </row>
    <row r="197" spans="1:34" x14ac:dyDescent="0.35">
      <c r="A197" s="3" t="s">
        <v>182</v>
      </c>
      <c r="B197" s="3" t="s">
        <v>22</v>
      </c>
      <c r="C197" s="3">
        <v>27</v>
      </c>
      <c r="D197" s="3">
        <v>0.219</v>
      </c>
      <c r="E197" s="3">
        <v>0.26500000000000001</v>
      </c>
      <c r="F197" s="3">
        <v>0.46899999999999997</v>
      </c>
      <c r="G197" s="3">
        <v>32</v>
      </c>
      <c r="H197" s="3">
        <v>7</v>
      </c>
      <c r="I197" s="3">
        <v>5</v>
      </c>
      <c r="J197" s="3">
        <v>0</v>
      </c>
      <c r="K197" s="3">
        <v>1</v>
      </c>
      <c r="L197" s="3">
        <v>5</v>
      </c>
      <c r="M197" s="3">
        <v>2</v>
      </c>
      <c r="N197" s="3">
        <v>0</v>
      </c>
      <c r="O197" s="3">
        <v>2</v>
      </c>
      <c r="P197" s="3">
        <v>2</v>
      </c>
      <c r="Q197" s="3">
        <v>1</v>
      </c>
      <c r="R197" s="3">
        <v>0</v>
      </c>
      <c r="S197" s="6">
        <f>AH197/10</f>
        <v>0.88148148148148164</v>
      </c>
      <c r="T197" s="3">
        <v>40</v>
      </c>
      <c r="U197" s="4">
        <f>(S197*2)+T197</f>
        <v>41.762962962962966</v>
      </c>
      <c r="V197" s="4">
        <f>S197+T197</f>
        <v>40.88148148148148</v>
      </c>
      <c r="W197" s="3"/>
      <c r="X197" s="3"/>
      <c r="Y197" s="3"/>
      <c r="Z197" s="3"/>
      <c r="AA197" s="3"/>
      <c r="AB197" s="3">
        <f>_xlfn.IFS(B197="c", 8, B197="ss", 10, B197="cf", 8,  B197="2b", 8, B197="3b", 6, B197="rf", 4, B197="lf", 2, B197="1b", 2, B197 ="dh", 1)</f>
        <v>4</v>
      </c>
      <c r="AC197" s="3">
        <f>(G197+N197+O197)</f>
        <v>34</v>
      </c>
      <c r="AD197" s="5">
        <f>P197/AC197</f>
        <v>5.8823529411764705E-2</v>
      </c>
      <c r="AE197" s="5">
        <f>(N197+O197)/AC197</f>
        <v>5.8823529411764705E-2</v>
      </c>
      <c r="AF197" s="4">
        <f>100-((AD197-AE197)*100)</f>
        <v>100</v>
      </c>
      <c r="AG197" s="3">
        <f>(F197-D197)*1000</f>
        <v>249.99999999999997</v>
      </c>
      <c r="AH197" s="3">
        <f>(((AF197+AG197)/2)*(AC197/100)*AB197)/C197</f>
        <v>8.8148148148148167</v>
      </c>
    </row>
    <row r="198" spans="1:34" x14ac:dyDescent="0.35">
      <c r="A198" s="3" t="s">
        <v>155</v>
      </c>
      <c r="B198" s="3" t="s">
        <v>32</v>
      </c>
      <c r="C198" s="3">
        <v>26</v>
      </c>
      <c r="D198" s="3">
        <v>0.19400000000000001</v>
      </c>
      <c r="E198" s="3">
        <v>0.29199999999999998</v>
      </c>
      <c r="F198" s="3">
        <v>0.21</v>
      </c>
      <c r="G198" s="3">
        <v>62</v>
      </c>
      <c r="H198" s="3">
        <v>12</v>
      </c>
      <c r="I198" s="3">
        <v>1</v>
      </c>
      <c r="J198" s="3">
        <v>0</v>
      </c>
      <c r="K198" s="3">
        <v>0</v>
      </c>
      <c r="L198" s="3">
        <v>6</v>
      </c>
      <c r="M198" s="3">
        <v>5</v>
      </c>
      <c r="N198" s="3">
        <v>1</v>
      </c>
      <c r="O198" s="3">
        <v>8</v>
      </c>
      <c r="P198" s="3">
        <v>16</v>
      </c>
      <c r="Q198" s="3">
        <v>2</v>
      </c>
      <c r="R198" s="3">
        <v>0</v>
      </c>
      <c r="S198" s="6">
        <f>AH198/10</f>
        <v>0.86953846153846137</v>
      </c>
      <c r="T198" s="3">
        <v>40</v>
      </c>
      <c r="U198" s="4">
        <f>(S198*2)+T198</f>
        <v>41.739076923076922</v>
      </c>
      <c r="V198" s="4">
        <f>S198+T198</f>
        <v>40.869538461538461</v>
      </c>
      <c r="W198" s="3"/>
      <c r="X198" s="3"/>
      <c r="Y198" s="3"/>
      <c r="Z198" s="3"/>
      <c r="AA198" s="3"/>
      <c r="AB198" s="3">
        <f>_xlfn.IFS(B198="c", 8, B198="ss", 10, B198="cf", 8,  B198="2b", 8, B198="3b", 6, B198="rf", 4, B198="lf", 2, B198="1b", 2, B198 ="dh", 1)</f>
        <v>6</v>
      </c>
      <c r="AC198" s="3">
        <f>(G198+N198+O198)</f>
        <v>71</v>
      </c>
      <c r="AD198" s="5">
        <f>P198/AC198</f>
        <v>0.22535211267605634</v>
      </c>
      <c r="AE198" s="5">
        <f>(N198+O198)/AC198</f>
        <v>0.12676056338028169</v>
      </c>
      <c r="AF198" s="4">
        <f>100-((AD198-AE198)*100)</f>
        <v>90.140845070422529</v>
      </c>
      <c r="AG198" s="3">
        <f>(F198-D198)*1000</f>
        <v>15.999999999999986</v>
      </c>
      <c r="AH198" s="3">
        <f>(((AF198+AG198)/2)*(AC198/100)*AB198)/C198</f>
        <v>8.6953846153846133</v>
      </c>
    </row>
    <row r="199" spans="1:34" x14ac:dyDescent="0.35">
      <c r="A199" s="3" t="s">
        <v>109</v>
      </c>
      <c r="B199" s="3" t="s">
        <v>47</v>
      </c>
      <c r="C199" s="3">
        <v>25</v>
      </c>
      <c r="D199" s="3">
        <v>0.245</v>
      </c>
      <c r="E199" s="3">
        <v>0.32100000000000001</v>
      </c>
      <c r="F199" s="3">
        <v>0.36699999999999999</v>
      </c>
      <c r="G199" s="3">
        <v>98</v>
      </c>
      <c r="H199" s="3">
        <v>24</v>
      </c>
      <c r="I199" s="3">
        <v>6</v>
      </c>
      <c r="J199" s="3">
        <v>0</v>
      </c>
      <c r="K199" s="3">
        <v>2</v>
      </c>
      <c r="L199" s="3">
        <v>17</v>
      </c>
      <c r="M199" s="3">
        <v>10</v>
      </c>
      <c r="N199" s="3">
        <v>0</v>
      </c>
      <c r="O199" s="3">
        <v>11</v>
      </c>
      <c r="P199" s="3">
        <v>37</v>
      </c>
      <c r="Q199" s="3">
        <v>1</v>
      </c>
      <c r="R199" s="3">
        <v>0</v>
      </c>
      <c r="S199" s="6">
        <f>AH199/10</f>
        <v>0.86392000000000002</v>
      </c>
      <c r="T199" s="3">
        <v>40</v>
      </c>
      <c r="U199" s="4">
        <f>(S199*2)+T199</f>
        <v>41.72784</v>
      </c>
      <c r="V199" s="4">
        <f>S199+T199</f>
        <v>40.86392</v>
      </c>
      <c r="W199" s="3"/>
      <c r="X199" s="3"/>
      <c r="Y199" s="3"/>
      <c r="Z199" s="3"/>
      <c r="AA199" s="3"/>
      <c r="AB199" s="3">
        <f>_xlfn.IFS(B199="c", 8, B199="ss", 10, B199="cf", 8,  B199="2b", 8, B199="3b", 6, B199="rf", 4, B199="lf", 2, B199="1b", 2, B199 ="dh", 1)</f>
        <v>2</v>
      </c>
      <c r="AC199" s="3">
        <f>(G199+N199+O199)</f>
        <v>109</v>
      </c>
      <c r="AD199" s="5">
        <f>P199/AC199</f>
        <v>0.33944954128440369</v>
      </c>
      <c r="AE199" s="5">
        <f>(N199+O199)/AC199</f>
        <v>0.10091743119266056</v>
      </c>
      <c r="AF199" s="4">
        <f>100-((AD199-AE199)*100)</f>
        <v>76.146788990825684</v>
      </c>
      <c r="AG199" s="3">
        <f>(F199-D199)*1000</f>
        <v>122</v>
      </c>
      <c r="AH199" s="3">
        <f>(((AF199+AG199)/2)*(AC199/100)*AB199)/C199</f>
        <v>8.6392000000000007</v>
      </c>
    </row>
    <row r="200" spans="1:34" x14ac:dyDescent="0.35">
      <c r="A200" s="3" t="s">
        <v>216</v>
      </c>
      <c r="B200" s="3" t="s">
        <v>28</v>
      </c>
      <c r="C200" s="3">
        <v>28</v>
      </c>
      <c r="D200" s="3">
        <v>0.2</v>
      </c>
      <c r="E200" s="3">
        <v>0.27</v>
      </c>
      <c r="F200" s="3">
        <v>0.46200000000000002</v>
      </c>
      <c r="G200" s="3">
        <v>65</v>
      </c>
      <c r="H200" s="3">
        <v>13</v>
      </c>
      <c r="I200" s="3">
        <v>2</v>
      </c>
      <c r="J200" s="3">
        <v>0</v>
      </c>
      <c r="K200" s="3">
        <v>5</v>
      </c>
      <c r="L200" s="3">
        <v>10</v>
      </c>
      <c r="M200" s="3">
        <v>12</v>
      </c>
      <c r="N200" s="3">
        <v>1</v>
      </c>
      <c r="O200" s="3">
        <v>6</v>
      </c>
      <c r="P200" s="3">
        <v>28</v>
      </c>
      <c r="Q200" s="3">
        <v>0</v>
      </c>
      <c r="R200" s="3">
        <v>0</v>
      </c>
      <c r="S200" s="6">
        <f>AH200/10</f>
        <v>0.85585714285714276</v>
      </c>
      <c r="T200" s="3">
        <v>40</v>
      </c>
      <c r="U200" s="4">
        <f>(S200*2)+T200</f>
        <v>41.711714285714287</v>
      </c>
      <c r="V200" s="4">
        <f>S200+T200</f>
        <v>40.85585714285714</v>
      </c>
      <c r="W200" s="3"/>
      <c r="X200" s="3"/>
      <c r="Y200" s="3"/>
      <c r="Z200" s="3"/>
      <c r="AA200" s="3"/>
      <c r="AB200" s="3">
        <f>_xlfn.IFS(B200="c", 8, B200="ss", 10, B200="cf", 8,  B200="2b", 8, B200="3b", 6, B200="rf", 4, B200="lf", 2, B200="1b", 2, B200 ="dh", 1)</f>
        <v>2</v>
      </c>
      <c r="AC200" s="3">
        <f>(G200+N200+O200)</f>
        <v>72</v>
      </c>
      <c r="AD200" s="5">
        <f>P200/AC200</f>
        <v>0.3888888888888889</v>
      </c>
      <c r="AE200" s="5">
        <f>(N200+O200)/AC200</f>
        <v>9.7222222222222224E-2</v>
      </c>
      <c r="AF200" s="4">
        <f>100-((AD200-AE200)*100)</f>
        <v>70.833333333333329</v>
      </c>
      <c r="AG200" s="3">
        <f>(F200-D200)*1000</f>
        <v>262</v>
      </c>
      <c r="AH200" s="3">
        <f>(((AF200+AG200)/2)*(AC200/100)*AB200)/C200</f>
        <v>8.5585714285714278</v>
      </c>
    </row>
    <row r="201" spans="1:34" x14ac:dyDescent="0.35">
      <c r="A201" s="3" t="s">
        <v>228</v>
      </c>
      <c r="B201" s="3" t="s">
        <v>22</v>
      </c>
      <c r="C201" s="3">
        <v>28</v>
      </c>
      <c r="D201" s="3">
        <v>0.107</v>
      </c>
      <c r="E201" s="3">
        <v>0.13800000000000001</v>
      </c>
      <c r="F201" s="3">
        <v>0.17899999999999999</v>
      </c>
      <c r="G201" s="3">
        <v>84</v>
      </c>
      <c r="H201" s="3">
        <v>9</v>
      </c>
      <c r="I201" s="3">
        <v>0</v>
      </c>
      <c r="J201" s="3">
        <v>0</v>
      </c>
      <c r="K201" s="3">
        <v>2</v>
      </c>
      <c r="L201" s="3">
        <v>11</v>
      </c>
      <c r="M201" s="3">
        <v>6</v>
      </c>
      <c r="N201" s="3">
        <v>1</v>
      </c>
      <c r="O201" s="3">
        <v>2</v>
      </c>
      <c r="P201" s="3">
        <v>33</v>
      </c>
      <c r="Q201" s="3">
        <v>10</v>
      </c>
      <c r="R201" s="3">
        <v>3</v>
      </c>
      <c r="S201" s="6">
        <f>AH201/10</f>
        <v>0.85457142857142865</v>
      </c>
      <c r="T201" s="3">
        <v>40</v>
      </c>
      <c r="U201" s="4">
        <f>(S201*2)+T201</f>
        <v>41.709142857142858</v>
      </c>
      <c r="V201" s="4">
        <f>S201+T201</f>
        <v>40.854571428571425</v>
      </c>
      <c r="W201" s="3"/>
      <c r="X201" s="3"/>
      <c r="Y201" s="3"/>
      <c r="Z201" s="3"/>
      <c r="AA201" s="3"/>
      <c r="AB201" s="3">
        <f>_xlfn.IFS(B201="c", 8, B201="ss", 10, B201="cf", 8,  B201="2b", 8, B201="3b", 6, B201="rf", 4, B201="lf", 2, B201="1b", 2, B201 ="dh", 1)</f>
        <v>4</v>
      </c>
      <c r="AC201" s="3">
        <f>(G201+N201+O201)</f>
        <v>87</v>
      </c>
      <c r="AD201" s="5">
        <f>P201/AC201</f>
        <v>0.37931034482758619</v>
      </c>
      <c r="AE201" s="5">
        <f>(N201+O201)/AC201</f>
        <v>3.4482758620689655E-2</v>
      </c>
      <c r="AF201" s="4">
        <f>100-((AD201-AE201)*100)</f>
        <v>65.517241379310349</v>
      </c>
      <c r="AG201" s="3">
        <f>(F201-D201)*1000</f>
        <v>72</v>
      </c>
      <c r="AH201" s="3">
        <f>(((AF201+AG201)/2)*(AC201/100)*AB201)/C201</f>
        <v>8.5457142857142863</v>
      </c>
    </row>
    <row r="202" spans="1:34" x14ac:dyDescent="0.35">
      <c r="A202" s="3" t="s">
        <v>250</v>
      </c>
      <c r="B202" s="3" t="s">
        <v>25</v>
      </c>
      <c r="C202" s="3">
        <v>28</v>
      </c>
      <c r="D202" s="3">
        <v>0.129</v>
      </c>
      <c r="E202" s="3">
        <v>0.17599999999999999</v>
      </c>
      <c r="F202" s="3">
        <v>0.19400000000000001</v>
      </c>
      <c r="G202" s="3">
        <v>31</v>
      </c>
      <c r="H202" s="3">
        <v>4</v>
      </c>
      <c r="I202" s="3">
        <v>2</v>
      </c>
      <c r="J202" s="3">
        <v>0</v>
      </c>
      <c r="K202" s="3">
        <v>0</v>
      </c>
      <c r="L202" s="3">
        <v>5</v>
      </c>
      <c r="M202" s="3">
        <v>5</v>
      </c>
      <c r="N202" s="3">
        <v>1</v>
      </c>
      <c r="O202" s="3">
        <v>1</v>
      </c>
      <c r="P202" s="3">
        <v>9</v>
      </c>
      <c r="Q202" s="3">
        <v>5</v>
      </c>
      <c r="R202" s="3">
        <v>0</v>
      </c>
      <c r="S202" s="6">
        <f>AH202/10</f>
        <v>0.84732142857142867</v>
      </c>
      <c r="T202" s="3">
        <v>40</v>
      </c>
      <c r="U202" s="4">
        <f>(S202*2)+T202</f>
        <v>41.69464285714286</v>
      </c>
      <c r="V202" s="4">
        <f>S202+T202</f>
        <v>40.847321428571426</v>
      </c>
      <c r="W202" s="3"/>
      <c r="X202" s="3"/>
      <c r="Y202" s="3"/>
      <c r="Z202" s="3"/>
      <c r="AA202" s="3"/>
      <c r="AB202" s="3">
        <f>_xlfn.IFS(B202="c", 8, B202="ss", 10, B202="cf", 8,  B202="2b", 8, B202="3b", 6, B202="rf", 4, B202="lf", 2, B202="1b", 2, B202 ="dh", 1)</f>
        <v>10</v>
      </c>
      <c r="AC202" s="3">
        <f>(G202+N202+O202)</f>
        <v>33</v>
      </c>
      <c r="AD202" s="5">
        <f>P202/AC202</f>
        <v>0.27272727272727271</v>
      </c>
      <c r="AE202" s="5">
        <f>(N202+O202)/AC202</f>
        <v>6.0606060606060608E-2</v>
      </c>
      <c r="AF202" s="4">
        <f>100-((AD202-AE202)*100)</f>
        <v>78.787878787878782</v>
      </c>
      <c r="AG202" s="3">
        <f>(F202-D202)*1000</f>
        <v>65</v>
      </c>
      <c r="AH202" s="3">
        <f>(((AF202+AG202)/2)*(AC202/100)*AB202)/C202</f>
        <v>8.4732142857142865</v>
      </c>
    </row>
    <row r="203" spans="1:34" x14ac:dyDescent="0.35">
      <c r="A203" s="3" t="s">
        <v>55</v>
      </c>
      <c r="B203" s="3" t="s">
        <v>47</v>
      </c>
      <c r="C203" s="3">
        <v>23</v>
      </c>
      <c r="D203" s="3">
        <v>0.21</v>
      </c>
      <c r="E203" s="3">
        <v>0.28799999999999998</v>
      </c>
      <c r="F203" s="3">
        <v>0.3</v>
      </c>
      <c r="G203" s="3">
        <v>100</v>
      </c>
      <c r="H203" s="3">
        <v>21</v>
      </c>
      <c r="I203" s="3">
        <v>3</v>
      </c>
      <c r="J203" s="3">
        <v>0</v>
      </c>
      <c r="K203" s="3">
        <v>2</v>
      </c>
      <c r="L203" s="3">
        <v>10</v>
      </c>
      <c r="M203" s="3">
        <v>9</v>
      </c>
      <c r="N203" s="3">
        <v>1</v>
      </c>
      <c r="O203" s="3">
        <v>10</v>
      </c>
      <c r="P203" s="3">
        <v>28</v>
      </c>
      <c r="Q203" s="3">
        <v>3</v>
      </c>
      <c r="R203" s="3">
        <v>1</v>
      </c>
      <c r="S203" s="6">
        <f>AH203/10</f>
        <v>0.84304347826086956</v>
      </c>
      <c r="T203" s="3">
        <v>40</v>
      </c>
      <c r="U203" s="4">
        <f>(S203*2)+T203</f>
        <v>41.686086956521741</v>
      </c>
      <c r="V203" s="4">
        <f>S203+T203</f>
        <v>40.843043478260867</v>
      </c>
      <c r="W203" s="3"/>
      <c r="X203" s="3"/>
      <c r="Y203" s="3"/>
      <c r="Z203" s="3"/>
      <c r="AA203" s="3"/>
      <c r="AB203" s="3">
        <f>_xlfn.IFS(B203="c", 8, B203="ss", 10, B203="cf", 8,  B203="2b", 8, B203="3b", 6, B203="rf", 4, B203="lf", 2, B203="1b", 2, B203 ="dh", 1)</f>
        <v>2</v>
      </c>
      <c r="AC203" s="3">
        <f>(G203+N203+O203)</f>
        <v>111</v>
      </c>
      <c r="AD203" s="5">
        <f>P203/AC203</f>
        <v>0.25225225225225223</v>
      </c>
      <c r="AE203" s="5">
        <f>(N203+O203)/AC203</f>
        <v>9.90990990990991E-2</v>
      </c>
      <c r="AF203" s="4">
        <f>100-((AD203-AE203)*100)</f>
        <v>84.684684684684683</v>
      </c>
      <c r="AG203" s="3">
        <f>(F203-D203)*1000</f>
        <v>90</v>
      </c>
      <c r="AH203" s="3">
        <f>(((AF203+AG203)/2)*(AC203/100)*AB203)/C203</f>
        <v>8.4304347826086961</v>
      </c>
    </row>
    <row r="204" spans="1:34" x14ac:dyDescent="0.35">
      <c r="A204" s="3" t="s">
        <v>372</v>
      </c>
      <c r="B204" s="3" t="s">
        <v>28</v>
      </c>
      <c r="C204" s="3">
        <v>37</v>
      </c>
      <c r="D204" s="3">
        <v>0.247</v>
      </c>
      <c r="E204" s="3">
        <v>0.29099999999999998</v>
      </c>
      <c r="F204" s="3">
        <v>0.33700000000000002</v>
      </c>
      <c r="G204" s="3">
        <v>166</v>
      </c>
      <c r="H204" s="3">
        <v>41</v>
      </c>
      <c r="I204" s="3">
        <v>4</v>
      </c>
      <c r="J204" s="3">
        <v>1</v>
      </c>
      <c r="K204" s="3">
        <v>3</v>
      </c>
      <c r="L204" s="3">
        <v>10</v>
      </c>
      <c r="M204" s="3">
        <v>21</v>
      </c>
      <c r="N204" s="3">
        <v>3</v>
      </c>
      <c r="O204" s="3">
        <v>8</v>
      </c>
      <c r="P204" s="3">
        <v>40</v>
      </c>
      <c r="Q204" s="3">
        <v>0</v>
      </c>
      <c r="R204" s="3">
        <v>0</v>
      </c>
      <c r="S204" s="6">
        <f>AH204/10</f>
        <v>0.83054054054054072</v>
      </c>
      <c r="T204" s="3">
        <v>40</v>
      </c>
      <c r="U204" s="4">
        <f>(S204*2)+T204</f>
        <v>41.661081081081079</v>
      </c>
      <c r="V204" s="4">
        <f>S204+T204</f>
        <v>40.830540540540539</v>
      </c>
      <c r="W204" s="3"/>
      <c r="X204" s="3"/>
      <c r="Y204" s="3"/>
      <c r="Z204" s="3"/>
      <c r="AA204" s="3"/>
      <c r="AB204" s="3">
        <f>_xlfn.IFS(B204="c", 8, B204="ss", 10, B204="cf", 8,  B204="2b", 8, B204="3b", 6, B204="rf", 4, B204="lf", 2, B204="1b", 2, B204 ="dh", 1)</f>
        <v>2</v>
      </c>
      <c r="AC204" s="3">
        <f>(G204+N204+O204)</f>
        <v>177</v>
      </c>
      <c r="AD204" s="5">
        <f>P204/AC204</f>
        <v>0.22598870056497175</v>
      </c>
      <c r="AE204" s="5">
        <f>(N204+O204)/AC204</f>
        <v>6.2146892655367235E-2</v>
      </c>
      <c r="AF204" s="4">
        <f>100-((AD204-AE204)*100)</f>
        <v>83.615819209039557</v>
      </c>
      <c r="AG204" s="3">
        <f>(F204-D204)*1000</f>
        <v>90.000000000000028</v>
      </c>
      <c r="AH204" s="3">
        <f>(((AF204+AG204)/2)*(AC204/100)*AB204)/C204</f>
        <v>8.3054054054054074</v>
      </c>
    </row>
    <row r="205" spans="1:34" x14ac:dyDescent="0.35">
      <c r="A205" s="3" t="s">
        <v>65</v>
      </c>
      <c r="B205" s="3" t="s">
        <v>22</v>
      </c>
      <c r="C205" s="3">
        <v>23</v>
      </c>
      <c r="D205" s="3">
        <v>0.188</v>
      </c>
      <c r="E205" s="3">
        <v>0.29699999999999999</v>
      </c>
      <c r="F205" s="3">
        <v>0.34399999999999997</v>
      </c>
      <c r="G205" s="3">
        <v>32</v>
      </c>
      <c r="H205" s="3">
        <v>6</v>
      </c>
      <c r="I205" s="3">
        <v>2</v>
      </c>
      <c r="J205" s="3">
        <v>0</v>
      </c>
      <c r="K205" s="3">
        <v>1</v>
      </c>
      <c r="L205" s="3">
        <v>7</v>
      </c>
      <c r="M205" s="3">
        <v>6</v>
      </c>
      <c r="N205" s="3">
        <v>0</v>
      </c>
      <c r="O205" s="3">
        <v>5</v>
      </c>
      <c r="P205" s="3">
        <v>5</v>
      </c>
      <c r="Q205" s="3">
        <v>0</v>
      </c>
      <c r="R205" s="3">
        <v>0</v>
      </c>
      <c r="S205" s="6">
        <f>AH205/10</f>
        <v>0.82365217391304335</v>
      </c>
      <c r="T205" s="3">
        <v>40</v>
      </c>
      <c r="U205" s="4">
        <f>(S205*2)+T205</f>
        <v>41.647304347826086</v>
      </c>
      <c r="V205" s="4">
        <f>S205+T205</f>
        <v>40.823652173913047</v>
      </c>
      <c r="W205" s="3"/>
      <c r="X205" s="3"/>
      <c r="Y205" s="3"/>
      <c r="Z205" s="3"/>
      <c r="AA205" s="3"/>
      <c r="AB205" s="3">
        <f>_xlfn.IFS(B205="c", 8, B205="ss", 10, B205="cf", 8,  B205="2b", 8, B205="3b", 6, B205="rf", 4, B205="lf", 2, B205="1b", 2, B205 ="dh", 1)</f>
        <v>4</v>
      </c>
      <c r="AC205" s="3">
        <f>(G205+N205+O205)</f>
        <v>37</v>
      </c>
      <c r="AD205" s="5">
        <f>P205/AC205</f>
        <v>0.13513513513513514</v>
      </c>
      <c r="AE205" s="5">
        <f>(N205+O205)/AC205</f>
        <v>0.13513513513513514</v>
      </c>
      <c r="AF205" s="4">
        <f>100-((AD205-AE205)*100)</f>
        <v>100</v>
      </c>
      <c r="AG205" s="3">
        <f>(F205-D205)*1000</f>
        <v>155.99999999999997</v>
      </c>
      <c r="AH205" s="3">
        <f>(((AF205+AG205)/2)*(AC205/100)*AB205)/C205</f>
        <v>8.2365217391304331</v>
      </c>
    </row>
    <row r="206" spans="1:34" x14ac:dyDescent="0.35">
      <c r="A206" s="3" t="s">
        <v>297</v>
      </c>
      <c r="B206" s="3" t="s">
        <v>18</v>
      </c>
      <c r="C206" s="3">
        <v>30</v>
      </c>
      <c r="D206" s="3">
        <v>0.28599999999999998</v>
      </c>
      <c r="E206" s="3">
        <v>0.26700000000000002</v>
      </c>
      <c r="F206" s="3">
        <v>0.64300000000000002</v>
      </c>
      <c r="G206" s="3">
        <v>14</v>
      </c>
      <c r="H206" s="3">
        <v>4</v>
      </c>
      <c r="I206" s="3">
        <v>2</v>
      </c>
      <c r="J206" s="3">
        <v>0</v>
      </c>
      <c r="K206" s="3">
        <v>1</v>
      </c>
      <c r="L206" s="3">
        <v>3</v>
      </c>
      <c r="M206" s="3">
        <v>5</v>
      </c>
      <c r="N206" s="3">
        <v>0</v>
      </c>
      <c r="O206" s="3">
        <v>0</v>
      </c>
      <c r="P206" s="3">
        <v>3</v>
      </c>
      <c r="Q206" s="3">
        <v>0</v>
      </c>
      <c r="R206" s="3">
        <v>0</v>
      </c>
      <c r="S206" s="6">
        <f>AH206/10</f>
        <v>0.81306666666666683</v>
      </c>
      <c r="T206" s="3">
        <v>40</v>
      </c>
      <c r="U206" s="4">
        <f>(S206*2)+T206</f>
        <v>41.626133333333335</v>
      </c>
      <c r="V206" s="4">
        <f>S206+T206</f>
        <v>40.813066666666664</v>
      </c>
      <c r="W206" s="3"/>
      <c r="X206" s="3"/>
      <c r="Y206" s="3"/>
      <c r="Z206" s="3"/>
      <c r="AA206" s="3"/>
      <c r="AB206" s="3">
        <f>_xlfn.IFS(B206="c", 8, B206="ss", 10, B206="cf", 8,  B206="2b", 8, B206="3b", 6, B206="rf", 4, B206="lf", 2, B206="1b", 2, B206 ="dh", 1)</f>
        <v>8</v>
      </c>
      <c r="AC206" s="3">
        <f>(G206+N206+O206)</f>
        <v>14</v>
      </c>
      <c r="AD206" s="5">
        <f>P206/AC206</f>
        <v>0.21428571428571427</v>
      </c>
      <c r="AE206" s="5">
        <f>(N206+O206)/AC206</f>
        <v>0</v>
      </c>
      <c r="AF206" s="4">
        <f>100-((AD206-AE206)*100)</f>
        <v>78.571428571428569</v>
      </c>
      <c r="AG206" s="3">
        <f>(F206-D206)*1000</f>
        <v>357.00000000000006</v>
      </c>
      <c r="AH206" s="3">
        <f>(((AF206+AG206)/2)*(AC206/100)*AB206)/C206</f>
        <v>8.1306666666666683</v>
      </c>
    </row>
    <row r="207" spans="1:34" x14ac:dyDescent="0.35">
      <c r="A207" s="3" t="s">
        <v>167</v>
      </c>
      <c r="B207" s="3" t="s">
        <v>30</v>
      </c>
      <c r="C207" s="3">
        <v>26</v>
      </c>
      <c r="D207" s="3">
        <v>0.125</v>
      </c>
      <c r="E207" s="3">
        <v>0.125</v>
      </c>
      <c r="F207" s="3">
        <v>0.219</v>
      </c>
      <c r="G207" s="3">
        <v>32</v>
      </c>
      <c r="H207" s="3">
        <v>4</v>
      </c>
      <c r="I207" s="3">
        <v>0</v>
      </c>
      <c r="J207" s="3">
        <v>0</v>
      </c>
      <c r="K207" s="3">
        <v>1</v>
      </c>
      <c r="L207" s="3">
        <v>4</v>
      </c>
      <c r="M207" s="3">
        <v>1</v>
      </c>
      <c r="N207" s="3">
        <v>0</v>
      </c>
      <c r="O207" s="3">
        <v>0</v>
      </c>
      <c r="P207" s="3">
        <v>10</v>
      </c>
      <c r="Q207" s="3">
        <v>0</v>
      </c>
      <c r="R207" s="3">
        <v>0</v>
      </c>
      <c r="S207" s="6">
        <f>AH207/10</f>
        <v>0.80123076923076919</v>
      </c>
      <c r="T207" s="3">
        <v>40</v>
      </c>
      <c r="U207" s="4">
        <f>(S207*2)+T207</f>
        <v>41.60246153846154</v>
      </c>
      <c r="V207" s="4">
        <f>S207+T207</f>
        <v>40.80123076923077</v>
      </c>
      <c r="W207" s="3"/>
      <c r="X207" s="3"/>
      <c r="Y207" s="3"/>
      <c r="Z207" s="3"/>
      <c r="AA207" s="3"/>
      <c r="AB207" s="3">
        <f>_xlfn.IFS(B207="c", 8, B207="ss", 10, B207="cf", 8,  B207="2b", 8, B207="3b", 6, B207="rf", 4, B207="lf", 2, B207="1b", 2, B207 ="dh", 1)</f>
        <v>8</v>
      </c>
      <c r="AC207" s="3">
        <f>(G207+N207+O207)</f>
        <v>32</v>
      </c>
      <c r="AD207" s="5">
        <f>P207/AC207</f>
        <v>0.3125</v>
      </c>
      <c r="AE207" s="5">
        <f>(N207+O207)/AC207</f>
        <v>0</v>
      </c>
      <c r="AF207" s="4">
        <f>100-((AD207-AE207)*100)</f>
        <v>68.75</v>
      </c>
      <c r="AG207" s="3">
        <f>(F207-D207)*1000</f>
        <v>94</v>
      </c>
      <c r="AH207" s="3">
        <f>(((AF207+AG207)/2)*(AC207/100)*AB207)/C207</f>
        <v>8.0123076923076919</v>
      </c>
    </row>
    <row r="208" spans="1:34" x14ac:dyDescent="0.35">
      <c r="A208" s="3" t="s">
        <v>306</v>
      </c>
      <c r="B208" s="3" t="s">
        <v>18</v>
      </c>
      <c r="C208" s="3">
        <v>30</v>
      </c>
      <c r="D208" s="3">
        <v>0.14299999999999999</v>
      </c>
      <c r="E208" s="3">
        <v>0.182</v>
      </c>
      <c r="F208" s="3">
        <v>0.33300000000000002</v>
      </c>
      <c r="G208" s="3">
        <v>21</v>
      </c>
      <c r="H208" s="3">
        <v>3</v>
      </c>
      <c r="I208" s="3">
        <v>1</v>
      </c>
      <c r="J208" s="3">
        <v>0</v>
      </c>
      <c r="K208" s="3">
        <v>1</v>
      </c>
      <c r="L208" s="3">
        <v>2</v>
      </c>
      <c r="M208" s="3">
        <v>1</v>
      </c>
      <c r="N208" s="3">
        <v>0</v>
      </c>
      <c r="O208" s="3">
        <v>1</v>
      </c>
      <c r="P208" s="3">
        <v>6</v>
      </c>
      <c r="Q208" s="3">
        <v>0</v>
      </c>
      <c r="R208" s="3">
        <v>0</v>
      </c>
      <c r="S208" s="6">
        <f>AH208/10</f>
        <v>0.78400000000000014</v>
      </c>
      <c r="T208" s="3">
        <v>40</v>
      </c>
      <c r="U208" s="4">
        <f>(S208*2)+T208</f>
        <v>41.567999999999998</v>
      </c>
      <c r="V208" s="4">
        <f>S208+T208</f>
        <v>40.783999999999999</v>
      </c>
      <c r="W208" s="3"/>
      <c r="X208" s="3"/>
      <c r="Y208" s="3"/>
      <c r="Z208" s="3"/>
      <c r="AA208" s="3"/>
      <c r="AB208" s="3">
        <f>_xlfn.IFS(B208="c", 8, B208="ss", 10, B208="cf", 8,  B208="2b", 8, B208="3b", 6, B208="rf", 4, B208="lf", 2, B208="1b", 2, B208 ="dh", 1)</f>
        <v>8</v>
      </c>
      <c r="AC208" s="3">
        <f>(G208+N208+O208)</f>
        <v>22</v>
      </c>
      <c r="AD208" s="5">
        <f>P208/AC208</f>
        <v>0.27272727272727271</v>
      </c>
      <c r="AE208" s="5">
        <f>(N208+O208)/AC208</f>
        <v>4.5454545454545456E-2</v>
      </c>
      <c r="AF208" s="4">
        <f>100-((AD208-AE208)*100)</f>
        <v>77.27272727272728</v>
      </c>
      <c r="AG208" s="3">
        <f>(F208-D208)*1000</f>
        <v>190.00000000000003</v>
      </c>
      <c r="AH208" s="3">
        <f>(((AF208+AG208)/2)*(AC208/100)*AB208)/C208</f>
        <v>7.8400000000000016</v>
      </c>
    </row>
    <row r="209" spans="1:34" x14ac:dyDescent="0.35">
      <c r="A209" s="3" t="s">
        <v>229</v>
      </c>
      <c r="B209" s="3" t="s">
        <v>47</v>
      </c>
      <c r="C209" s="3">
        <v>28</v>
      </c>
      <c r="D209" s="3">
        <v>0.23100000000000001</v>
      </c>
      <c r="E209" s="3">
        <v>0.27600000000000002</v>
      </c>
      <c r="F209" s="3">
        <v>0.29899999999999999</v>
      </c>
      <c r="G209" s="3">
        <v>134</v>
      </c>
      <c r="H209" s="3">
        <v>31</v>
      </c>
      <c r="I209" s="3">
        <v>7</v>
      </c>
      <c r="J209" s="3">
        <v>1</v>
      </c>
      <c r="K209" s="3">
        <v>0</v>
      </c>
      <c r="L209" s="3">
        <v>17</v>
      </c>
      <c r="M209" s="3">
        <v>11</v>
      </c>
      <c r="N209" s="3">
        <v>1</v>
      </c>
      <c r="O209" s="3">
        <v>8</v>
      </c>
      <c r="P209" s="3">
        <v>36</v>
      </c>
      <c r="Q209" s="3">
        <v>10</v>
      </c>
      <c r="R209" s="3">
        <v>1</v>
      </c>
      <c r="S209" s="6">
        <f>AH209/10</f>
        <v>0.76157142857142834</v>
      </c>
      <c r="T209" s="3">
        <v>40</v>
      </c>
      <c r="U209" s="4">
        <f>(S209*2)+T209</f>
        <v>41.523142857142858</v>
      </c>
      <c r="V209" s="4">
        <f>S209+T209</f>
        <v>40.761571428571429</v>
      </c>
      <c r="W209" s="3"/>
      <c r="X209" s="3"/>
      <c r="Y209" s="3"/>
      <c r="Z209" s="3"/>
      <c r="AA209" s="3"/>
      <c r="AB209" s="3">
        <f>_xlfn.IFS(B209="c", 8, B209="ss", 10, B209="cf", 8,  B209="2b", 8, B209="3b", 6, B209="rf", 4, B209="lf", 2, B209="1b", 2, B209 ="dh", 1)</f>
        <v>2</v>
      </c>
      <c r="AC209" s="3">
        <f>(G209+N209+O209)</f>
        <v>143</v>
      </c>
      <c r="AD209" s="5">
        <f>P209/AC209</f>
        <v>0.25174825174825177</v>
      </c>
      <c r="AE209" s="5">
        <f>(N209+O209)/AC209</f>
        <v>6.2937062937062943E-2</v>
      </c>
      <c r="AF209" s="4">
        <f>100-((AD209-AE209)*100)</f>
        <v>81.11888111888112</v>
      </c>
      <c r="AG209" s="3">
        <f>(F209-D209)*1000</f>
        <v>67.999999999999972</v>
      </c>
      <c r="AH209" s="3">
        <f>(((AF209+AG209)/2)*(AC209/100)*AB209)/C209</f>
        <v>7.6157142857142839</v>
      </c>
    </row>
    <row r="210" spans="1:34" x14ac:dyDescent="0.35">
      <c r="A210" s="3" t="s">
        <v>257</v>
      </c>
      <c r="B210" s="3" t="s">
        <v>22</v>
      </c>
      <c r="C210" s="3">
        <v>29</v>
      </c>
      <c r="D210" s="3">
        <v>0.216</v>
      </c>
      <c r="E210" s="3">
        <v>0.27300000000000002</v>
      </c>
      <c r="F210" s="3">
        <v>0.33300000000000002</v>
      </c>
      <c r="G210" s="3">
        <v>51</v>
      </c>
      <c r="H210" s="3">
        <v>11</v>
      </c>
      <c r="I210" s="3">
        <v>4</v>
      </c>
      <c r="J210" s="3">
        <v>1</v>
      </c>
      <c r="K210" s="3">
        <v>0</v>
      </c>
      <c r="L210" s="3">
        <v>7</v>
      </c>
      <c r="M210" s="3">
        <v>2</v>
      </c>
      <c r="N210" s="3">
        <v>0</v>
      </c>
      <c r="O210" s="3">
        <v>4</v>
      </c>
      <c r="P210" s="3">
        <v>15</v>
      </c>
      <c r="Q210" s="3">
        <v>2</v>
      </c>
      <c r="R210" s="3">
        <v>1</v>
      </c>
      <c r="S210" s="6">
        <f>AH210/10</f>
        <v>0.74724137931034496</v>
      </c>
      <c r="T210" s="3">
        <v>40</v>
      </c>
      <c r="U210" s="4">
        <f>(S210*2)+T210</f>
        <v>41.494482758620691</v>
      </c>
      <c r="V210" s="4">
        <f>S210+T210</f>
        <v>40.747241379310346</v>
      </c>
      <c r="W210" s="3"/>
      <c r="X210" s="3"/>
      <c r="Y210" s="3"/>
      <c r="Z210" s="3"/>
      <c r="AA210" s="3"/>
      <c r="AB210" s="3">
        <f>_xlfn.IFS(B210="c", 8, B210="ss", 10, B210="cf", 8,  B210="2b", 8, B210="3b", 6, B210="rf", 4, B210="lf", 2, B210="1b", 2, B210 ="dh", 1)</f>
        <v>4</v>
      </c>
      <c r="AC210" s="3">
        <f>(G210+N210+O210)</f>
        <v>55</v>
      </c>
      <c r="AD210" s="5">
        <f>P210/AC210</f>
        <v>0.27272727272727271</v>
      </c>
      <c r="AE210" s="5">
        <f>(N210+O210)/AC210</f>
        <v>7.2727272727272724E-2</v>
      </c>
      <c r="AF210" s="4">
        <f>100-((AD210-AE210)*100)</f>
        <v>80</v>
      </c>
      <c r="AG210" s="3">
        <f>(F210-D210)*1000</f>
        <v>117.00000000000001</v>
      </c>
      <c r="AH210" s="3">
        <f>(((AF210+AG210)/2)*(AC210/100)*AB210)/C210</f>
        <v>7.4724137931034491</v>
      </c>
    </row>
    <row r="211" spans="1:34" x14ac:dyDescent="0.35">
      <c r="A211" s="3" t="s">
        <v>253</v>
      </c>
      <c r="B211" s="3" t="s">
        <v>22</v>
      </c>
      <c r="C211" s="3">
        <v>29</v>
      </c>
      <c r="D211" s="3">
        <v>0.16700000000000001</v>
      </c>
      <c r="E211" s="3">
        <v>0.247</v>
      </c>
      <c r="F211" s="3">
        <v>0.24199999999999999</v>
      </c>
      <c r="G211" s="3">
        <v>66</v>
      </c>
      <c r="H211" s="3">
        <v>11</v>
      </c>
      <c r="I211" s="3">
        <v>0</v>
      </c>
      <c r="J211" s="3">
        <v>1</v>
      </c>
      <c r="K211" s="3">
        <v>1</v>
      </c>
      <c r="L211" s="3">
        <v>7</v>
      </c>
      <c r="M211" s="3">
        <v>7</v>
      </c>
      <c r="N211" s="3">
        <v>0</v>
      </c>
      <c r="O211" s="3">
        <v>7</v>
      </c>
      <c r="P211" s="3">
        <v>27</v>
      </c>
      <c r="Q211" s="3">
        <v>1</v>
      </c>
      <c r="R211" s="3">
        <v>1</v>
      </c>
      <c r="S211" s="6">
        <f>AH211/10</f>
        <v>0.74310344827586206</v>
      </c>
      <c r="T211" s="3">
        <v>40</v>
      </c>
      <c r="U211" s="4">
        <f>(S211*2)+T211</f>
        <v>41.486206896551721</v>
      </c>
      <c r="V211" s="4">
        <f>S211+T211</f>
        <v>40.743103448275861</v>
      </c>
      <c r="W211" s="3"/>
      <c r="X211" s="3"/>
      <c r="Y211" s="3"/>
      <c r="Z211" s="3"/>
      <c r="AA211" s="3"/>
      <c r="AB211" s="3">
        <f>_xlfn.IFS(B211="c", 8, B211="ss", 10, B211="cf", 8,  B211="2b", 8, B211="3b", 6, B211="rf", 4, B211="lf", 2, B211="1b", 2, B211 ="dh", 1)</f>
        <v>4</v>
      </c>
      <c r="AC211" s="3">
        <f>(G211+N211+O211)</f>
        <v>73</v>
      </c>
      <c r="AD211" s="5">
        <f>P211/AC211</f>
        <v>0.36986301369863012</v>
      </c>
      <c r="AE211" s="5">
        <f>(N211+O211)/AC211</f>
        <v>9.5890410958904104E-2</v>
      </c>
      <c r="AF211" s="4">
        <f>100-((AD211-AE211)*100)</f>
        <v>72.602739726027394</v>
      </c>
      <c r="AG211" s="3">
        <f>(F211-D211)*1000</f>
        <v>74.999999999999986</v>
      </c>
      <c r="AH211" s="3">
        <f>(((AF211+AG211)/2)*(AC211/100)*AB211)/C211</f>
        <v>7.4310344827586201</v>
      </c>
    </row>
    <row r="212" spans="1:34" x14ac:dyDescent="0.35">
      <c r="A212" s="3" t="s">
        <v>140</v>
      </c>
      <c r="B212" s="3" t="s">
        <v>28</v>
      </c>
      <c r="C212" s="3">
        <v>26</v>
      </c>
      <c r="D212" s="3">
        <v>0.13400000000000001</v>
      </c>
      <c r="E212" s="3">
        <v>0.19400000000000001</v>
      </c>
      <c r="F212" s="3">
        <v>0.32800000000000001</v>
      </c>
      <c r="G212" s="3">
        <v>67</v>
      </c>
      <c r="H212" s="3">
        <v>9</v>
      </c>
      <c r="I212" s="3">
        <v>1</v>
      </c>
      <c r="J212" s="3">
        <v>0</v>
      </c>
      <c r="K212" s="3">
        <v>4</v>
      </c>
      <c r="L212" s="3">
        <v>6</v>
      </c>
      <c r="M212" s="3">
        <v>8</v>
      </c>
      <c r="N212" s="3">
        <v>0</v>
      </c>
      <c r="O212" s="3">
        <v>5</v>
      </c>
      <c r="P212" s="3">
        <v>30</v>
      </c>
      <c r="Q212" s="3">
        <v>1</v>
      </c>
      <c r="R212" s="3">
        <v>0</v>
      </c>
      <c r="S212" s="6">
        <f>AH212/10</f>
        <v>0.71799999999999986</v>
      </c>
      <c r="T212" s="3">
        <v>40</v>
      </c>
      <c r="U212" s="4">
        <f>(S212*2)+T212</f>
        <v>41.436</v>
      </c>
      <c r="V212" s="4">
        <f>S212+T212</f>
        <v>40.717999999999996</v>
      </c>
      <c r="W212" s="3"/>
      <c r="X212" s="3"/>
      <c r="Y212" s="3"/>
      <c r="Z212" s="3"/>
      <c r="AA212" s="3"/>
      <c r="AB212" s="3">
        <f>_xlfn.IFS(B212="c", 8, B212="ss", 10, B212="cf", 8,  B212="2b", 8, B212="3b", 6, B212="rf", 4, B212="lf", 2, B212="1b", 2, B212 ="dh", 1)</f>
        <v>2</v>
      </c>
      <c r="AC212" s="3">
        <f>(G212+N212+O212)</f>
        <v>72</v>
      </c>
      <c r="AD212" s="5">
        <f>P212/AC212</f>
        <v>0.41666666666666669</v>
      </c>
      <c r="AE212" s="5">
        <f>(N212+O212)/AC212</f>
        <v>6.9444444444444448E-2</v>
      </c>
      <c r="AF212" s="4">
        <f>100-((AD212-AE212)*100)</f>
        <v>65.277777777777771</v>
      </c>
      <c r="AG212" s="3">
        <f>(F212-D212)*1000</f>
        <v>194</v>
      </c>
      <c r="AH212" s="3">
        <f>(((AF212+AG212)/2)*(AC212/100)*AB212)/C212</f>
        <v>7.1799999999999988</v>
      </c>
    </row>
    <row r="213" spans="1:34" x14ac:dyDescent="0.35">
      <c r="A213" s="3" t="s">
        <v>153</v>
      </c>
      <c r="B213" s="3" t="s">
        <v>18</v>
      </c>
      <c r="C213" s="3">
        <v>26</v>
      </c>
      <c r="D213" s="3">
        <v>0.182</v>
      </c>
      <c r="E213" s="3">
        <v>0.20599999999999999</v>
      </c>
      <c r="F213" s="3">
        <v>0.24199999999999999</v>
      </c>
      <c r="G213" s="3">
        <v>33</v>
      </c>
      <c r="H213" s="3">
        <v>6</v>
      </c>
      <c r="I213" s="3">
        <v>2</v>
      </c>
      <c r="J213" s="3">
        <v>0</v>
      </c>
      <c r="K213" s="3">
        <v>0</v>
      </c>
      <c r="L213" s="3">
        <v>4</v>
      </c>
      <c r="M213" s="3">
        <v>2</v>
      </c>
      <c r="N213" s="3">
        <v>0</v>
      </c>
      <c r="O213" s="3">
        <v>1</v>
      </c>
      <c r="P213" s="3">
        <v>9</v>
      </c>
      <c r="Q213" s="3">
        <v>1</v>
      </c>
      <c r="R213" s="3">
        <v>0</v>
      </c>
      <c r="S213" s="6">
        <f>AH213/10</f>
        <v>0.71384615384615402</v>
      </c>
      <c r="T213" s="3">
        <v>40</v>
      </c>
      <c r="U213" s="4">
        <f>(S213*2)+T213</f>
        <v>41.427692307692311</v>
      </c>
      <c r="V213" s="4">
        <f>S213+T213</f>
        <v>40.713846153846156</v>
      </c>
      <c r="W213" s="3"/>
      <c r="X213" s="3"/>
      <c r="Y213" s="3"/>
      <c r="Z213" s="3"/>
      <c r="AA213" s="3"/>
      <c r="AB213" s="3">
        <f>_xlfn.IFS(B213="c", 8, B213="ss", 10, B213="cf", 8,  B213="2b", 8, B213="3b", 6, B213="rf", 4, B213="lf", 2, B213="1b", 2, B213 ="dh", 1)</f>
        <v>8</v>
      </c>
      <c r="AC213" s="3">
        <f>(G213+N213+O213)</f>
        <v>34</v>
      </c>
      <c r="AD213" s="5">
        <f>P213/AC213</f>
        <v>0.26470588235294118</v>
      </c>
      <c r="AE213" s="5">
        <f>(N213+O213)/AC213</f>
        <v>2.9411764705882353E-2</v>
      </c>
      <c r="AF213" s="4">
        <f>100-((AD213-AE213)*100)</f>
        <v>76.470588235294116</v>
      </c>
      <c r="AG213" s="3">
        <f>(F213-D213)*1000</f>
        <v>60</v>
      </c>
      <c r="AH213" s="3">
        <f>(((AF213+AG213)/2)*(AC213/100)*AB213)/C213</f>
        <v>7.1384615384615397</v>
      </c>
    </row>
    <row r="214" spans="1:34" x14ac:dyDescent="0.35">
      <c r="A214" s="3" t="s">
        <v>258</v>
      </c>
      <c r="B214" s="3" t="s">
        <v>20</v>
      </c>
      <c r="C214" s="3">
        <v>29</v>
      </c>
      <c r="D214" s="3">
        <v>0.17100000000000001</v>
      </c>
      <c r="E214" s="3">
        <v>0.22900000000000001</v>
      </c>
      <c r="F214" s="3">
        <v>0.36299999999999999</v>
      </c>
      <c r="G214" s="3">
        <v>146</v>
      </c>
      <c r="H214" s="3">
        <v>25</v>
      </c>
      <c r="I214" s="3">
        <v>4</v>
      </c>
      <c r="J214" s="3">
        <v>0</v>
      </c>
      <c r="K214" s="3">
        <v>8</v>
      </c>
      <c r="L214" s="3">
        <v>16</v>
      </c>
      <c r="M214" s="3">
        <v>23</v>
      </c>
      <c r="N214" s="3">
        <v>2</v>
      </c>
      <c r="O214" s="3">
        <v>9</v>
      </c>
      <c r="P214" s="3">
        <v>58</v>
      </c>
      <c r="Q214" s="3">
        <v>1</v>
      </c>
      <c r="R214" s="3">
        <v>0</v>
      </c>
      <c r="S214" s="6">
        <f>AH214/10</f>
        <v>0.70937931034482749</v>
      </c>
      <c r="T214" s="3">
        <v>40</v>
      </c>
      <c r="U214" s="4">
        <f>(S214*2)+T214</f>
        <v>41.418758620689658</v>
      </c>
      <c r="V214" s="4">
        <f>S214+T214</f>
        <v>40.709379310344829</v>
      </c>
      <c r="W214" s="3"/>
      <c r="X214" s="3"/>
      <c r="Y214" s="3"/>
      <c r="Z214" s="3"/>
      <c r="AA214" s="3"/>
      <c r="AB214" s="3">
        <f>_xlfn.IFS(B214="c", 8, B214="ss", 10, B214="cf", 8,  B214="2b", 8, B214="3b", 6, B214="rf", 4, B214="lf", 2, B214="1b", 2, B214 ="dh", 1)</f>
        <v>1</v>
      </c>
      <c r="AC214" s="3">
        <f>(G214+N214+O214)</f>
        <v>157</v>
      </c>
      <c r="AD214" s="5">
        <f>P214/AC214</f>
        <v>0.36942675159235666</v>
      </c>
      <c r="AE214" s="5">
        <f>(N214+O214)/AC214</f>
        <v>7.0063694267515922E-2</v>
      </c>
      <c r="AF214" s="4">
        <f>100-((AD214-AE214)*100)</f>
        <v>70.063694267515928</v>
      </c>
      <c r="AG214" s="3">
        <f>(F214-D214)*1000</f>
        <v>191.99999999999997</v>
      </c>
      <c r="AH214" s="3">
        <f>(((AF214+AG214)/2)*(AC214/100)*AB214)/C214</f>
        <v>7.0937931034482746</v>
      </c>
    </row>
    <row r="215" spans="1:34" x14ac:dyDescent="0.35">
      <c r="A215" s="3" t="s">
        <v>358</v>
      </c>
      <c r="B215" s="3" t="s">
        <v>18</v>
      </c>
      <c r="C215" s="3">
        <v>35</v>
      </c>
      <c r="D215" s="3">
        <v>0.214</v>
      </c>
      <c r="E215" s="3">
        <v>0.23300000000000001</v>
      </c>
      <c r="F215" s="3">
        <v>0.28599999999999998</v>
      </c>
      <c r="G215" s="3">
        <v>42</v>
      </c>
      <c r="H215" s="3">
        <v>9</v>
      </c>
      <c r="I215" s="3">
        <v>3</v>
      </c>
      <c r="J215" s="3">
        <v>0</v>
      </c>
      <c r="K215" s="3">
        <v>0</v>
      </c>
      <c r="L215" s="3">
        <v>4</v>
      </c>
      <c r="M215" s="3">
        <v>2</v>
      </c>
      <c r="N215" s="3">
        <v>0</v>
      </c>
      <c r="O215" s="3">
        <v>1</v>
      </c>
      <c r="P215" s="3">
        <v>14</v>
      </c>
      <c r="Q215" s="3">
        <v>0</v>
      </c>
      <c r="R215" s="3">
        <v>0</v>
      </c>
      <c r="S215" s="6">
        <f>AH215/10</f>
        <v>0.69668571428571435</v>
      </c>
      <c r="T215" s="3">
        <v>40</v>
      </c>
      <c r="U215" s="4">
        <f>(S215*2)+T215</f>
        <v>41.393371428571427</v>
      </c>
      <c r="V215" s="4">
        <f>S215+T215</f>
        <v>40.696685714285714</v>
      </c>
      <c r="W215" s="3"/>
      <c r="X215" s="3"/>
      <c r="Y215" s="3"/>
      <c r="Z215" s="3"/>
      <c r="AA215" s="3"/>
      <c r="AB215" s="3">
        <f>_xlfn.IFS(B215="c", 8, B215="ss", 10, B215="cf", 8,  B215="2b", 8, B215="3b", 6, B215="rf", 4, B215="lf", 2, B215="1b", 2, B215 ="dh", 1)</f>
        <v>8</v>
      </c>
      <c r="AC215" s="3">
        <f>(G215+N215+O215)</f>
        <v>43</v>
      </c>
      <c r="AD215" s="5">
        <f>P215/AC215</f>
        <v>0.32558139534883723</v>
      </c>
      <c r="AE215" s="5">
        <f>(N215+O215)/AC215</f>
        <v>2.3255813953488372E-2</v>
      </c>
      <c r="AF215" s="4">
        <f>100-((AD215-AE215)*100)</f>
        <v>69.767441860465112</v>
      </c>
      <c r="AG215" s="3">
        <f>(F215-D215)*1000</f>
        <v>71.999999999999986</v>
      </c>
      <c r="AH215" s="3">
        <f>(((AF215+AG215)/2)*(AC215/100)*AB215)/C215</f>
        <v>6.9668571428571431</v>
      </c>
    </row>
    <row r="216" spans="1:34" x14ac:dyDescent="0.35">
      <c r="A216" s="3" t="s">
        <v>334</v>
      </c>
      <c r="B216" s="3" t="s">
        <v>22</v>
      </c>
      <c r="C216" s="3">
        <v>32</v>
      </c>
      <c r="D216" s="3">
        <v>0.186</v>
      </c>
      <c r="E216" s="3">
        <v>0.26200000000000001</v>
      </c>
      <c r="F216" s="3">
        <v>0.24299999999999999</v>
      </c>
      <c r="G216" s="3">
        <v>70</v>
      </c>
      <c r="H216" s="3">
        <v>13</v>
      </c>
      <c r="I216" s="3">
        <v>4</v>
      </c>
      <c r="J216" s="3">
        <v>0</v>
      </c>
      <c r="K216" s="3">
        <v>0</v>
      </c>
      <c r="L216" s="3">
        <v>2</v>
      </c>
      <c r="M216" s="3">
        <v>4</v>
      </c>
      <c r="N216" s="3">
        <v>1</v>
      </c>
      <c r="O216" s="3">
        <v>7</v>
      </c>
      <c r="P216" s="3">
        <v>20</v>
      </c>
      <c r="Q216" s="3">
        <v>2</v>
      </c>
      <c r="R216" s="3">
        <v>2</v>
      </c>
      <c r="S216" s="6">
        <f>AH216/10</f>
        <v>0.69037500000000007</v>
      </c>
      <c r="T216" s="3">
        <v>40</v>
      </c>
      <c r="U216" s="4">
        <f>(S216*2)+T216</f>
        <v>41.380749999999999</v>
      </c>
      <c r="V216" s="4">
        <f>S216+T216</f>
        <v>40.690375000000003</v>
      </c>
      <c r="W216" s="3"/>
      <c r="X216" s="3"/>
      <c r="Y216" s="3"/>
      <c r="Z216" s="3"/>
      <c r="AA216" s="3"/>
      <c r="AB216" s="3">
        <f>_xlfn.IFS(B216="c", 8, B216="ss", 10, B216="cf", 8,  B216="2b", 8, B216="3b", 6, B216="rf", 4, B216="lf", 2, B216="1b", 2, B216 ="dh", 1)</f>
        <v>4</v>
      </c>
      <c r="AC216" s="3">
        <f>(G216+N216+O216)</f>
        <v>78</v>
      </c>
      <c r="AD216" s="5">
        <f>P216/AC216</f>
        <v>0.25641025641025639</v>
      </c>
      <c r="AE216" s="5">
        <f>(N216+O216)/AC216</f>
        <v>0.10256410256410256</v>
      </c>
      <c r="AF216" s="4">
        <f>100-((AD216-AE216)*100)</f>
        <v>84.615384615384613</v>
      </c>
      <c r="AG216" s="3">
        <f>(F216-D216)*1000</f>
        <v>56.999999999999993</v>
      </c>
      <c r="AH216" s="3">
        <f>(((AF216+AG216)/2)*(AC216/100)*AB216)/C216</f>
        <v>6.9037500000000005</v>
      </c>
    </row>
    <row r="217" spans="1:34" x14ac:dyDescent="0.35">
      <c r="A217" s="3" t="s">
        <v>35</v>
      </c>
      <c r="B217" s="3" t="s">
        <v>20</v>
      </c>
      <c r="C217" s="3">
        <v>22</v>
      </c>
      <c r="D217" s="3">
        <v>0.22500000000000001</v>
      </c>
      <c r="E217" s="3">
        <v>0.26500000000000001</v>
      </c>
      <c r="F217" s="3">
        <v>0.34799999999999998</v>
      </c>
      <c r="G217" s="3">
        <v>138</v>
      </c>
      <c r="H217" s="3">
        <v>31</v>
      </c>
      <c r="I217" s="3">
        <v>5</v>
      </c>
      <c r="J217" s="3">
        <v>0</v>
      </c>
      <c r="K217" s="3">
        <v>4</v>
      </c>
      <c r="L217" s="3">
        <v>13</v>
      </c>
      <c r="M217" s="3">
        <v>11</v>
      </c>
      <c r="N217" s="3">
        <v>0</v>
      </c>
      <c r="O217" s="3">
        <v>8</v>
      </c>
      <c r="P217" s="3">
        <v>44</v>
      </c>
      <c r="Q217" s="3">
        <v>0</v>
      </c>
      <c r="R217" s="3">
        <v>0</v>
      </c>
      <c r="S217" s="6">
        <f>AH217/10</f>
        <v>0.65813636363636341</v>
      </c>
      <c r="T217" s="3">
        <v>40</v>
      </c>
      <c r="U217" s="4">
        <f>(S217*2)+T217</f>
        <v>41.316272727272725</v>
      </c>
      <c r="V217" s="4">
        <f>S217+T217</f>
        <v>40.658136363636366</v>
      </c>
      <c r="W217" s="3"/>
      <c r="X217" s="3"/>
      <c r="Y217" s="3"/>
      <c r="Z217" s="3"/>
      <c r="AA217" s="3"/>
      <c r="AB217" s="3">
        <f>_xlfn.IFS(B217="c", 8, B217="ss", 10, B217="cf", 8,  B217="2b", 8, B217="3b", 6, B217="rf", 4, B217="lf", 2, B217="1b", 2, B217 ="dh", 1)</f>
        <v>1</v>
      </c>
      <c r="AC217" s="3">
        <f>(G217+N217+O217)</f>
        <v>146</v>
      </c>
      <c r="AD217" s="5">
        <f>P217/AC217</f>
        <v>0.30136986301369861</v>
      </c>
      <c r="AE217" s="5">
        <f>(N217+O217)/AC217</f>
        <v>5.4794520547945202E-2</v>
      </c>
      <c r="AF217" s="4">
        <f>100-((AD217-AE217)*100)</f>
        <v>75.342465753424662</v>
      </c>
      <c r="AG217" s="3">
        <f>(F217-D217)*1000</f>
        <v>122.99999999999997</v>
      </c>
      <c r="AH217" s="3">
        <f>(((AF217+AG217)/2)*(AC217/100)*AB217)/C217</f>
        <v>6.5813636363636343</v>
      </c>
    </row>
    <row r="218" spans="1:34" x14ac:dyDescent="0.35">
      <c r="A218" s="3" t="s">
        <v>290</v>
      </c>
      <c r="B218" s="3" t="s">
        <v>47</v>
      </c>
      <c r="C218" s="3">
        <v>30</v>
      </c>
      <c r="D218" s="3">
        <v>0.17</v>
      </c>
      <c r="E218" s="3">
        <v>0.29799999999999999</v>
      </c>
      <c r="F218" s="3">
        <v>0.27300000000000002</v>
      </c>
      <c r="G218" s="3">
        <v>88</v>
      </c>
      <c r="H218" s="3">
        <v>15</v>
      </c>
      <c r="I218" s="3">
        <v>0</v>
      </c>
      <c r="J218" s="3">
        <v>0</v>
      </c>
      <c r="K218" s="3">
        <v>3</v>
      </c>
      <c r="L218" s="3">
        <v>10</v>
      </c>
      <c r="M218" s="3">
        <v>7</v>
      </c>
      <c r="N218" s="3">
        <v>2</v>
      </c>
      <c r="O218" s="3">
        <v>14</v>
      </c>
      <c r="P218" s="3">
        <v>31</v>
      </c>
      <c r="Q218" s="3">
        <v>1</v>
      </c>
      <c r="R218" s="3">
        <v>0</v>
      </c>
      <c r="S218" s="6">
        <f>AH218/10</f>
        <v>0.6537333333333335</v>
      </c>
      <c r="T218" s="3">
        <v>40</v>
      </c>
      <c r="U218" s="4">
        <f>(S218*2)+T218</f>
        <v>41.30746666666667</v>
      </c>
      <c r="V218" s="4">
        <f>S218+T218</f>
        <v>40.653733333333335</v>
      </c>
      <c r="W218" s="3"/>
      <c r="X218" s="3"/>
      <c r="Y218" s="3"/>
      <c r="Z218" s="3"/>
      <c r="AA218" s="3"/>
      <c r="AB218" s="3">
        <f>_xlfn.IFS(B218="c", 8, B218="ss", 10, B218="cf", 8,  B218="2b", 8, B218="3b", 6, B218="rf", 4, B218="lf", 2, B218="1b", 2, B218 ="dh", 1)</f>
        <v>2</v>
      </c>
      <c r="AC218" s="3">
        <f>(G218+N218+O218)</f>
        <v>104</v>
      </c>
      <c r="AD218" s="5">
        <f>P218/AC218</f>
        <v>0.29807692307692307</v>
      </c>
      <c r="AE218" s="5">
        <f>(N218+O218)/AC218</f>
        <v>0.15384615384615385</v>
      </c>
      <c r="AF218" s="4">
        <f>100-((AD218-AE218)*100)</f>
        <v>85.57692307692308</v>
      </c>
      <c r="AG218" s="3">
        <f>(F218-D218)*1000</f>
        <v>103.00000000000001</v>
      </c>
      <c r="AH218" s="3">
        <f>(((AF218+AG218)/2)*(AC218/100)*AB218)/C218</f>
        <v>6.5373333333333346</v>
      </c>
    </row>
    <row r="219" spans="1:34" x14ac:dyDescent="0.35">
      <c r="A219" s="3" t="s">
        <v>205</v>
      </c>
      <c r="B219" s="3" t="s">
        <v>28</v>
      </c>
      <c r="C219" s="3">
        <v>27</v>
      </c>
      <c r="D219" s="3">
        <v>0.26</v>
      </c>
      <c r="E219" s="3">
        <v>0.317</v>
      </c>
      <c r="F219" s="3">
        <v>0.34399999999999997</v>
      </c>
      <c r="G219" s="3">
        <v>96</v>
      </c>
      <c r="H219" s="3">
        <v>25</v>
      </c>
      <c r="I219" s="3">
        <v>8</v>
      </c>
      <c r="J219" s="3">
        <v>0</v>
      </c>
      <c r="K219" s="3">
        <v>0</v>
      </c>
      <c r="L219" s="3">
        <v>13</v>
      </c>
      <c r="M219" s="3">
        <v>9</v>
      </c>
      <c r="N219" s="3">
        <v>3</v>
      </c>
      <c r="O219" s="3">
        <v>5</v>
      </c>
      <c r="P219" s="3">
        <v>24</v>
      </c>
      <c r="Q219" s="3">
        <v>2</v>
      </c>
      <c r="R219" s="3">
        <v>1</v>
      </c>
      <c r="S219" s="6">
        <f>AH219/10</f>
        <v>0.64948148148148144</v>
      </c>
      <c r="T219" s="3">
        <v>40</v>
      </c>
      <c r="U219" s="4">
        <f>(S219*2)+T219</f>
        <v>41.29896296296296</v>
      </c>
      <c r="V219" s="4">
        <f>S219+T219</f>
        <v>40.64948148148148</v>
      </c>
      <c r="W219" s="3"/>
      <c r="X219" s="3"/>
      <c r="Y219" s="3"/>
      <c r="Z219" s="3"/>
      <c r="AA219" s="3"/>
      <c r="AB219" s="3">
        <f>_xlfn.IFS(B219="c", 8, B219="ss", 10, B219="cf", 8,  B219="2b", 8, B219="3b", 6, B219="rf", 4, B219="lf", 2, B219="1b", 2, B219 ="dh", 1)</f>
        <v>2</v>
      </c>
      <c r="AC219" s="3">
        <f>(G219+N219+O219)</f>
        <v>104</v>
      </c>
      <c r="AD219" s="5">
        <f>P219/AC219</f>
        <v>0.23076923076923078</v>
      </c>
      <c r="AE219" s="5">
        <f>(N219+O219)/AC219</f>
        <v>7.6923076923076927E-2</v>
      </c>
      <c r="AF219" s="4">
        <f>100-((AD219-AE219)*100)</f>
        <v>84.615384615384613</v>
      </c>
      <c r="AG219" s="3">
        <f>(F219-D219)*1000</f>
        <v>83.999999999999957</v>
      </c>
      <c r="AH219" s="3">
        <f>(((AF219+AG219)/2)*(AC219/100)*AB219)/C219</f>
        <v>6.4948148148148146</v>
      </c>
    </row>
    <row r="220" spans="1:34" x14ac:dyDescent="0.35">
      <c r="A220" s="3" t="s">
        <v>278</v>
      </c>
      <c r="B220" s="3" t="s">
        <v>59</v>
      </c>
      <c r="C220" s="3">
        <v>29</v>
      </c>
      <c r="D220" s="3">
        <v>6.3E-2</v>
      </c>
      <c r="E220" s="3">
        <v>0.16700000000000001</v>
      </c>
      <c r="F220" s="3">
        <v>0.125</v>
      </c>
      <c r="G220" s="3">
        <v>32</v>
      </c>
      <c r="H220" s="3">
        <v>2</v>
      </c>
      <c r="I220" s="3">
        <v>2</v>
      </c>
      <c r="J220" s="3">
        <v>0</v>
      </c>
      <c r="K220" s="3">
        <v>0</v>
      </c>
      <c r="L220" s="3">
        <v>7</v>
      </c>
      <c r="M220" s="3">
        <v>1</v>
      </c>
      <c r="N220" s="3">
        <v>0</v>
      </c>
      <c r="O220" s="3">
        <v>4</v>
      </c>
      <c r="P220" s="3">
        <v>17</v>
      </c>
      <c r="Q220" s="3">
        <v>2</v>
      </c>
      <c r="R220" s="3">
        <v>0</v>
      </c>
      <c r="S220" s="6">
        <f>AH220/10</f>
        <v>0.62510344827586206</v>
      </c>
      <c r="T220" s="3">
        <v>40</v>
      </c>
      <c r="U220" s="4">
        <f>(S220*2)+T220</f>
        <v>41.250206896551724</v>
      </c>
      <c r="V220" s="4">
        <f>S220+T220</f>
        <v>40.625103448275866</v>
      </c>
      <c r="W220" s="3"/>
      <c r="X220" s="3"/>
      <c r="Y220" s="3"/>
      <c r="Z220" s="3"/>
      <c r="AA220" s="3"/>
      <c r="AB220" s="3">
        <f>_xlfn.IFS(B220="c", 8, B220="ss", 10, B220="cf", 8,  B220="2b", 8, B220="3b", 6, B220="rf", 4, B220="lf", 2, B220="1b", 2, B220 ="dh", 1)</f>
        <v>8</v>
      </c>
      <c r="AC220" s="3">
        <f>(G220+N220+O220)</f>
        <v>36</v>
      </c>
      <c r="AD220" s="5">
        <f>P220/AC220</f>
        <v>0.47222222222222221</v>
      </c>
      <c r="AE220" s="5">
        <f>(N220+O220)/AC220</f>
        <v>0.1111111111111111</v>
      </c>
      <c r="AF220" s="4">
        <f>100-((AD220-AE220)*100)</f>
        <v>63.888888888888893</v>
      </c>
      <c r="AG220" s="3">
        <f>(F220-D220)*1000</f>
        <v>62</v>
      </c>
      <c r="AH220" s="3">
        <f>(((AF220+AG220)/2)*(AC220/100)*AB220)/C220</f>
        <v>6.2510344827586204</v>
      </c>
    </row>
    <row r="221" spans="1:34" x14ac:dyDescent="0.35">
      <c r="A221" s="3" t="s">
        <v>371</v>
      </c>
      <c r="B221" s="3" t="s">
        <v>59</v>
      </c>
      <c r="C221" s="3">
        <v>36</v>
      </c>
      <c r="D221" s="3">
        <v>0.20899999999999999</v>
      </c>
      <c r="E221" s="3">
        <v>0.20899999999999999</v>
      </c>
      <c r="F221" s="3">
        <v>0.25600000000000001</v>
      </c>
      <c r="G221" s="3">
        <v>43</v>
      </c>
      <c r="H221" s="3">
        <v>9</v>
      </c>
      <c r="I221" s="3">
        <v>2</v>
      </c>
      <c r="J221" s="3">
        <v>0</v>
      </c>
      <c r="K221" s="3">
        <v>0</v>
      </c>
      <c r="L221" s="3">
        <v>6</v>
      </c>
      <c r="M221" s="3">
        <v>1</v>
      </c>
      <c r="N221" s="3">
        <v>0</v>
      </c>
      <c r="O221" s="3">
        <v>0</v>
      </c>
      <c r="P221" s="3">
        <v>8</v>
      </c>
      <c r="Q221" s="3">
        <v>3</v>
      </c>
      <c r="R221" s="3">
        <v>0</v>
      </c>
      <c r="S221" s="6">
        <f>AH221/10</f>
        <v>0.61344444444444446</v>
      </c>
      <c r="T221" s="3">
        <v>40</v>
      </c>
      <c r="U221" s="4">
        <f>(S221*2)+T221</f>
        <v>41.226888888888887</v>
      </c>
      <c r="V221" s="4">
        <f>S221+T221</f>
        <v>40.613444444444447</v>
      </c>
      <c r="W221" s="3"/>
      <c r="X221" s="3"/>
      <c r="Y221" s="3"/>
      <c r="Z221" s="3"/>
      <c r="AA221" s="3"/>
      <c r="AB221" s="3">
        <f>_xlfn.IFS(B221="c", 8, B221="ss", 10, B221="cf", 8,  B221="2b", 8, B221="3b", 6, B221="rf", 4, B221="lf", 2, B221="1b", 2, B221 ="dh", 1)</f>
        <v>8</v>
      </c>
      <c r="AC221" s="3">
        <f>(G221+N221+O221)</f>
        <v>43</v>
      </c>
      <c r="AD221" s="5">
        <f>P221/AC221</f>
        <v>0.18604651162790697</v>
      </c>
      <c r="AE221" s="5">
        <f>(N221+O221)/AC221</f>
        <v>0</v>
      </c>
      <c r="AF221" s="4">
        <f>100-((AD221-AE221)*100)</f>
        <v>81.395348837209298</v>
      </c>
      <c r="AG221" s="3">
        <f>(F221-D221)*1000</f>
        <v>47.000000000000014</v>
      </c>
      <c r="AH221" s="3">
        <f>(((AF221+AG221)/2)*(AC221/100)*AB221)/C221</f>
        <v>6.134444444444445</v>
      </c>
    </row>
    <row r="222" spans="1:34" x14ac:dyDescent="0.35">
      <c r="A222" s="3" t="s">
        <v>72</v>
      </c>
      <c r="B222" s="3" t="s">
        <v>22</v>
      </c>
      <c r="C222" s="3">
        <v>23</v>
      </c>
      <c r="D222" s="3">
        <v>0.11799999999999999</v>
      </c>
      <c r="E222" s="3">
        <v>0.189</v>
      </c>
      <c r="F222" s="3">
        <v>0.23499999999999999</v>
      </c>
      <c r="G222" s="3">
        <v>34</v>
      </c>
      <c r="H222" s="3">
        <v>4</v>
      </c>
      <c r="I222" s="3">
        <v>1</v>
      </c>
      <c r="J222" s="3">
        <v>0</v>
      </c>
      <c r="K222" s="3">
        <v>1</v>
      </c>
      <c r="L222" s="3">
        <v>1</v>
      </c>
      <c r="M222" s="3">
        <v>2</v>
      </c>
      <c r="N222" s="3">
        <v>1</v>
      </c>
      <c r="O222" s="3">
        <v>2</v>
      </c>
      <c r="P222" s="3">
        <v>14</v>
      </c>
      <c r="Q222" s="3">
        <v>1</v>
      </c>
      <c r="R222" s="3">
        <v>1</v>
      </c>
      <c r="S222" s="6">
        <f>AH222/10</f>
        <v>0.60252173913043472</v>
      </c>
      <c r="T222" s="3">
        <v>40</v>
      </c>
      <c r="U222" s="4">
        <f>(S222*2)+T222</f>
        <v>41.205043478260869</v>
      </c>
      <c r="V222" s="4">
        <f>S222+T222</f>
        <v>40.602521739130438</v>
      </c>
      <c r="W222" s="3"/>
      <c r="X222" s="3"/>
      <c r="Y222" s="3"/>
      <c r="Z222" s="3"/>
      <c r="AA222" s="3"/>
      <c r="AB222" s="3">
        <f>_xlfn.IFS(B222="c", 8, B222="ss", 10, B222="cf", 8,  B222="2b", 8, B222="3b", 6, B222="rf", 4, B222="lf", 2, B222="1b", 2, B222 ="dh", 1)</f>
        <v>4</v>
      </c>
      <c r="AC222" s="3">
        <f>(G222+N222+O222)</f>
        <v>37</v>
      </c>
      <c r="AD222" s="5">
        <f>P222/AC222</f>
        <v>0.3783783783783784</v>
      </c>
      <c r="AE222" s="5">
        <f>(N222+O222)/AC222</f>
        <v>8.1081081081081086E-2</v>
      </c>
      <c r="AF222" s="4">
        <f>100-((AD222-AE222)*100)</f>
        <v>70.270270270270274</v>
      </c>
      <c r="AG222" s="3">
        <f>(F222-D222)*1000</f>
        <v>117</v>
      </c>
      <c r="AH222" s="3">
        <f>(((AF222+AG222)/2)*(AC222/100)*AB222)/C222</f>
        <v>6.0252173913043467</v>
      </c>
    </row>
    <row r="223" spans="1:34" x14ac:dyDescent="0.35">
      <c r="A223" s="3" t="s">
        <v>204</v>
      </c>
      <c r="B223" s="3" t="s">
        <v>25</v>
      </c>
      <c r="C223" s="3">
        <v>27</v>
      </c>
      <c r="D223" s="3">
        <v>0.188</v>
      </c>
      <c r="E223" s="3">
        <v>0.188</v>
      </c>
      <c r="F223" s="3">
        <v>0.219</v>
      </c>
      <c r="G223" s="3">
        <v>32</v>
      </c>
      <c r="H223" s="3">
        <v>6</v>
      </c>
      <c r="I223" s="3">
        <v>1</v>
      </c>
      <c r="J223" s="3">
        <v>0</v>
      </c>
      <c r="K223" s="3">
        <v>0</v>
      </c>
      <c r="L223" s="3">
        <v>1</v>
      </c>
      <c r="M223" s="3">
        <v>0</v>
      </c>
      <c r="N223" s="3">
        <v>0</v>
      </c>
      <c r="O223" s="3">
        <v>0</v>
      </c>
      <c r="P223" s="3">
        <v>10</v>
      </c>
      <c r="Q223" s="3">
        <v>0</v>
      </c>
      <c r="R223" s="3">
        <v>0</v>
      </c>
      <c r="S223" s="6">
        <f>AH223/10</f>
        <v>0.59111111111111125</v>
      </c>
      <c r="T223" s="3">
        <v>40</v>
      </c>
      <c r="U223" s="4">
        <f>(S223*2)+T223</f>
        <v>41.182222222222222</v>
      </c>
      <c r="V223" s="4">
        <f>S223+T223</f>
        <v>40.591111111111111</v>
      </c>
      <c r="W223" s="3"/>
      <c r="X223" s="3"/>
      <c r="Y223" s="3"/>
      <c r="Z223" s="3"/>
      <c r="AA223" s="3"/>
      <c r="AB223" s="3">
        <f>_xlfn.IFS(B223="c", 8, B223="ss", 10, B223="cf", 8,  B223="2b", 8, B223="3b", 6, B223="rf", 4, B223="lf", 2, B223="1b", 2, B223 ="dh", 1)</f>
        <v>10</v>
      </c>
      <c r="AC223" s="3">
        <f>(G223+N223+O223)</f>
        <v>32</v>
      </c>
      <c r="AD223" s="5">
        <f>P223/AC223</f>
        <v>0.3125</v>
      </c>
      <c r="AE223" s="5">
        <f>(N223+O223)/AC223</f>
        <v>0</v>
      </c>
      <c r="AF223" s="4">
        <f>100-((AD223-AE223)*100)</f>
        <v>68.75</v>
      </c>
      <c r="AG223" s="3">
        <f>(F223-D223)*1000</f>
        <v>31</v>
      </c>
      <c r="AH223" s="3">
        <f>(((AF223+AG223)/2)*(AC223/100)*AB223)/C223</f>
        <v>5.9111111111111123</v>
      </c>
    </row>
    <row r="224" spans="1:34" x14ac:dyDescent="0.35">
      <c r="A224" s="3" t="s">
        <v>198</v>
      </c>
      <c r="B224" s="3" t="s">
        <v>32</v>
      </c>
      <c r="C224" s="3">
        <v>27</v>
      </c>
      <c r="D224" s="3">
        <v>0.16700000000000001</v>
      </c>
      <c r="E224" s="3">
        <v>0.16700000000000001</v>
      </c>
      <c r="F224" s="3">
        <v>0.25</v>
      </c>
      <c r="G224" s="3">
        <v>36</v>
      </c>
      <c r="H224" s="3">
        <v>6</v>
      </c>
      <c r="I224" s="3">
        <v>0</v>
      </c>
      <c r="J224" s="3">
        <v>0</v>
      </c>
      <c r="K224" s="3">
        <v>1</v>
      </c>
      <c r="L224" s="3">
        <v>2</v>
      </c>
      <c r="M224" s="3">
        <v>5</v>
      </c>
      <c r="N224" s="3">
        <v>0</v>
      </c>
      <c r="O224" s="3">
        <v>0</v>
      </c>
      <c r="P224" s="3">
        <v>13</v>
      </c>
      <c r="Q224" s="3">
        <v>0</v>
      </c>
      <c r="R224" s="3">
        <v>0</v>
      </c>
      <c r="S224" s="6">
        <f>AH224/10</f>
        <v>0.5875555555555555</v>
      </c>
      <c r="T224" s="3">
        <v>40</v>
      </c>
      <c r="U224" s="4">
        <f>(S224*2)+T224</f>
        <v>41.175111111111114</v>
      </c>
      <c r="V224" s="4">
        <f>S224+T224</f>
        <v>40.587555555555554</v>
      </c>
      <c r="W224" s="3"/>
      <c r="X224" s="3"/>
      <c r="Y224" s="3"/>
      <c r="Z224" s="3"/>
      <c r="AA224" s="3"/>
      <c r="AB224" s="3">
        <f>_xlfn.IFS(B224="c", 8, B224="ss", 10, B224="cf", 8,  B224="2b", 8, B224="3b", 6, B224="rf", 4, B224="lf", 2, B224="1b", 2, B224 ="dh", 1)</f>
        <v>6</v>
      </c>
      <c r="AC224" s="3">
        <f>(G224+N224+O224)</f>
        <v>36</v>
      </c>
      <c r="AD224" s="5">
        <f>P224/AC224</f>
        <v>0.3611111111111111</v>
      </c>
      <c r="AE224" s="5">
        <f>(N224+O224)/AC224</f>
        <v>0</v>
      </c>
      <c r="AF224" s="4">
        <f>100-((AD224-AE224)*100)</f>
        <v>63.888888888888893</v>
      </c>
      <c r="AG224" s="3">
        <f>(F224-D224)*1000</f>
        <v>82.999999999999986</v>
      </c>
      <c r="AH224" s="3">
        <f>(((AF224+AG224)/2)*(AC224/100)*AB224)/C224</f>
        <v>5.8755555555555548</v>
      </c>
    </row>
    <row r="225" spans="1:34" x14ac:dyDescent="0.35">
      <c r="A225" s="3" t="s">
        <v>84</v>
      </c>
      <c r="B225" s="3" t="s">
        <v>32</v>
      </c>
      <c r="C225" s="3">
        <v>24</v>
      </c>
      <c r="D225" s="3">
        <v>0.106</v>
      </c>
      <c r="E225" s="3">
        <v>0.23599999999999999</v>
      </c>
      <c r="F225" s="3">
        <v>0.106</v>
      </c>
      <c r="G225" s="3">
        <v>47</v>
      </c>
      <c r="H225" s="3">
        <v>5</v>
      </c>
      <c r="I225" s="3">
        <v>0</v>
      </c>
      <c r="J225" s="3">
        <v>0</v>
      </c>
      <c r="K225" s="3">
        <v>0</v>
      </c>
      <c r="L225" s="3">
        <v>8</v>
      </c>
      <c r="M225" s="3">
        <v>3</v>
      </c>
      <c r="N225" s="3">
        <v>1</v>
      </c>
      <c r="O225" s="3">
        <v>7</v>
      </c>
      <c r="P225" s="3">
        <v>16</v>
      </c>
      <c r="Q225" s="3">
        <v>0</v>
      </c>
      <c r="R225" s="3">
        <v>0</v>
      </c>
      <c r="S225" s="6">
        <f>AH225/10</f>
        <v>0.58750000000000002</v>
      </c>
      <c r="T225" s="3">
        <v>40</v>
      </c>
      <c r="U225" s="4">
        <f>(S225*2)+T225</f>
        <v>41.174999999999997</v>
      </c>
      <c r="V225" s="4">
        <f>S225+T225</f>
        <v>40.587499999999999</v>
      </c>
      <c r="W225" s="3"/>
      <c r="X225" s="3"/>
      <c r="Y225" s="3"/>
      <c r="Z225" s="3"/>
      <c r="AA225" s="3"/>
      <c r="AB225" s="3">
        <f>_xlfn.IFS(B225="c", 8, B225="ss", 10, B225="cf", 8,  B225="2b", 8, B225="3b", 6, B225="rf", 4, B225="lf", 2, B225="1b", 2, B225 ="dh", 1)</f>
        <v>6</v>
      </c>
      <c r="AC225" s="3">
        <f>(G225+N225+O225)</f>
        <v>55</v>
      </c>
      <c r="AD225" s="5">
        <f>P225/AC225</f>
        <v>0.29090909090909089</v>
      </c>
      <c r="AE225" s="5">
        <f>(N225+O225)/AC225</f>
        <v>0.14545454545454545</v>
      </c>
      <c r="AF225" s="4">
        <f>100-((AD225-AE225)*100)</f>
        <v>85.454545454545453</v>
      </c>
      <c r="AG225" s="3">
        <f>(F225-D225)*1000</f>
        <v>0</v>
      </c>
      <c r="AH225" s="3">
        <f>(((AF225+AG225)/2)*(AC225/100)*AB225)/C225</f>
        <v>5.875</v>
      </c>
    </row>
    <row r="226" spans="1:34" x14ac:dyDescent="0.35">
      <c r="A226" s="3" t="s">
        <v>295</v>
      </c>
      <c r="B226" s="3" t="s">
        <v>25</v>
      </c>
      <c r="C226" s="3">
        <v>30</v>
      </c>
      <c r="D226" s="3">
        <v>0.13600000000000001</v>
      </c>
      <c r="E226" s="3">
        <v>0.26900000000000002</v>
      </c>
      <c r="F226" s="3">
        <v>0.182</v>
      </c>
      <c r="G226" s="3">
        <v>22</v>
      </c>
      <c r="H226" s="3">
        <v>3</v>
      </c>
      <c r="I226" s="3">
        <v>1</v>
      </c>
      <c r="J226" s="3">
        <v>0</v>
      </c>
      <c r="K226" s="3">
        <v>0</v>
      </c>
      <c r="L226" s="3">
        <v>5</v>
      </c>
      <c r="M226" s="3">
        <v>1</v>
      </c>
      <c r="N226" s="3">
        <v>1</v>
      </c>
      <c r="O226" s="3">
        <v>3</v>
      </c>
      <c r="P226" s="3">
        <v>7</v>
      </c>
      <c r="Q226" s="3">
        <v>2</v>
      </c>
      <c r="R226" s="3">
        <v>0</v>
      </c>
      <c r="S226" s="6">
        <f>AH226/10</f>
        <v>0.58266666666666667</v>
      </c>
      <c r="T226" s="3">
        <v>40</v>
      </c>
      <c r="U226" s="4">
        <f>(S226*2)+T226</f>
        <v>41.165333333333336</v>
      </c>
      <c r="V226" s="4">
        <f>S226+T226</f>
        <v>40.582666666666668</v>
      </c>
      <c r="W226" s="3"/>
      <c r="X226" s="3"/>
      <c r="Y226" s="3"/>
      <c r="Z226" s="3"/>
      <c r="AA226" s="3"/>
      <c r="AB226" s="3">
        <f>_xlfn.IFS(B226="c", 8, B226="ss", 10, B226="cf", 8,  B226="2b", 8, B226="3b", 6, B226="rf", 4, B226="lf", 2, B226="1b", 2, B226 ="dh", 1)</f>
        <v>10</v>
      </c>
      <c r="AC226" s="3">
        <f>(G226+N226+O226)</f>
        <v>26</v>
      </c>
      <c r="AD226" s="5">
        <f>P226/AC226</f>
        <v>0.26923076923076922</v>
      </c>
      <c r="AE226" s="5">
        <f>(N226+O226)/AC226</f>
        <v>0.15384615384615385</v>
      </c>
      <c r="AF226" s="4">
        <f>100-((AD226-AE226)*100)</f>
        <v>88.461538461538467</v>
      </c>
      <c r="AG226" s="3">
        <f>(F226-D226)*1000</f>
        <v>45.999999999999986</v>
      </c>
      <c r="AH226" s="3">
        <f>(((AF226+AG226)/2)*(AC226/100)*AB226)/C226</f>
        <v>5.8266666666666671</v>
      </c>
    </row>
    <row r="227" spans="1:34" x14ac:dyDescent="0.35">
      <c r="A227" s="3" t="s">
        <v>313</v>
      </c>
      <c r="B227" s="3" t="s">
        <v>47</v>
      </c>
      <c r="C227" s="3">
        <v>31</v>
      </c>
      <c r="D227" s="3">
        <v>0.19600000000000001</v>
      </c>
      <c r="E227" s="3">
        <v>0.32800000000000001</v>
      </c>
      <c r="F227" s="3">
        <v>0.41199999999999998</v>
      </c>
      <c r="G227" s="3">
        <v>51</v>
      </c>
      <c r="H227" s="3">
        <v>10</v>
      </c>
      <c r="I227" s="3">
        <v>3</v>
      </c>
      <c r="J227" s="3">
        <v>1</v>
      </c>
      <c r="K227" s="3">
        <v>2</v>
      </c>
      <c r="L227" s="3">
        <v>8</v>
      </c>
      <c r="M227" s="3">
        <v>3</v>
      </c>
      <c r="N227" s="3">
        <v>0</v>
      </c>
      <c r="O227" s="3">
        <v>10</v>
      </c>
      <c r="P227" s="3">
        <v>23</v>
      </c>
      <c r="Q227" s="3">
        <v>2</v>
      </c>
      <c r="R227" s="3">
        <v>1</v>
      </c>
      <c r="S227" s="6">
        <f>AH227/10</f>
        <v>0.57987096774193547</v>
      </c>
      <c r="T227" s="3">
        <v>40</v>
      </c>
      <c r="U227" s="4">
        <f>(S227*2)+T227</f>
        <v>41.159741935483872</v>
      </c>
      <c r="V227" s="4">
        <f>S227+T227</f>
        <v>40.579870967741932</v>
      </c>
      <c r="W227" s="3"/>
      <c r="X227" s="3"/>
      <c r="Y227" s="3"/>
      <c r="Z227" s="3"/>
      <c r="AA227" s="3"/>
      <c r="AB227" s="3">
        <f>_xlfn.IFS(B227="c", 8, B227="ss", 10, B227="cf", 8,  B227="2b", 8, B227="3b", 6, B227="rf", 4, B227="lf", 2, B227="1b", 2, B227 ="dh", 1)</f>
        <v>2</v>
      </c>
      <c r="AC227" s="3">
        <f>(G227+N227+O227)</f>
        <v>61</v>
      </c>
      <c r="AD227" s="5">
        <f>P227/AC227</f>
        <v>0.37704918032786883</v>
      </c>
      <c r="AE227" s="5">
        <f>(N227+O227)/AC227</f>
        <v>0.16393442622950818</v>
      </c>
      <c r="AF227" s="4">
        <f>100-((AD227-AE227)*100)</f>
        <v>78.688524590163937</v>
      </c>
      <c r="AG227" s="3">
        <f>(F227-D227)*1000</f>
        <v>215.99999999999997</v>
      </c>
      <c r="AH227" s="3">
        <f>(((AF227+AG227)/2)*(AC227/100)*AB227)/C227</f>
        <v>5.7987096774193549</v>
      </c>
    </row>
    <row r="228" spans="1:34" x14ac:dyDescent="0.35">
      <c r="A228" s="3" t="s">
        <v>26</v>
      </c>
      <c r="B228" s="3" t="s">
        <v>20</v>
      </c>
      <c r="C228" s="3">
        <v>21</v>
      </c>
      <c r="D228" s="3">
        <v>0.3</v>
      </c>
      <c r="E228" s="3">
        <v>0.39100000000000001</v>
      </c>
      <c r="F228" s="3">
        <v>0.55000000000000004</v>
      </c>
      <c r="G228" s="3">
        <v>60</v>
      </c>
      <c r="H228" s="3">
        <v>18</v>
      </c>
      <c r="I228" s="3">
        <v>6</v>
      </c>
      <c r="J228" s="3">
        <v>0</v>
      </c>
      <c r="K228" s="3">
        <v>3</v>
      </c>
      <c r="L228" s="3">
        <v>12</v>
      </c>
      <c r="M228" s="3">
        <v>13</v>
      </c>
      <c r="N228" s="3">
        <v>0</v>
      </c>
      <c r="O228" s="3">
        <v>9</v>
      </c>
      <c r="P228" s="3">
        <v>12</v>
      </c>
      <c r="Q228" s="3">
        <v>0</v>
      </c>
      <c r="R228" s="3">
        <v>0</v>
      </c>
      <c r="S228" s="6">
        <f>AH228/10</f>
        <v>0.56785714285714284</v>
      </c>
      <c r="T228" s="3">
        <v>60</v>
      </c>
      <c r="U228" s="4">
        <f>(S228*2)+T228</f>
        <v>61.135714285714286</v>
      </c>
      <c r="V228" s="4">
        <f>S228+T228</f>
        <v>60.567857142857143</v>
      </c>
      <c r="W228" s="3"/>
      <c r="X228" s="3"/>
      <c r="Y228" s="3"/>
      <c r="Z228" s="3"/>
      <c r="AA228" s="3"/>
      <c r="AB228" s="3">
        <f>_xlfn.IFS(B228="c", 8, B228="ss", 10, B228="cf", 8,  B228="2b", 8, B228="3b", 6, B228="rf", 4, B228="lf", 2, B228="1b", 2, B228 ="dh", 1)</f>
        <v>1</v>
      </c>
      <c r="AC228" s="3">
        <f>(G228+N228+O228)</f>
        <v>69</v>
      </c>
      <c r="AD228" s="5">
        <f>P228/AC228</f>
        <v>0.17391304347826086</v>
      </c>
      <c r="AE228" s="5">
        <f>(N228+O228)/AC228</f>
        <v>0.13043478260869565</v>
      </c>
      <c r="AF228" s="4">
        <f>100-((AD228-AE228)*100)</f>
        <v>95.652173913043484</v>
      </c>
      <c r="AG228" s="3">
        <f>(F228-D228)*1000</f>
        <v>250.00000000000006</v>
      </c>
      <c r="AH228" s="3">
        <f>(((AF228+AG228)/2)*(AC228/100)*AB228)/C228</f>
        <v>5.6785714285714288</v>
      </c>
    </row>
    <row r="229" spans="1:34" x14ac:dyDescent="0.35">
      <c r="A229" s="3" t="s">
        <v>326</v>
      </c>
      <c r="B229" s="3" t="s">
        <v>18</v>
      </c>
      <c r="C229" s="3">
        <v>32</v>
      </c>
      <c r="D229" s="3">
        <v>0.25600000000000001</v>
      </c>
      <c r="E229" s="3">
        <v>0.25600000000000001</v>
      </c>
      <c r="F229" s="3">
        <v>0.308</v>
      </c>
      <c r="G229" s="3">
        <v>39</v>
      </c>
      <c r="H229" s="3">
        <v>10</v>
      </c>
      <c r="I229" s="3">
        <v>2</v>
      </c>
      <c r="J229" s="3">
        <v>0</v>
      </c>
      <c r="K229" s="3">
        <v>0</v>
      </c>
      <c r="L229" s="3">
        <v>3</v>
      </c>
      <c r="M229" s="3">
        <v>3</v>
      </c>
      <c r="N229" s="3">
        <v>0</v>
      </c>
      <c r="O229" s="3">
        <v>0</v>
      </c>
      <c r="P229" s="3">
        <v>14</v>
      </c>
      <c r="Q229" s="3">
        <v>1</v>
      </c>
      <c r="R229" s="3">
        <v>0</v>
      </c>
      <c r="S229" s="6">
        <f>AH229/10</f>
        <v>0.56599999999999995</v>
      </c>
      <c r="T229" s="3">
        <v>40</v>
      </c>
      <c r="U229" s="4">
        <f>(S229*2)+T229</f>
        <v>41.131999999999998</v>
      </c>
      <c r="V229" s="4">
        <f>S229+T229</f>
        <v>40.566000000000003</v>
      </c>
      <c r="W229" s="3"/>
      <c r="X229" s="3"/>
      <c r="Y229" s="3"/>
      <c r="Z229" s="3"/>
      <c r="AA229" s="3"/>
      <c r="AB229" s="3">
        <f>_xlfn.IFS(B229="c", 8, B229="ss", 10, B229="cf", 8,  B229="2b", 8, B229="3b", 6, B229="rf", 4, B229="lf", 2, B229="1b", 2, B229 ="dh", 1)</f>
        <v>8</v>
      </c>
      <c r="AC229" s="3">
        <f>(G229+N229+O229)</f>
        <v>39</v>
      </c>
      <c r="AD229" s="5">
        <f>P229/AC229</f>
        <v>0.35897435897435898</v>
      </c>
      <c r="AE229" s="5">
        <f>(N229+O229)/AC229</f>
        <v>0</v>
      </c>
      <c r="AF229" s="4">
        <f>100-((AD229-AE229)*100)</f>
        <v>64.102564102564102</v>
      </c>
      <c r="AG229" s="3">
        <f>(F229-D229)*1000</f>
        <v>51.999999999999993</v>
      </c>
      <c r="AH229" s="3">
        <f>(((AF229+AG229)/2)*(AC229/100)*AB229)/C229</f>
        <v>5.6599999999999993</v>
      </c>
    </row>
    <row r="230" spans="1:34" x14ac:dyDescent="0.35">
      <c r="A230" s="3" t="s">
        <v>179</v>
      </c>
      <c r="B230" s="3" t="s">
        <v>32</v>
      </c>
      <c r="C230" s="3">
        <v>27</v>
      </c>
      <c r="D230" s="3">
        <v>0.16700000000000001</v>
      </c>
      <c r="E230" s="3">
        <v>0.20499999999999999</v>
      </c>
      <c r="F230" s="3">
        <v>0.222</v>
      </c>
      <c r="G230" s="3">
        <v>36</v>
      </c>
      <c r="H230" s="3">
        <v>6</v>
      </c>
      <c r="I230" s="3">
        <v>2</v>
      </c>
      <c r="J230" s="3">
        <v>0</v>
      </c>
      <c r="K230" s="3">
        <v>0</v>
      </c>
      <c r="L230" s="3">
        <v>4</v>
      </c>
      <c r="M230" s="3">
        <v>6</v>
      </c>
      <c r="N230" s="3">
        <v>0</v>
      </c>
      <c r="O230" s="3">
        <v>2</v>
      </c>
      <c r="P230" s="3">
        <v>11</v>
      </c>
      <c r="Q230" s="3">
        <v>1</v>
      </c>
      <c r="R230" s="3">
        <v>0</v>
      </c>
      <c r="S230" s="6">
        <f>AH230/10</f>
        <v>0.55444444444444441</v>
      </c>
      <c r="T230" s="3">
        <v>40</v>
      </c>
      <c r="U230" s="4">
        <f>(S230*2)+T230</f>
        <v>41.108888888888892</v>
      </c>
      <c r="V230" s="4">
        <f>S230+T230</f>
        <v>40.554444444444442</v>
      </c>
      <c r="W230" s="3"/>
      <c r="X230" s="3"/>
      <c r="Y230" s="3"/>
      <c r="Z230" s="3"/>
      <c r="AA230" s="3"/>
      <c r="AB230" s="3">
        <f>_xlfn.IFS(B230="c", 8, B230="ss", 10, B230="cf", 8,  B230="2b", 8, B230="3b", 6, B230="rf", 4, B230="lf", 2, B230="1b", 2, B230 ="dh", 1)</f>
        <v>6</v>
      </c>
      <c r="AC230" s="3">
        <f>(G230+N230+O230)</f>
        <v>38</v>
      </c>
      <c r="AD230" s="5">
        <f>P230/AC230</f>
        <v>0.28947368421052633</v>
      </c>
      <c r="AE230" s="5">
        <f>(N230+O230)/AC230</f>
        <v>5.2631578947368418E-2</v>
      </c>
      <c r="AF230" s="4">
        <f>100-((AD230-AE230)*100)</f>
        <v>76.315789473684205</v>
      </c>
      <c r="AG230" s="3">
        <f>(F230-D230)*1000</f>
        <v>54.999999999999993</v>
      </c>
      <c r="AH230" s="3">
        <f>(((AF230+AG230)/2)*(AC230/100)*AB230)/C230</f>
        <v>5.5444444444444443</v>
      </c>
    </row>
    <row r="231" spans="1:34" x14ac:dyDescent="0.35">
      <c r="A231" s="3" t="s">
        <v>365</v>
      </c>
      <c r="B231" s="3" t="s">
        <v>18</v>
      </c>
      <c r="C231" s="3">
        <v>35</v>
      </c>
      <c r="D231" s="3">
        <v>0.184</v>
      </c>
      <c r="E231" s="3">
        <v>0.22500000000000001</v>
      </c>
      <c r="F231" s="3">
        <v>0.21099999999999999</v>
      </c>
      <c r="G231" s="3">
        <v>38</v>
      </c>
      <c r="H231" s="3">
        <v>7</v>
      </c>
      <c r="I231" s="3">
        <v>1</v>
      </c>
      <c r="J231" s="3">
        <v>0</v>
      </c>
      <c r="K231" s="3">
        <v>0</v>
      </c>
      <c r="L231" s="3">
        <v>2</v>
      </c>
      <c r="M231" s="3">
        <v>1</v>
      </c>
      <c r="N231" s="3">
        <v>0</v>
      </c>
      <c r="O231" s="3">
        <v>2</v>
      </c>
      <c r="P231" s="3">
        <v>5</v>
      </c>
      <c r="Q231" s="3">
        <v>0</v>
      </c>
      <c r="R231" s="3">
        <v>0</v>
      </c>
      <c r="S231" s="6">
        <f>AH231/10</f>
        <v>0.54628571428571437</v>
      </c>
      <c r="T231" s="3">
        <v>40</v>
      </c>
      <c r="U231" s="4">
        <f>(S231*2)+T231</f>
        <v>41.092571428571432</v>
      </c>
      <c r="V231" s="4">
        <f>S231+T231</f>
        <v>40.546285714285716</v>
      </c>
      <c r="W231" s="3"/>
      <c r="X231" s="3"/>
      <c r="Y231" s="3"/>
      <c r="Z231" s="3"/>
      <c r="AA231" s="3"/>
      <c r="AB231" s="3">
        <f>_xlfn.IFS(B231="c", 8, B231="ss", 10, B231="cf", 8,  B231="2b", 8, B231="3b", 6, B231="rf", 4, B231="lf", 2, B231="1b", 2, B231 ="dh", 1)</f>
        <v>8</v>
      </c>
      <c r="AC231" s="3">
        <f>(G231+N231+O231)</f>
        <v>40</v>
      </c>
      <c r="AD231" s="5">
        <f>P231/AC231</f>
        <v>0.125</v>
      </c>
      <c r="AE231" s="5">
        <f>(N231+O231)/AC231</f>
        <v>0.05</v>
      </c>
      <c r="AF231" s="4">
        <f>100-((AD231-AE231)*100)</f>
        <v>92.5</v>
      </c>
      <c r="AG231" s="3">
        <f>(F231-D231)*1000</f>
        <v>26.999999999999996</v>
      </c>
      <c r="AH231" s="3">
        <f>(((AF231+AG231)/2)*(AC231/100)*AB231)/C231</f>
        <v>5.4628571428571435</v>
      </c>
    </row>
    <row r="232" spans="1:34" x14ac:dyDescent="0.35">
      <c r="A232" s="3" t="s">
        <v>34</v>
      </c>
      <c r="B232" s="3" t="s">
        <v>22</v>
      </c>
      <c r="C232" s="3">
        <v>22</v>
      </c>
      <c r="D232" s="3">
        <v>0.192</v>
      </c>
      <c r="E232" s="3">
        <v>0.222</v>
      </c>
      <c r="F232" s="3">
        <v>0.34599999999999997</v>
      </c>
      <c r="G232" s="3">
        <v>26</v>
      </c>
      <c r="H232" s="3">
        <v>5</v>
      </c>
      <c r="I232" s="3">
        <v>1</v>
      </c>
      <c r="J232" s="3">
        <v>0</v>
      </c>
      <c r="K232" s="3">
        <v>1</v>
      </c>
      <c r="L232" s="3">
        <v>4</v>
      </c>
      <c r="M232" s="3">
        <v>4</v>
      </c>
      <c r="N232" s="3">
        <v>0</v>
      </c>
      <c r="O232" s="3">
        <v>1</v>
      </c>
      <c r="P232" s="3">
        <v>11</v>
      </c>
      <c r="Q232" s="3">
        <v>0</v>
      </c>
      <c r="R232" s="3">
        <v>0</v>
      </c>
      <c r="S232" s="6">
        <f>AH232/10</f>
        <v>0.53254545454545454</v>
      </c>
      <c r="T232" s="3">
        <v>50</v>
      </c>
      <c r="U232" s="4">
        <f>(S232*2)+T232</f>
        <v>51.065090909090912</v>
      </c>
      <c r="V232" s="4">
        <f>S232+T232</f>
        <v>50.532545454545456</v>
      </c>
      <c r="W232" s="3"/>
      <c r="X232" s="3"/>
      <c r="Y232" s="3"/>
      <c r="Z232" s="3"/>
      <c r="AA232" s="3"/>
      <c r="AB232" s="3">
        <f>_xlfn.IFS(B232="c", 8, B232="ss", 10, B232="cf", 8,  B232="2b", 8, B232="3b", 6, B232="rf", 4, B232="lf", 2, B232="1b", 2, B232 ="dh", 1)</f>
        <v>4</v>
      </c>
      <c r="AC232" s="3">
        <f>(G232+N232+O232)</f>
        <v>27</v>
      </c>
      <c r="AD232" s="5">
        <f>P232/AC232</f>
        <v>0.40740740740740738</v>
      </c>
      <c r="AE232" s="5">
        <f>(N232+O232)/AC232</f>
        <v>3.7037037037037035E-2</v>
      </c>
      <c r="AF232" s="4">
        <f>100-((AD232-AE232)*100)</f>
        <v>62.962962962962962</v>
      </c>
      <c r="AG232" s="3">
        <f>(F232-D232)*1000</f>
        <v>153.99999999999997</v>
      </c>
      <c r="AH232" s="3">
        <f>(((AF232+AG232)/2)*(AC232/100)*AB232)/C232</f>
        <v>5.3254545454545452</v>
      </c>
    </row>
    <row r="233" spans="1:34" x14ac:dyDescent="0.35">
      <c r="A233" s="3" t="s">
        <v>239</v>
      </c>
      <c r="B233" s="3" t="s">
        <v>18</v>
      </c>
      <c r="C233" s="3">
        <v>28</v>
      </c>
      <c r="D233" s="3">
        <v>0.217</v>
      </c>
      <c r="E233" s="3">
        <v>0.217</v>
      </c>
      <c r="F233" s="3">
        <v>0.30399999999999999</v>
      </c>
      <c r="G233" s="3">
        <v>23</v>
      </c>
      <c r="H233" s="3">
        <v>5</v>
      </c>
      <c r="I233" s="3">
        <v>2</v>
      </c>
      <c r="J233" s="3">
        <v>0</v>
      </c>
      <c r="K233" s="3">
        <v>0</v>
      </c>
      <c r="L233" s="3">
        <v>2</v>
      </c>
      <c r="M233" s="3">
        <v>0</v>
      </c>
      <c r="N233" s="3">
        <v>0</v>
      </c>
      <c r="O233" s="3">
        <v>0</v>
      </c>
      <c r="P233" s="3">
        <v>6</v>
      </c>
      <c r="Q233" s="3">
        <v>0</v>
      </c>
      <c r="R233" s="3">
        <v>0</v>
      </c>
      <c r="S233" s="6">
        <f>AH233/10</f>
        <v>0.5287142857142858</v>
      </c>
      <c r="T233" s="3">
        <v>40</v>
      </c>
      <c r="U233" s="4">
        <f>(S233*2)+T233</f>
        <v>41.057428571428574</v>
      </c>
      <c r="V233" s="4">
        <f>S233+T233</f>
        <v>40.528714285714287</v>
      </c>
      <c r="W233" s="3"/>
      <c r="X233" s="3"/>
      <c r="Y233" s="3"/>
      <c r="Z233" s="3"/>
      <c r="AA233" s="3"/>
      <c r="AB233" s="3">
        <f>_xlfn.IFS(B233="c", 8, B233="ss", 10, B233="cf", 8,  B233="2b", 8, B233="3b", 6, B233="rf", 4, B233="lf", 2, B233="1b", 2, B233 ="dh", 1)</f>
        <v>8</v>
      </c>
      <c r="AC233" s="3">
        <f>(G233+N233+O233)</f>
        <v>23</v>
      </c>
      <c r="AD233" s="5">
        <f>P233/AC233</f>
        <v>0.2608695652173913</v>
      </c>
      <c r="AE233" s="5">
        <f>(N233+O233)/AC233</f>
        <v>0</v>
      </c>
      <c r="AF233" s="4">
        <f>100-((AD233-AE233)*100)</f>
        <v>73.913043478260875</v>
      </c>
      <c r="AG233" s="3">
        <f>(F233-D233)*1000</f>
        <v>87</v>
      </c>
      <c r="AH233" s="3">
        <f>(((AF233+AG233)/2)*(AC233/100)*AB233)/C233</f>
        <v>5.2871428571428583</v>
      </c>
    </row>
    <row r="234" spans="1:34" x14ac:dyDescent="0.35">
      <c r="A234" s="3" t="s">
        <v>213</v>
      </c>
      <c r="B234" s="3" t="s">
        <v>22</v>
      </c>
      <c r="C234" s="3">
        <v>28</v>
      </c>
      <c r="D234" s="3">
        <v>0.19500000000000001</v>
      </c>
      <c r="E234" s="3">
        <v>0.214</v>
      </c>
      <c r="F234" s="3">
        <v>0.29299999999999998</v>
      </c>
      <c r="G234" s="3">
        <v>41</v>
      </c>
      <c r="H234" s="3">
        <v>8</v>
      </c>
      <c r="I234" s="3">
        <v>1</v>
      </c>
      <c r="J234" s="3">
        <v>0</v>
      </c>
      <c r="K234" s="3">
        <v>1</v>
      </c>
      <c r="L234" s="3">
        <v>7</v>
      </c>
      <c r="M234" s="3">
        <v>3</v>
      </c>
      <c r="N234" s="3">
        <v>0</v>
      </c>
      <c r="O234" s="3">
        <v>1</v>
      </c>
      <c r="P234" s="3">
        <v>13</v>
      </c>
      <c r="Q234" s="3">
        <v>1</v>
      </c>
      <c r="R234" s="3">
        <v>0</v>
      </c>
      <c r="S234" s="6">
        <f>AH234/10</f>
        <v>0.50828571428571423</v>
      </c>
      <c r="T234" s="3">
        <v>40</v>
      </c>
      <c r="U234" s="4">
        <f>(S234*2)+T234</f>
        <v>41.016571428571432</v>
      </c>
      <c r="V234" s="4">
        <f>S234+T234</f>
        <v>40.508285714285712</v>
      </c>
      <c r="W234" s="3"/>
      <c r="X234" s="3"/>
      <c r="Y234" s="3"/>
      <c r="Z234" s="3"/>
      <c r="AA234" s="3"/>
      <c r="AB234" s="3">
        <f>_xlfn.IFS(B234="c", 8, B234="ss", 10, B234="cf", 8,  B234="2b", 8, B234="3b", 6, B234="rf", 4, B234="lf", 2, B234="1b", 2, B234 ="dh", 1)</f>
        <v>4</v>
      </c>
      <c r="AC234" s="3">
        <f>(G234+N234+O234)</f>
        <v>42</v>
      </c>
      <c r="AD234" s="5">
        <f>P234/AC234</f>
        <v>0.30952380952380953</v>
      </c>
      <c r="AE234" s="5">
        <f>(N234+O234)/AC234</f>
        <v>2.3809523809523808E-2</v>
      </c>
      <c r="AF234" s="4">
        <f>100-((AD234-AE234)*100)</f>
        <v>71.428571428571431</v>
      </c>
      <c r="AG234" s="3">
        <f>(F234-D234)*1000</f>
        <v>97.999999999999972</v>
      </c>
      <c r="AH234" s="3">
        <f>(((AF234+AG234)/2)*(AC234/100)*AB234)/C234</f>
        <v>5.0828571428571419</v>
      </c>
    </row>
    <row r="235" spans="1:34" x14ac:dyDescent="0.35">
      <c r="A235" s="3" t="s">
        <v>170</v>
      </c>
      <c r="B235" s="3" t="s">
        <v>30</v>
      </c>
      <c r="C235" s="3">
        <v>26</v>
      </c>
      <c r="D235" s="3">
        <v>0.25</v>
      </c>
      <c r="E235" s="3">
        <v>0.25</v>
      </c>
      <c r="F235" s="3">
        <v>0.375</v>
      </c>
      <c r="G235" s="3">
        <v>16</v>
      </c>
      <c r="H235" s="3">
        <v>4</v>
      </c>
      <c r="I235" s="3">
        <v>2</v>
      </c>
      <c r="J235" s="3">
        <v>0</v>
      </c>
      <c r="K235" s="3">
        <v>0</v>
      </c>
      <c r="L235" s="3">
        <v>2</v>
      </c>
      <c r="M235" s="3">
        <v>0</v>
      </c>
      <c r="N235" s="3">
        <v>0</v>
      </c>
      <c r="O235" s="3">
        <v>0</v>
      </c>
      <c r="P235" s="3">
        <v>4</v>
      </c>
      <c r="Q235" s="3">
        <v>1</v>
      </c>
      <c r="R235" s="3">
        <v>0</v>
      </c>
      <c r="S235" s="6">
        <f>AH235/10</f>
        <v>0.49230769230769234</v>
      </c>
      <c r="T235" s="3">
        <v>40</v>
      </c>
      <c r="U235" s="4">
        <f>(S235*2)+T235</f>
        <v>40.984615384615381</v>
      </c>
      <c r="V235" s="4">
        <f>S235+T235</f>
        <v>40.492307692307691</v>
      </c>
      <c r="W235" s="3"/>
      <c r="X235" s="3"/>
      <c r="Y235" s="3"/>
      <c r="Z235" s="3"/>
      <c r="AA235" s="3"/>
      <c r="AB235" s="3">
        <f>_xlfn.IFS(B235="c", 8, B235="ss", 10, B235="cf", 8,  B235="2b", 8, B235="3b", 6, B235="rf", 4, B235="lf", 2, B235="1b", 2, B235 ="dh", 1)</f>
        <v>8</v>
      </c>
      <c r="AC235" s="3">
        <f>(G235+N235+O235)</f>
        <v>16</v>
      </c>
      <c r="AD235" s="5">
        <f>P235/AC235</f>
        <v>0.25</v>
      </c>
      <c r="AE235" s="5">
        <f>(N235+O235)/AC235</f>
        <v>0</v>
      </c>
      <c r="AF235" s="4">
        <f>100-((AD235-AE235)*100)</f>
        <v>75</v>
      </c>
      <c r="AG235" s="3">
        <f>(F235-D235)*1000</f>
        <v>125</v>
      </c>
      <c r="AH235" s="3">
        <f>(((AF235+AG235)/2)*(AC235/100)*AB235)/C235</f>
        <v>4.9230769230769234</v>
      </c>
    </row>
    <row r="236" spans="1:34" x14ac:dyDescent="0.35">
      <c r="A236" s="3" t="s">
        <v>265</v>
      </c>
      <c r="B236" s="3" t="s">
        <v>47</v>
      </c>
      <c r="C236" s="3">
        <v>29</v>
      </c>
      <c r="D236" s="3">
        <v>0.34200000000000003</v>
      </c>
      <c r="E236" s="3">
        <v>0.38300000000000001</v>
      </c>
      <c r="F236" s="3">
        <v>0.434</v>
      </c>
      <c r="G236" s="3">
        <v>76</v>
      </c>
      <c r="H236" s="3">
        <v>26</v>
      </c>
      <c r="I236" s="3">
        <v>4</v>
      </c>
      <c r="J236" s="3">
        <v>0</v>
      </c>
      <c r="K236" s="3">
        <v>1</v>
      </c>
      <c r="L236" s="3">
        <v>9</v>
      </c>
      <c r="M236" s="3">
        <v>8</v>
      </c>
      <c r="N236" s="3">
        <v>2</v>
      </c>
      <c r="O236" s="3">
        <v>3</v>
      </c>
      <c r="P236" s="3">
        <v>19</v>
      </c>
      <c r="Q236" s="3">
        <v>4</v>
      </c>
      <c r="R236" s="3">
        <v>1</v>
      </c>
      <c r="S236" s="6">
        <f>AH236/10</f>
        <v>0.48799999999999988</v>
      </c>
      <c r="T236" s="3">
        <v>40</v>
      </c>
      <c r="U236" s="4">
        <f>(S236*2)+T236</f>
        <v>40.975999999999999</v>
      </c>
      <c r="V236" s="4">
        <f>S236+T236</f>
        <v>40.488</v>
      </c>
      <c r="W236" s="3"/>
      <c r="X236" s="3"/>
      <c r="Y236" s="3"/>
      <c r="Z236" s="3"/>
      <c r="AA236" s="3"/>
      <c r="AB236" s="3">
        <f>_xlfn.IFS(B236="c", 8, B236="ss", 10, B236="cf", 8,  B236="2b", 8, B236="3b", 6, B236="rf", 4, B236="lf", 2, B236="1b", 2, B236 ="dh", 1)</f>
        <v>2</v>
      </c>
      <c r="AC236" s="3">
        <f>(G236+N236+O236)</f>
        <v>81</v>
      </c>
      <c r="AD236" s="5">
        <f>P236/AC236</f>
        <v>0.23456790123456789</v>
      </c>
      <c r="AE236" s="5">
        <f>(N236+O236)/AC236</f>
        <v>6.1728395061728392E-2</v>
      </c>
      <c r="AF236" s="4">
        <f>100-((AD236-AE236)*100)</f>
        <v>82.716049382716051</v>
      </c>
      <c r="AG236" s="3">
        <f>(F236-D236)*1000</f>
        <v>91.999999999999972</v>
      </c>
      <c r="AH236" s="3">
        <f>(((AF236+AG236)/2)*(AC236/100)*AB236)/C236</f>
        <v>4.879999999999999</v>
      </c>
    </row>
    <row r="237" spans="1:34" x14ac:dyDescent="0.35">
      <c r="A237" s="3" t="s">
        <v>367</v>
      </c>
      <c r="B237" s="3" t="s">
        <v>47</v>
      </c>
      <c r="C237" s="3">
        <v>36</v>
      </c>
      <c r="D237" s="3">
        <v>0.21199999999999999</v>
      </c>
      <c r="E237" s="3">
        <v>0.27200000000000002</v>
      </c>
      <c r="F237" s="3">
        <v>0.26500000000000001</v>
      </c>
      <c r="G237" s="3">
        <v>113</v>
      </c>
      <c r="H237" s="3">
        <v>24</v>
      </c>
      <c r="I237" s="3">
        <v>3</v>
      </c>
      <c r="J237" s="3">
        <v>0</v>
      </c>
      <c r="K237" s="3">
        <v>1</v>
      </c>
      <c r="L237" s="3">
        <v>9</v>
      </c>
      <c r="M237" s="3">
        <v>6</v>
      </c>
      <c r="N237" s="3">
        <v>3</v>
      </c>
      <c r="O237" s="3">
        <v>7</v>
      </c>
      <c r="P237" s="3">
        <v>24</v>
      </c>
      <c r="Q237" s="3">
        <v>0</v>
      </c>
      <c r="R237" s="3">
        <v>1</v>
      </c>
      <c r="S237" s="6">
        <f>AH237/10</f>
        <v>0.48386111111111124</v>
      </c>
      <c r="T237" s="3">
        <v>40</v>
      </c>
      <c r="U237" s="4">
        <f>(S237*2)+T237</f>
        <v>40.967722222222221</v>
      </c>
      <c r="V237" s="4">
        <f>S237+T237</f>
        <v>40.483861111111111</v>
      </c>
      <c r="W237" s="3"/>
      <c r="X237" s="3"/>
      <c r="Y237" s="3"/>
      <c r="Z237" s="3"/>
      <c r="AA237" s="3"/>
      <c r="AB237" s="3">
        <f>_xlfn.IFS(B237="c", 8, B237="ss", 10, B237="cf", 8,  B237="2b", 8, B237="3b", 6, B237="rf", 4, B237="lf", 2, B237="1b", 2, B237 ="dh", 1)</f>
        <v>2</v>
      </c>
      <c r="AC237" s="3">
        <f>(G237+N237+O237)</f>
        <v>123</v>
      </c>
      <c r="AD237" s="5">
        <f>P237/AC237</f>
        <v>0.1951219512195122</v>
      </c>
      <c r="AE237" s="5">
        <f>(N237+O237)/AC237</f>
        <v>8.1300813008130079E-2</v>
      </c>
      <c r="AF237" s="4">
        <f>100-((AD237-AE237)*100)</f>
        <v>88.617886178861795</v>
      </c>
      <c r="AG237" s="3">
        <f>(F237-D237)*1000</f>
        <v>53.000000000000021</v>
      </c>
      <c r="AH237" s="3">
        <f>(((AF237+AG237)/2)*(AC237/100)*AB237)/C237</f>
        <v>4.8386111111111125</v>
      </c>
    </row>
    <row r="238" spans="1:34" x14ac:dyDescent="0.35">
      <c r="A238" s="3" t="s">
        <v>361</v>
      </c>
      <c r="B238" s="3" t="s">
        <v>47</v>
      </c>
      <c r="C238" s="3">
        <v>35</v>
      </c>
      <c r="D238" s="3">
        <v>0.17599999999999999</v>
      </c>
      <c r="E238" s="3">
        <v>0.223</v>
      </c>
      <c r="F238" s="3">
        <v>0.27100000000000002</v>
      </c>
      <c r="G238" s="3">
        <v>85</v>
      </c>
      <c r="H238" s="3">
        <v>15</v>
      </c>
      <c r="I238" s="3">
        <v>2</v>
      </c>
      <c r="J238" s="3">
        <v>0</v>
      </c>
      <c r="K238" s="3">
        <v>2</v>
      </c>
      <c r="L238" s="3">
        <v>9</v>
      </c>
      <c r="M238" s="3">
        <v>12</v>
      </c>
      <c r="N238" s="3">
        <v>0</v>
      </c>
      <c r="O238" s="3">
        <v>6</v>
      </c>
      <c r="P238" s="3">
        <v>20</v>
      </c>
      <c r="Q238" s="3">
        <v>0</v>
      </c>
      <c r="R238" s="3">
        <v>1</v>
      </c>
      <c r="S238" s="6">
        <f>AH238/10</f>
        <v>0.46700000000000008</v>
      </c>
      <c r="T238" s="3">
        <v>40</v>
      </c>
      <c r="U238" s="4">
        <f>(S238*2)+T238</f>
        <v>40.933999999999997</v>
      </c>
      <c r="V238" s="4">
        <f>S238+T238</f>
        <v>40.466999999999999</v>
      </c>
      <c r="W238" s="3"/>
      <c r="X238" s="3"/>
      <c r="Y238" s="3"/>
      <c r="Z238" s="3"/>
      <c r="AA238" s="3"/>
      <c r="AB238" s="3">
        <f>_xlfn.IFS(B238="c", 8, B238="ss", 10, B238="cf", 8,  B238="2b", 8, B238="3b", 6, B238="rf", 4, B238="lf", 2, B238="1b", 2, B238 ="dh", 1)</f>
        <v>2</v>
      </c>
      <c r="AC238" s="3">
        <f>(G238+N238+O238)</f>
        <v>91</v>
      </c>
      <c r="AD238" s="5">
        <f>P238/AC238</f>
        <v>0.21978021978021978</v>
      </c>
      <c r="AE238" s="5">
        <f>(N238+O238)/AC238</f>
        <v>6.5934065934065936E-2</v>
      </c>
      <c r="AF238" s="4">
        <f>100-((AD238-AE238)*100)</f>
        <v>84.615384615384613</v>
      </c>
      <c r="AG238" s="3">
        <f>(F238-D238)*1000</f>
        <v>95.000000000000028</v>
      </c>
      <c r="AH238" s="3">
        <f>(((AF238+AG238)/2)*(AC238/100)*AB238)/C238</f>
        <v>4.6700000000000008</v>
      </c>
    </row>
    <row r="239" spans="1:34" x14ac:dyDescent="0.35">
      <c r="A239" s="3" t="s">
        <v>156</v>
      </c>
      <c r="B239" s="3" t="s">
        <v>28</v>
      </c>
      <c r="C239" s="3">
        <v>26</v>
      </c>
      <c r="D239" s="3">
        <v>0.20499999999999999</v>
      </c>
      <c r="E239" s="3">
        <v>0.253</v>
      </c>
      <c r="F239" s="3">
        <v>0.28199999999999997</v>
      </c>
      <c r="G239" s="3">
        <v>78</v>
      </c>
      <c r="H239" s="3">
        <v>16</v>
      </c>
      <c r="I239" s="3">
        <v>1</v>
      </c>
      <c r="J239" s="3">
        <v>1</v>
      </c>
      <c r="K239" s="3">
        <v>1</v>
      </c>
      <c r="L239" s="3">
        <v>9</v>
      </c>
      <c r="M239" s="3">
        <v>5</v>
      </c>
      <c r="N239" s="3">
        <v>1</v>
      </c>
      <c r="O239" s="3">
        <v>4</v>
      </c>
      <c r="P239" s="3">
        <v>32</v>
      </c>
      <c r="Q239" s="3">
        <v>1</v>
      </c>
      <c r="R239" s="3">
        <v>0</v>
      </c>
      <c r="S239" s="6">
        <f>AH239/10</f>
        <v>0.46119230769230757</v>
      </c>
      <c r="T239" s="3">
        <v>40</v>
      </c>
      <c r="U239" s="4">
        <f>(S239*2)+T239</f>
        <v>40.922384615384615</v>
      </c>
      <c r="V239" s="4">
        <f>S239+T239</f>
        <v>40.461192307692308</v>
      </c>
      <c r="W239" s="3"/>
      <c r="X239" s="3"/>
      <c r="Y239" s="3"/>
      <c r="Z239" s="3"/>
      <c r="AA239" s="3"/>
      <c r="AB239" s="3">
        <f>_xlfn.IFS(B239="c", 8, B239="ss", 10, B239="cf", 8,  B239="2b", 8, B239="3b", 6, B239="rf", 4, B239="lf", 2, B239="1b", 2, B239 ="dh", 1)</f>
        <v>2</v>
      </c>
      <c r="AC239" s="3">
        <f>(G239+N239+O239)</f>
        <v>83</v>
      </c>
      <c r="AD239" s="5">
        <f>P239/AC239</f>
        <v>0.38554216867469882</v>
      </c>
      <c r="AE239" s="5">
        <f>(N239+O239)/AC239</f>
        <v>6.0240963855421686E-2</v>
      </c>
      <c r="AF239" s="4">
        <f>100-((AD239-AE239)*100)</f>
        <v>67.469879518072275</v>
      </c>
      <c r="AG239" s="3">
        <f>(F239-D239)*1000</f>
        <v>76.999999999999986</v>
      </c>
      <c r="AH239" s="3">
        <f>(((AF239+AG239)/2)*(AC239/100)*AB239)/C239</f>
        <v>4.6119230769230759</v>
      </c>
    </row>
    <row r="240" spans="1:34" x14ac:dyDescent="0.35">
      <c r="A240" s="3" t="s">
        <v>319</v>
      </c>
      <c r="B240" s="3" t="s">
        <v>30</v>
      </c>
      <c r="C240" s="3">
        <v>31</v>
      </c>
      <c r="D240" s="3">
        <v>0.19400000000000001</v>
      </c>
      <c r="E240" s="3">
        <v>0.24199999999999999</v>
      </c>
      <c r="F240" s="3">
        <v>0.22600000000000001</v>
      </c>
      <c r="G240" s="3">
        <v>31</v>
      </c>
      <c r="H240" s="3">
        <v>6</v>
      </c>
      <c r="I240" s="3">
        <v>1</v>
      </c>
      <c r="J240" s="3">
        <v>0</v>
      </c>
      <c r="K240" s="3">
        <v>0</v>
      </c>
      <c r="L240" s="3">
        <v>4</v>
      </c>
      <c r="M240" s="3">
        <v>2</v>
      </c>
      <c r="N240" s="3">
        <v>0</v>
      </c>
      <c r="O240" s="3">
        <v>2</v>
      </c>
      <c r="P240" s="3">
        <v>10</v>
      </c>
      <c r="Q240" s="3">
        <v>1</v>
      </c>
      <c r="R240" s="3">
        <v>0</v>
      </c>
      <c r="S240" s="6">
        <f>AH240/10</f>
        <v>0.45883870967741941</v>
      </c>
      <c r="T240" s="3">
        <v>40</v>
      </c>
      <c r="U240" s="4">
        <f>(S240*2)+T240</f>
        <v>40.917677419354838</v>
      </c>
      <c r="V240" s="4">
        <f>S240+T240</f>
        <v>40.458838709677423</v>
      </c>
      <c r="W240" s="3"/>
      <c r="X240" s="3"/>
      <c r="Y240" s="3"/>
      <c r="Z240" s="3"/>
      <c r="AA240" s="3"/>
      <c r="AB240" s="3">
        <f>_xlfn.IFS(B240="c", 8, B240="ss", 10, B240="cf", 8,  B240="2b", 8, B240="3b", 6, B240="rf", 4, B240="lf", 2, B240="1b", 2, B240 ="dh", 1)</f>
        <v>8</v>
      </c>
      <c r="AC240" s="3">
        <f>(G240+N240+O240)</f>
        <v>33</v>
      </c>
      <c r="AD240" s="5">
        <f>P240/AC240</f>
        <v>0.30303030303030304</v>
      </c>
      <c r="AE240" s="5">
        <f>(N240+O240)/AC240</f>
        <v>6.0606060606060608E-2</v>
      </c>
      <c r="AF240" s="4">
        <f>100-((AD240-AE240)*100)</f>
        <v>75.757575757575751</v>
      </c>
      <c r="AG240" s="3">
        <f>(F240-D240)*1000</f>
        <v>32</v>
      </c>
      <c r="AH240" s="3">
        <f>(((AF240+AG240)/2)*(AC240/100)*AB240)/C240</f>
        <v>4.588387096774194</v>
      </c>
    </row>
    <row r="241" spans="1:34" x14ac:dyDescent="0.35">
      <c r="A241" s="3" t="s">
        <v>117</v>
      </c>
      <c r="B241" s="3" t="s">
        <v>20</v>
      </c>
      <c r="C241" s="3">
        <v>25</v>
      </c>
      <c r="D241" s="3">
        <v>0.221</v>
      </c>
      <c r="E241" s="3">
        <v>0.34599999999999997</v>
      </c>
      <c r="F241" s="3">
        <v>0.308</v>
      </c>
      <c r="G241" s="3">
        <v>104</v>
      </c>
      <c r="H241" s="3">
        <v>23</v>
      </c>
      <c r="I241" s="3">
        <v>6</v>
      </c>
      <c r="J241" s="3">
        <v>0</v>
      </c>
      <c r="K241" s="3">
        <v>1</v>
      </c>
      <c r="L241" s="3">
        <v>15</v>
      </c>
      <c r="M241" s="3">
        <v>17</v>
      </c>
      <c r="N241" s="3">
        <v>1</v>
      </c>
      <c r="O241" s="3">
        <v>20</v>
      </c>
      <c r="P241" s="3">
        <v>32</v>
      </c>
      <c r="Q241" s="3">
        <v>0</v>
      </c>
      <c r="R241" s="3">
        <v>0</v>
      </c>
      <c r="S241" s="6">
        <f>AH241/10</f>
        <v>0.44550000000000001</v>
      </c>
      <c r="T241" s="3">
        <v>40</v>
      </c>
      <c r="U241" s="4">
        <f>(S241*2)+T241</f>
        <v>40.890999999999998</v>
      </c>
      <c r="V241" s="4">
        <f>S241+T241</f>
        <v>40.445500000000003</v>
      </c>
      <c r="W241" s="3"/>
      <c r="X241" s="3"/>
      <c r="Y241" s="3"/>
      <c r="Z241" s="3"/>
      <c r="AA241" s="3"/>
      <c r="AB241" s="3">
        <f>_xlfn.IFS(B241="c", 8, B241="ss", 10, B241="cf", 8,  B241="2b", 8, B241="3b", 6, B241="rf", 4, B241="lf", 2, B241="1b", 2, B241 ="dh", 1)</f>
        <v>1</v>
      </c>
      <c r="AC241" s="3">
        <f>(G241+N241+O241)</f>
        <v>125</v>
      </c>
      <c r="AD241" s="5">
        <f>P241/AC241</f>
        <v>0.25600000000000001</v>
      </c>
      <c r="AE241" s="5">
        <f>(N241+O241)/AC241</f>
        <v>0.16800000000000001</v>
      </c>
      <c r="AF241" s="4">
        <f>100-((AD241-AE241)*100)</f>
        <v>91.2</v>
      </c>
      <c r="AG241" s="3">
        <f>(F241-D241)*1000</f>
        <v>87</v>
      </c>
      <c r="AH241" s="3">
        <f>(((AF241+AG241)/2)*(AC241/100)*AB241)/C241</f>
        <v>4.4550000000000001</v>
      </c>
    </row>
    <row r="242" spans="1:34" x14ac:dyDescent="0.35">
      <c r="A242" s="3" t="s">
        <v>146</v>
      </c>
      <c r="B242" s="3" t="s">
        <v>32</v>
      </c>
      <c r="C242" s="3">
        <v>26</v>
      </c>
      <c r="D242" s="3">
        <v>6.9000000000000006E-2</v>
      </c>
      <c r="E242" s="3">
        <v>0.156</v>
      </c>
      <c r="F242" s="3">
        <v>0.10299999999999999</v>
      </c>
      <c r="G242" s="3">
        <v>29</v>
      </c>
      <c r="H242" s="3">
        <v>2</v>
      </c>
      <c r="I242" s="3">
        <v>1</v>
      </c>
      <c r="J242" s="3">
        <v>0</v>
      </c>
      <c r="K242" s="3">
        <v>0</v>
      </c>
      <c r="L242" s="3">
        <v>2</v>
      </c>
      <c r="M242" s="3">
        <v>1</v>
      </c>
      <c r="N242" s="3">
        <v>1</v>
      </c>
      <c r="O242" s="3">
        <v>2</v>
      </c>
      <c r="P242" s="3">
        <v>8</v>
      </c>
      <c r="Q242" s="3">
        <v>0</v>
      </c>
      <c r="R242" s="3">
        <v>0</v>
      </c>
      <c r="S242" s="6">
        <f>AH242/10</f>
        <v>0.43707692307692303</v>
      </c>
      <c r="T242" s="3">
        <v>40</v>
      </c>
      <c r="U242" s="4">
        <f>(S242*2)+T242</f>
        <v>40.874153846153845</v>
      </c>
      <c r="V242" s="4">
        <f>S242+T242</f>
        <v>40.437076923076923</v>
      </c>
      <c r="W242" s="3"/>
      <c r="X242" s="3"/>
      <c r="Y242" s="3"/>
      <c r="Z242" s="3"/>
      <c r="AA242" s="3"/>
      <c r="AB242" s="3">
        <f>_xlfn.IFS(B242="c", 8, B242="ss", 10, B242="cf", 8,  B242="2b", 8, B242="3b", 6, B242="rf", 4, B242="lf", 2, B242="1b", 2, B242 ="dh", 1)</f>
        <v>6</v>
      </c>
      <c r="AC242" s="3">
        <f>(G242+N242+O242)</f>
        <v>32</v>
      </c>
      <c r="AD242" s="5">
        <f>P242/AC242</f>
        <v>0.25</v>
      </c>
      <c r="AE242" s="5">
        <f>(N242+O242)/AC242</f>
        <v>9.375E-2</v>
      </c>
      <c r="AF242" s="4">
        <f>100-((AD242-AE242)*100)</f>
        <v>84.375</v>
      </c>
      <c r="AG242" s="3">
        <f>(F242-D242)*1000</f>
        <v>33.999999999999986</v>
      </c>
      <c r="AH242" s="3">
        <f>(((AF242+AG242)/2)*(AC242/100)*AB242)/C242</f>
        <v>4.3707692307692305</v>
      </c>
    </row>
    <row r="243" spans="1:34" x14ac:dyDescent="0.35">
      <c r="A243" s="3" t="s">
        <v>285</v>
      </c>
      <c r="B243" s="3" t="s">
        <v>28</v>
      </c>
      <c r="C243" s="3">
        <v>30</v>
      </c>
      <c r="D243" s="3">
        <v>0.17399999999999999</v>
      </c>
      <c r="E243" s="3">
        <v>0.29599999999999999</v>
      </c>
      <c r="F243" s="3">
        <v>0.246</v>
      </c>
      <c r="G243" s="3">
        <v>69</v>
      </c>
      <c r="H243" s="3">
        <v>12</v>
      </c>
      <c r="I243" s="3">
        <v>2</v>
      </c>
      <c r="J243" s="3">
        <v>0</v>
      </c>
      <c r="K243" s="3">
        <v>1</v>
      </c>
      <c r="L243" s="3">
        <v>9</v>
      </c>
      <c r="M243" s="3">
        <v>4</v>
      </c>
      <c r="N243" s="3">
        <v>1</v>
      </c>
      <c r="O243" s="3">
        <v>11</v>
      </c>
      <c r="P243" s="3">
        <v>21</v>
      </c>
      <c r="Q243" s="3">
        <v>1</v>
      </c>
      <c r="R243" s="3">
        <v>0</v>
      </c>
      <c r="S243" s="6">
        <f>AH243/10</f>
        <v>0.43440000000000001</v>
      </c>
      <c r="T243" s="3">
        <v>40</v>
      </c>
      <c r="U243" s="4">
        <f>(S243*2)+T243</f>
        <v>40.8688</v>
      </c>
      <c r="V243" s="4">
        <f>S243+T243</f>
        <v>40.434399999999997</v>
      </c>
      <c r="W243" s="3"/>
      <c r="X243" s="3"/>
      <c r="Y243" s="3"/>
      <c r="Z243" s="3"/>
      <c r="AA243" s="3"/>
      <c r="AB243" s="3">
        <f>_xlfn.IFS(B243="c", 8, B243="ss", 10, B243="cf", 8,  B243="2b", 8, B243="3b", 6, B243="rf", 4, B243="lf", 2, B243="1b", 2, B243 ="dh", 1)</f>
        <v>2</v>
      </c>
      <c r="AC243" s="3">
        <f>(G243+N243+O243)</f>
        <v>81</v>
      </c>
      <c r="AD243" s="5">
        <f>P243/AC243</f>
        <v>0.25925925925925924</v>
      </c>
      <c r="AE243" s="5">
        <f>(N243+O243)/AC243</f>
        <v>0.14814814814814814</v>
      </c>
      <c r="AF243" s="4">
        <f>100-((AD243-AE243)*100)</f>
        <v>88.888888888888886</v>
      </c>
      <c r="AG243" s="3">
        <f>(F243-D243)*1000</f>
        <v>72.000000000000014</v>
      </c>
      <c r="AH243" s="3">
        <f>(((AF243+AG243)/2)*(AC243/100)*AB243)/C243</f>
        <v>4.3440000000000003</v>
      </c>
    </row>
    <row r="244" spans="1:34" x14ac:dyDescent="0.35">
      <c r="A244" s="3" t="s">
        <v>185</v>
      </c>
      <c r="B244" s="3" t="s">
        <v>18</v>
      </c>
      <c r="C244" s="3">
        <v>27</v>
      </c>
      <c r="D244" s="3">
        <v>7.2999999999999995E-2</v>
      </c>
      <c r="E244" s="3">
        <v>0.13300000000000001</v>
      </c>
      <c r="F244" s="3">
        <v>7.2999999999999995E-2</v>
      </c>
      <c r="G244" s="3">
        <v>41</v>
      </c>
      <c r="H244" s="3">
        <v>3</v>
      </c>
      <c r="I244" s="3">
        <v>0</v>
      </c>
      <c r="J244" s="3">
        <v>0</v>
      </c>
      <c r="K244" s="3">
        <v>0</v>
      </c>
      <c r="L244" s="3">
        <v>2</v>
      </c>
      <c r="M244" s="3">
        <v>3</v>
      </c>
      <c r="N244" s="3">
        <v>1</v>
      </c>
      <c r="O244" s="3">
        <v>2</v>
      </c>
      <c r="P244" s="3">
        <v>18</v>
      </c>
      <c r="Q244" s="3">
        <v>0</v>
      </c>
      <c r="R244" s="3">
        <v>0</v>
      </c>
      <c r="S244" s="6">
        <f>AH244/10</f>
        <v>0.42962962962962969</v>
      </c>
      <c r="T244" s="3">
        <v>40</v>
      </c>
      <c r="U244" s="4">
        <f>(S244*2)+T244</f>
        <v>40.859259259259261</v>
      </c>
      <c r="V244" s="4">
        <f>S244+T244</f>
        <v>40.42962962962963</v>
      </c>
      <c r="W244" s="3"/>
      <c r="X244" s="3"/>
      <c r="Y244" s="3"/>
      <c r="Z244" s="3"/>
      <c r="AA244" s="3"/>
      <c r="AB244" s="3">
        <f>_xlfn.IFS(B244="c", 8, B244="ss", 10, B244="cf", 8,  B244="2b", 8, B244="3b", 6, B244="rf", 4, B244="lf", 2, B244="1b", 2, B244 ="dh", 1)</f>
        <v>8</v>
      </c>
      <c r="AC244" s="3">
        <f>(G244+N244+O244)</f>
        <v>44</v>
      </c>
      <c r="AD244" s="5">
        <f>P244/AC244</f>
        <v>0.40909090909090912</v>
      </c>
      <c r="AE244" s="5">
        <f>(N244+O244)/AC244</f>
        <v>6.8181818181818177E-2</v>
      </c>
      <c r="AF244" s="4">
        <f>100-((AD244-AE244)*100)</f>
        <v>65.909090909090907</v>
      </c>
      <c r="AG244" s="3">
        <f>(F244-D244)*1000</f>
        <v>0</v>
      </c>
      <c r="AH244" s="3">
        <f>(((AF244+AG244)/2)*(AC244/100)*AB244)/C244</f>
        <v>4.2962962962962967</v>
      </c>
    </row>
    <row r="245" spans="1:34" x14ac:dyDescent="0.35">
      <c r="A245" s="3" t="s">
        <v>23</v>
      </c>
      <c r="B245" s="3" t="s">
        <v>20</v>
      </c>
      <c r="C245" s="3">
        <v>21</v>
      </c>
      <c r="D245" s="3">
        <v>0.29799999999999999</v>
      </c>
      <c r="E245" s="3">
        <v>0.39400000000000002</v>
      </c>
      <c r="F245" s="3">
        <v>0.47399999999999998</v>
      </c>
      <c r="G245" s="3">
        <v>57</v>
      </c>
      <c r="H245" s="3">
        <v>17</v>
      </c>
      <c r="I245" s="3">
        <v>2</v>
      </c>
      <c r="J245" s="3">
        <v>1</v>
      </c>
      <c r="K245" s="3">
        <v>2</v>
      </c>
      <c r="L245" s="3">
        <v>12</v>
      </c>
      <c r="M245" s="3">
        <v>11</v>
      </c>
      <c r="N245" s="3">
        <v>0</v>
      </c>
      <c r="O245" s="3">
        <v>9</v>
      </c>
      <c r="P245" s="3">
        <v>12</v>
      </c>
      <c r="Q245" s="3">
        <v>0</v>
      </c>
      <c r="R245" s="3">
        <v>0</v>
      </c>
      <c r="S245" s="6">
        <f>AH245/10</f>
        <v>0.4265714285714286</v>
      </c>
      <c r="T245" s="3">
        <v>40</v>
      </c>
      <c r="U245" s="4">
        <f>(S245*2)+T245</f>
        <v>40.853142857142856</v>
      </c>
      <c r="V245" s="4">
        <f>S245+T245</f>
        <v>40.426571428571428</v>
      </c>
      <c r="W245" s="3"/>
      <c r="X245" s="3"/>
      <c r="Y245" s="3"/>
      <c r="Z245" s="3"/>
      <c r="AA245" s="3"/>
      <c r="AB245" s="3">
        <f>_xlfn.IFS(B245="c", 8, B245="ss", 10, B245="cf", 8,  B245="2b", 8, B245="3b", 6, B245="rf", 4, B245="lf", 2, B245="1b", 2, B245 ="dh", 1)</f>
        <v>1</v>
      </c>
      <c r="AC245" s="3">
        <f>(G245+N245+O245)</f>
        <v>66</v>
      </c>
      <c r="AD245" s="5">
        <f>P245/AC245</f>
        <v>0.18181818181818182</v>
      </c>
      <c r="AE245" s="5">
        <f>(N245+O245)/AC245</f>
        <v>0.13636363636363635</v>
      </c>
      <c r="AF245" s="4">
        <f>100-((AD245-AE245)*100)</f>
        <v>95.454545454545453</v>
      </c>
      <c r="AG245" s="3">
        <f>(F245-D245)*1000</f>
        <v>176</v>
      </c>
      <c r="AH245" s="3">
        <f>(((AF245+AG245)/2)*(AC245/100)*AB245)/C245</f>
        <v>4.265714285714286</v>
      </c>
    </row>
    <row r="246" spans="1:34" x14ac:dyDescent="0.35">
      <c r="A246" s="3" t="s">
        <v>135</v>
      </c>
      <c r="B246" s="3" t="s">
        <v>28</v>
      </c>
      <c r="C246" s="3">
        <v>26</v>
      </c>
      <c r="D246" s="3">
        <v>0.182</v>
      </c>
      <c r="E246" s="3">
        <v>0.247</v>
      </c>
      <c r="F246" s="3">
        <v>0.25800000000000001</v>
      </c>
      <c r="G246" s="3">
        <v>66</v>
      </c>
      <c r="H246" s="3">
        <v>12</v>
      </c>
      <c r="I246" s="3">
        <v>2</v>
      </c>
      <c r="J246" s="3">
        <v>0</v>
      </c>
      <c r="K246" s="3">
        <v>1</v>
      </c>
      <c r="L246" s="3">
        <v>4</v>
      </c>
      <c r="M246" s="3">
        <v>5</v>
      </c>
      <c r="N246" s="3">
        <v>1</v>
      </c>
      <c r="O246" s="3">
        <v>5</v>
      </c>
      <c r="P246" s="3">
        <v>22</v>
      </c>
      <c r="Q246" s="3">
        <v>0</v>
      </c>
      <c r="R246" s="3">
        <v>0</v>
      </c>
      <c r="S246" s="6">
        <f>AH246/10</f>
        <v>0.42584615384615382</v>
      </c>
      <c r="T246" s="3">
        <v>40</v>
      </c>
      <c r="U246" s="4">
        <f>(S246*2)+T246</f>
        <v>40.851692307692311</v>
      </c>
      <c r="V246" s="4">
        <f>S246+T246</f>
        <v>40.425846153846152</v>
      </c>
      <c r="W246" s="3"/>
      <c r="X246" s="3"/>
      <c r="Y246" s="3"/>
      <c r="Z246" s="3"/>
      <c r="AA246" s="3"/>
      <c r="AB246" s="3">
        <f>_xlfn.IFS(B246="c", 8, B246="ss", 10, B246="cf", 8,  B246="2b", 8, B246="3b", 6, B246="rf", 4, B246="lf", 2, B246="1b", 2, B246 ="dh", 1)</f>
        <v>2</v>
      </c>
      <c r="AC246" s="3">
        <f>(G246+N246+O246)</f>
        <v>72</v>
      </c>
      <c r="AD246" s="5">
        <f>P246/AC246</f>
        <v>0.30555555555555558</v>
      </c>
      <c r="AE246" s="5">
        <f>(N246+O246)/AC246</f>
        <v>8.3333333333333329E-2</v>
      </c>
      <c r="AF246" s="4">
        <f>100-((AD246-AE246)*100)</f>
        <v>77.777777777777771</v>
      </c>
      <c r="AG246" s="3">
        <f>(F246-D246)*1000</f>
        <v>76.000000000000014</v>
      </c>
      <c r="AH246" s="3">
        <f>(((AF246+AG246)/2)*(AC246/100)*AB246)/C246</f>
        <v>4.2584615384615381</v>
      </c>
    </row>
    <row r="247" spans="1:34" x14ac:dyDescent="0.35">
      <c r="A247" s="3" t="s">
        <v>315</v>
      </c>
      <c r="B247" s="3" t="s">
        <v>32</v>
      </c>
      <c r="C247" s="3">
        <v>31</v>
      </c>
      <c r="D247" s="3">
        <v>9.0999999999999998E-2</v>
      </c>
      <c r="E247" s="3">
        <v>0.16700000000000001</v>
      </c>
      <c r="F247" s="3">
        <v>0.36399999999999999</v>
      </c>
      <c r="G247" s="3">
        <v>11</v>
      </c>
      <c r="H247" s="3">
        <v>1</v>
      </c>
      <c r="I247" s="3">
        <v>0</v>
      </c>
      <c r="J247" s="3">
        <v>0</v>
      </c>
      <c r="K247" s="3">
        <v>1</v>
      </c>
      <c r="L247" s="3">
        <v>1</v>
      </c>
      <c r="M247" s="3">
        <v>1</v>
      </c>
      <c r="N247" s="3">
        <v>0</v>
      </c>
      <c r="O247" s="3">
        <v>1</v>
      </c>
      <c r="P247" s="3">
        <v>2</v>
      </c>
      <c r="Q247" s="3">
        <v>0</v>
      </c>
      <c r="R247" s="3">
        <v>0</v>
      </c>
      <c r="S247" s="6">
        <f>AH247/10</f>
        <v>0.42348387096774198</v>
      </c>
      <c r="T247" s="3">
        <v>40</v>
      </c>
      <c r="U247" s="4">
        <f>(S247*2)+T247</f>
        <v>40.846967741935487</v>
      </c>
      <c r="V247" s="4">
        <f>S247+T247</f>
        <v>40.423483870967743</v>
      </c>
      <c r="W247" s="3"/>
      <c r="X247" s="3"/>
      <c r="Y247" s="3"/>
      <c r="Z247" s="3"/>
      <c r="AA247" s="3"/>
      <c r="AB247" s="3">
        <f>_xlfn.IFS(B247="c", 8, B247="ss", 10, B247="cf", 8,  B247="2b", 8, B247="3b", 6, B247="rf", 4, B247="lf", 2, B247="1b", 2, B247 ="dh", 1)</f>
        <v>6</v>
      </c>
      <c r="AC247" s="3">
        <f>(G247+N247+O247)</f>
        <v>12</v>
      </c>
      <c r="AD247" s="5">
        <f>P247/AC247</f>
        <v>0.16666666666666666</v>
      </c>
      <c r="AE247" s="5">
        <f>(N247+O247)/AC247</f>
        <v>8.3333333333333329E-2</v>
      </c>
      <c r="AF247" s="4">
        <f>100-((AD247-AE247)*100)</f>
        <v>91.666666666666671</v>
      </c>
      <c r="AG247" s="3">
        <f>(F247-D247)*1000</f>
        <v>273</v>
      </c>
      <c r="AH247" s="3">
        <f>(((AF247+AG247)/2)*(AC247/100)*AB247)/C247</f>
        <v>4.2348387096774198</v>
      </c>
    </row>
    <row r="248" spans="1:34" x14ac:dyDescent="0.35">
      <c r="A248" s="3" t="s">
        <v>370</v>
      </c>
      <c r="B248" s="3" t="s">
        <v>18</v>
      </c>
      <c r="C248" s="3">
        <v>36</v>
      </c>
      <c r="D248" s="3">
        <v>8.3000000000000004E-2</v>
      </c>
      <c r="E248" s="3">
        <v>8.3000000000000004E-2</v>
      </c>
      <c r="F248" s="3">
        <v>0.33300000000000002</v>
      </c>
      <c r="G248" s="3">
        <v>12</v>
      </c>
      <c r="H248" s="3">
        <v>1</v>
      </c>
      <c r="I248" s="3">
        <v>0</v>
      </c>
      <c r="J248" s="3">
        <v>0</v>
      </c>
      <c r="K248" s="3">
        <v>1</v>
      </c>
      <c r="L248" s="3">
        <v>1</v>
      </c>
      <c r="M248" s="3">
        <v>3</v>
      </c>
      <c r="N248" s="3">
        <v>0</v>
      </c>
      <c r="O248" s="3">
        <v>0</v>
      </c>
      <c r="P248" s="3">
        <v>4</v>
      </c>
      <c r="Q248" s="3">
        <v>0</v>
      </c>
      <c r="R248" s="3">
        <v>0</v>
      </c>
      <c r="S248" s="6">
        <f>AH248/10</f>
        <v>0.42222222222222222</v>
      </c>
      <c r="T248" s="3">
        <v>40</v>
      </c>
      <c r="U248" s="4">
        <f>(S248*2)+T248</f>
        <v>40.844444444444441</v>
      </c>
      <c r="V248" s="4">
        <f>S248+T248</f>
        <v>40.422222222222224</v>
      </c>
      <c r="W248" s="3"/>
      <c r="X248" s="3"/>
      <c r="Y248" s="3"/>
      <c r="Z248" s="3"/>
      <c r="AA248" s="3"/>
      <c r="AB248" s="3">
        <f>_xlfn.IFS(B248="c", 8, B248="ss", 10, B248="cf", 8,  B248="2b", 8, B248="3b", 6, B248="rf", 4, B248="lf", 2, B248="1b", 2, B248 ="dh", 1)</f>
        <v>8</v>
      </c>
      <c r="AC248" s="3">
        <f>(G248+N248+O248)</f>
        <v>12</v>
      </c>
      <c r="AD248" s="5">
        <f>P248/AC248</f>
        <v>0.33333333333333331</v>
      </c>
      <c r="AE248" s="5">
        <f>(N248+O248)/AC248</f>
        <v>0</v>
      </c>
      <c r="AF248" s="4">
        <f>100-((AD248-AE248)*100)</f>
        <v>66.666666666666671</v>
      </c>
      <c r="AG248" s="3">
        <f>(F248-D248)*1000</f>
        <v>250</v>
      </c>
      <c r="AH248" s="3">
        <f>(((AF248+AG248)/2)*(AC248/100)*AB248)/C248</f>
        <v>4.2222222222222223</v>
      </c>
    </row>
    <row r="249" spans="1:34" x14ac:dyDescent="0.35">
      <c r="A249" s="3" t="s">
        <v>184</v>
      </c>
      <c r="B249" s="3" t="s">
        <v>28</v>
      </c>
      <c r="C249" s="3">
        <v>27</v>
      </c>
      <c r="D249" s="3">
        <v>0.19500000000000001</v>
      </c>
      <c r="E249" s="3">
        <v>0.214</v>
      </c>
      <c r="F249" s="3">
        <v>0.39</v>
      </c>
      <c r="G249" s="3">
        <v>41</v>
      </c>
      <c r="H249" s="3">
        <v>8</v>
      </c>
      <c r="I249" s="3">
        <v>0</v>
      </c>
      <c r="J249" s="3">
        <v>1</v>
      </c>
      <c r="K249" s="3">
        <v>2</v>
      </c>
      <c r="L249" s="3">
        <v>2</v>
      </c>
      <c r="M249" s="3">
        <v>4</v>
      </c>
      <c r="N249" s="3">
        <v>0</v>
      </c>
      <c r="O249" s="3">
        <v>1</v>
      </c>
      <c r="P249" s="3">
        <v>16</v>
      </c>
      <c r="Q249" s="3">
        <v>0</v>
      </c>
      <c r="R249" s="3">
        <v>1</v>
      </c>
      <c r="S249" s="6">
        <f>AH249/10</f>
        <v>0.40333333333333332</v>
      </c>
      <c r="T249" s="3">
        <v>40</v>
      </c>
      <c r="U249" s="4">
        <f>(S249*2)+T249</f>
        <v>40.806666666666665</v>
      </c>
      <c r="V249" s="4">
        <f>S249+T249</f>
        <v>40.403333333333336</v>
      </c>
      <c r="W249" s="3"/>
      <c r="X249" s="3"/>
      <c r="Y249" s="3"/>
      <c r="Z249" s="3"/>
      <c r="AA249" s="3"/>
      <c r="AB249" s="3">
        <f>_xlfn.IFS(B249="c", 8, B249="ss", 10, B249="cf", 8,  B249="2b", 8, B249="3b", 6, B249="rf", 4, B249="lf", 2, B249="1b", 2, B249 ="dh", 1)</f>
        <v>2</v>
      </c>
      <c r="AC249" s="3">
        <f>(G249+N249+O249)</f>
        <v>42</v>
      </c>
      <c r="AD249" s="5">
        <f>P249/AC249</f>
        <v>0.38095238095238093</v>
      </c>
      <c r="AE249" s="5">
        <f>(N249+O249)/AC249</f>
        <v>2.3809523809523808E-2</v>
      </c>
      <c r="AF249" s="4">
        <f>100-((AD249-AE249)*100)</f>
        <v>64.285714285714292</v>
      </c>
      <c r="AG249" s="3">
        <f>(F249-D249)*1000</f>
        <v>195</v>
      </c>
      <c r="AH249" s="3">
        <f>(((AF249+AG249)/2)*(AC249/100)*AB249)/C249</f>
        <v>4.0333333333333332</v>
      </c>
    </row>
    <row r="250" spans="1:34" x14ac:dyDescent="0.35">
      <c r="A250" s="3" t="s">
        <v>192</v>
      </c>
      <c r="B250" s="3" t="s">
        <v>59</v>
      </c>
      <c r="C250" s="3">
        <v>27</v>
      </c>
      <c r="D250" s="3">
        <v>0.105</v>
      </c>
      <c r="E250" s="3">
        <v>0.19</v>
      </c>
      <c r="F250" s="3">
        <v>0.105</v>
      </c>
      <c r="G250" s="3">
        <v>38</v>
      </c>
      <c r="H250" s="3">
        <v>4</v>
      </c>
      <c r="I250" s="3">
        <v>0</v>
      </c>
      <c r="J250" s="3">
        <v>0</v>
      </c>
      <c r="K250" s="3">
        <v>0</v>
      </c>
      <c r="L250" s="3">
        <v>5</v>
      </c>
      <c r="M250" s="3">
        <v>0</v>
      </c>
      <c r="N250" s="3">
        <v>0</v>
      </c>
      <c r="O250" s="3">
        <v>4</v>
      </c>
      <c r="P250" s="3">
        <v>19</v>
      </c>
      <c r="Q250" s="3">
        <v>2</v>
      </c>
      <c r="R250" s="3">
        <v>0</v>
      </c>
      <c r="S250" s="6">
        <f>AH250/10</f>
        <v>0.39999999999999997</v>
      </c>
      <c r="T250" s="3">
        <v>40</v>
      </c>
      <c r="U250" s="4">
        <f>(S250*2)+T250</f>
        <v>40.799999999999997</v>
      </c>
      <c r="V250" s="4">
        <f>S250+T250</f>
        <v>40.4</v>
      </c>
      <c r="W250" s="3"/>
      <c r="X250" s="3"/>
      <c r="Y250" s="3"/>
      <c r="Z250" s="3"/>
      <c r="AA250" s="3"/>
      <c r="AB250" s="3">
        <f>_xlfn.IFS(B250="c", 8, B250="ss", 10, B250="cf", 8,  B250="2b", 8, B250="3b", 6, B250="rf", 4, B250="lf", 2, B250="1b", 2, B250 ="dh", 1)</f>
        <v>8</v>
      </c>
      <c r="AC250" s="3">
        <f>(G250+N250+O250)</f>
        <v>42</v>
      </c>
      <c r="AD250" s="5">
        <f>P250/AC250</f>
        <v>0.45238095238095238</v>
      </c>
      <c r="AE250" s="5">
        <f>(N250+O250)/AC250</f>
        <v>9.5238095238095233E-2</v>
      </c>
      <c r="AF250" s="4">
        <f>100-((AD250-AE250)*100)</f>
        <v>64.285714285714278</v>
      </c>
      <c r="AG250" s="3">
        <f>(F250-D250)*1000</f>
        <v>0</v>
      </c>
      <c r="AH250" s="3">
        <f>(((AF250+AG250)/2)*(AC250/100)*AB250)/C250</f>
        <v>3.9999999999999996</v>
      </c>
    </row>
    <row r="251" spans="1:34" x14ac:dyDescent="0.35">
      <c r="A251" s="3" t="s">
        <v>314</v>
      </c>
      <c r="B251" s="3" t="s">
        <v>30</v>
      </c>
      <c r="C251" s="3">
        <v>31</v>
      </c>
      <c r="D251" s="3">
        <v>0.14799999999999999</v>
      </c>
      <c r="E251" s="3">
        <v>0.20699999999999999</v>
      </c>
      <c r="F251" s="3">
        <v>0.185</v>
      </c>
      <c r="G251" s="3">
        <v>27</v>
      </c>
      <c r="H251" s="3">
        <v>4</v>
      </c>
      <c r="I251" s="3">
        <v>1</v>
      </c>
      <c r="J251" s="3">
        <v>0</v>
      </c>
      <c r="K251" s="3">
        <v>0</v>
      </c>
      <c r="L251" s="3">
        <v>3</v>
      </c>
      <c r="M251" s="3">
        <v>0</v>
      </c>
      <c r="N251" s="3">
        <v>0</v>
      </c>
      <c r="O251" s="3">
        <v>2</v>
      </c>
      <c r="P251" s="3">
        <v>11</v>
      </c>
      <c r="Q251" s="3">
        <v>1</v>
      </c>
      <c r="R251" s="3">
        <v>1</v>
      </c>
      <c r="S251" s="6">
        <f>AH251/10</f>
        <v>0.39651612903225814</v>
      </c>
      <c r="T251" s="3">
        <v>40</v>
      </c>
      <c r="U251" s="4">
        <f>(S251*2)+T251</f>
        <v>40.793032258064514</v>
      </c>
      <c r="V251" s="4">
        <f>S251+T251</f>
        <v>40.396516129032257</v>
      </c>
      <c r="W251" s="3"/>
      <c r="X251" s="3"/>
      <c r="Y251" s="3"/>
      <c r="Z251" s="3"/>
      <c r="AA251" s="3"/>
      <c r="AB251" s="3">
        <f>_xlfn.IFS(B251="c", 8, B251="ss", 10, B251="cf", 8,  B251="2b", 8, B251="3b", 6, B251="rf", 4, B251="lf", 2, B251="1b", 2, B251 ="dh", 1)</f>
        <v>8</v>
      </c>
      <c r="AC251" s="3">
        <f>(G251+N251+O251)</f>
        <v>29</v>
      </c>
      <c r="AD251" s="5">
        <f>P251/AC251</f>
        <v>0.37931034482758619</v>
      </c>
      <c r="AE251" s="5">
        <f>(N251+O251)/AC251</f>
        <v>6.8965517241379309E-2</v>
      </c>
      <c r="AF251" s="4">
        <f>100-((AD251-AE251)*100)</f>
        <v>68.965517241379317</v>
      </c>
      <c r="AG251" s="3">
        <f>(F251-D251)*1000</f>
        <v>37.000000000000007</v>
      </c>
      <c r="AH251" s="3">
        <f>(((AF251+AG251)/2)*(AC251/100)*AB251)/C251</f>
        <v>3.9651612903225812</v>
      </c>
    </row>
    <row r="252" spans="1:34" x14ac:dyDescent="0.35">
      <c r="A252" s="3" t="s">
        <v>151</v>
      </c>
      <c r="B252" s="3" t="s">
        <v>47</v>
      </c>
      <c r="C252" s="3">
        <v>26</v>
      </c>
      <c r="D252" s="3">
        <v>8.3000000000000004E-2</v>
      </c>
      <c r="E252" s="3">
        <v>0.154</v>
      </c>
      <c r="F252" s="3">
        <v>0.16700000000000001</v>
      </c>
      <c r="G252" s="3">
        <v>60</v>
      </c>
      <c r="H252" s="3">
        <v>5</v>
      </c>
      <c r="I252" s="3">
        <v>2</v>
      </c>
      <c r="J252" s="3">
        <v>0</v>
      </c>
      <c r="K252" s="3">
        <v>1</v>
      </c>
      <c r="L252" s="3">
        <v>5</v>
      </c>
      <c r="M252" s="3">
        <v>1</v>
      </c>
      <c r="N252" s="3">
        <v>2</v>
      </c>
      <c r="O252" s="3">
        <v>3</v>
      </c>
      <c r="P252" s="3">
        <v>23</v>
      </c>
      <c r="Q252" s="3">
        <v>0</v>
      </c>
      <c r="R252" s="3">
        <v>0</v>
      </c>
      <c r="S252" s="6">
        <f>AH252/10</f>
        <v>0.39076923076923081</v>
      </c>
      <c r="T252" s="3">
        <v>40</v>
      </c>
      <c r="U252" s="4">
        <f>(S252*2)+T252</f>
        <v>40.78153846153846</v>
      </c>
      <c r="V252" s="4">
        <f>S252+T252</f>
        <v>40.39076923076923</v>
      </c>
      <c r="W252" s="3"/>
      <c r="X252" s="3"/>
      <c r="Y252" s="3"/>
      <c r="Z252" s="3"/>
      <c r="AA252" s="3"/>
      <c r="AB252" s="3">
        <f>_xlfn.IFS(B252="c", 8, B252="ss", 10, B252="cf", 8,  B252="2b", 8, B252="3b", 6, B252="rf", 4, B252="lf", 2, B252="1b", 2, B252 ="dh", 1)</f>
        <v>2</v>
      </c>
      <c r="AC252" s="3">
        <f>(G252+N252+O252)</f>
        <v>65</v>
      </c>
      <c r="AD252" s="5">
        <f>P252/AC252</f>
        <v>0.35384615384615387</v>
      </c>
      <c r="AE252" s="5">
        <f>(N252+O252)/AC252</f>
        <v>7.6923076923076927E-2</v>
      </c>
      <c r="AF252" s="4">
        <f>100-((AD252-AE252)*100)</f>
        <v>72.307692307692307</v>
      </c>
      <c r="AG252" s="3">
        <f>(F252-D252)*1000</f>
        <v>84</v>
      </c>
      <c r="AH252" s="3">
        <f>(((AF252+AG252)/2)*(AC252/100)*AB252)/C252</f>
        <v>3.907692307692308</v>
      </c>
    </row>
    <row r="253" spans="1:34" x14ac:dyDescent="0.35">
      <c r="A253" s="3" t="s">
        <v>111</v>
      </c>
      <c r="B253" s="3" t="s">
        <v>47</v>
      </c>
      <c r="C253" s="3">
        <v>25</v>
      </c>
      <c r="D253" s="3">
        <v>0.2</v>
      </c>
      <c r="E253" s="3">
        <v>0.25600000000000001</v>
      </c>
      <c r="F253" s="3">
        <v>0.35</v>
      </c>
      <c r="G253" s="3">
        <v>40</v>
      </c>
      <c r="H253" s="3">
        <v>8</v>
      </c>
      <c r="I253" s="3">
        <v>3</v>
      </c>
      <c r="J253" s="3">
        <v>0</v>
      </c>
      <c r="K253" s="3">
        <v>1</v>
      </c>
      <c r="L253" s="3">
        <v>5</v>
      </c>
      <c r="M253" s="3">
        <v>2</v>
      </c>
      <c r="N253" s="3">
        <v>0</v>
      </c>
      <c r="O253" s="3">
        <v>3</v>
      </c>
      <c r="P253" s="3">
        <v>13</v>
      </c>
      <c r="Q253" s="3">
        <v>1</v>
      </c>
      <c r="R253" s="3">
        <v>1</v>
      </c>
      <c r="S253" s="6">
        <f>AH253/10</f>
        <v>0.38999999999999996</v>
      </c>
      <c r="T253" s="3">
        <v>40</v>
      </c>
      <c r="U253" s="4">
        <f>(S253*2)+T253</f>
        <v>40.78</v>
      </c>
      <c r="V253" s="4">
        <f>S253+T253</f>
        <v>40.39</v>
      </c>
      <c r="W253" s="3"/>
      <c r="X253" s="3"/>
      <c r="Y253" s="3"/>
      <c r="Z253" s="3"/>
      <c r="AA253" s="3"/>
      <c r="AB253" s="3">
        <f>_xlfn.IFS(B253="c", 8, B253="ss", 10, B253="cf", 8,  B253="2b", 8, B253="3b", 6, B253="rf", 4, B253="lf", 2, B253="1b", 2, B253 ="dh", 1)</f>
        <v>2</v>
      </c>
      <c r="AC253" s="3">
        <f>(G253+N253+O253)</f>
        <v>43</v>
      </c>
      <c r="AD253" s="5">
        <f>P253/AC253</f>
        <v>0.30232558139534882</v>
      </c>
      <c r="AE253" s="5">
        <f>(N253+O253)/AC253</f>
        <v>6.9767441860465115E-2</v>
      </c>
      <c r="AF253" s="4">
        <f>100-((AD253-AE253)*100)</f>
        <v>76.744186046511629</v>
      </c>
      <c r="AG253" s="3">
        <f>(F253-D253)*1000</f>
        <v>149.99999999999997</v>
      </c>
      <c r="AH253" s="3">
        <f>(((AF253+AG253)/2)*(AC253/100)*AB253)/C253</f>
        <v>3.8999999999999995</v>
      </c>
    </row>
    <row r="254" spans="1:34" x14ac:dyDescent="0.35">
      <c r="A254" s="3" t="s">
        <v>330</v>
      </c>
      <c r="B254" s="3" t="s">
        <v>47</v>
      </c>
      <c r="C254" s="3">
        <v>32</v>
      </c>
      <c r="D254" s="3">
        <v>0.185</v>
      </c>
      <c r="E254" s="3">
        <v>0.30299999999999999</v>
      </c>
      <c r="F254" s="3">
        <v>0.26200000000000001</v>
      </c>
      <c r="G254" s="3">
        <v>65</v>
      </c>
      <c r="H254" s="3">
        <v>12</v>
      </c>
      <c r="I254" s="3">
        <v>2</v>
      </c>
      <c r="J254" s="3">
        <v>0</v>
      </c>
      <c r="K254" s="3">
        <v>1</v>
      </c>
      <c r="L254" s="3">
        <v>6</v>
      </c>
      <c r="M254" s="3">
        <v>3</v>
      </c>
      <c r="N254" s="3">
        <v>2</v>
      </c>
      <c r="O254" s="3">
        <v>9</v>
      </c>
      <c r="P254" s="3">
        <v>23</v>
      </c>
      <c r="Q254" s="3">
        <v>1</v>
      </c>
      <c r="R254" s="3">
        <v>0</v>
      </c>
      <c r="S254" s="6">
        <f>AH254/10</f>
        <v>0.38287500000000002</v>
      </c>
      <c r="T254" s="3">
        <v>40</v>
      </c>
      <c r="U254" s="4">
        <f>(S254*2)+T254</f>
        <v>40.765749999999997</v>
      </c>
      <c r="V254" s="4">
        <f>S254+T254</f>
        <v>40.382874999999999</v>
      </c>
      <c r="W254" s="3"/>
      <c r="X254" s="3"/>
      <c r="Y254" s="3"/>
      <c r="Z254" s="3"/>
      <c r="AA254" s="3"/>
      <c r="AB254" s="3">
        <f>_xlfn.IFS(B254="c", 8, B254="ss", 10, B254="cf", 8,  B254="2b", 8, B254="3b", 6, B254="rf", 4, B254="lf", 2, B254="1b", 2, B254 ="dh", 1)</f>
        <v>2</v>
      </c>
      <c r="AC254" s="3">
        <f>(G254+N254+O254)</f>
        <v>76</v>
      </c>
      <c r="AD254" s="5">
        <f>P254/AC254</f>
        <v>0.30263157894736842</v>
      </c>
      <c r="AE254" s="5">
        <f>(N254+O254)/AC254</f>
        <v>0.14473684210526316</v>
      </c>
      <c r="AF254" s="4">
        <f>100-((AD254-AE254)*100)</f>
        <v>84.21052631578948</v>
      </c>
      <c r="AG254" s="3">
        <f>(F254-D254)*1000</f>
        <v>77.000000000000014</v>
      </c>
      <c r="AH254" s="3">
        <f>(((AF254+AG254)/2)*(AC254/100)*AB254)/C254</f>
        <v>3.8287500000000003</v>
      </c>
    </row>
    <row r="255" spans="1:34" x14ac:dyDescent="0.35">
      <c r="A255" s="3" t="s">
        <v>227</v>
      </c>
      <c r="B255" s="3" t="s">
        <v>30</v>
      </c>
      <c r="C255" s="3">
        <v>28</v>
      </c>
      <c r="D255" s="3">
        <v>0.111</v>
      </c>
      <c r="E255" s="3">
        <v>0.158</v>
      </c>
      <c r="F255" s="3">
        <v>0.16700000000000001</v>
      </c>
      <c r="G255" s="3">
        <v>18</v>
      </c>
      <c r="H255" s="3">
        <v>2</v>
      </c>
      <c r="I255" s="3">
        <v>1</v>
      </c>
      <c r="J255" s="3">
        <v>0</v>
      </c>
      <c r="K255" s="3">
        <v>0</v>
      </c>
      <c r="L255" s="3">
        <v>1</v>
      </c>
      <c r="M255" s="3">
        <v>2</v>
      </c>
      <c r="N255" s="3">
        <v>0</v>
      </c>
      <c r="O255" s="3">
        <v>1</v>
      </c>
      <c r="P255" s="3">
        <v>5</v>
      </c>
      <c r="Q255" s="3">
        <v>0</v>
      </c>
      <c r="R255" s="3">
        <v>0</v>
      </c>
      <c r="S255" s="6">
        <f>AH255/10</f>
        <v>0.36628571428571427</v>
      </c>
      <c r="T255" s="3">
        <v>40</v>
      </c>
      <c r="U255" s="4">
        <f>(S255*2)+T255</f>
        <v>40.732571428571426</v>
      </c>
      <c r="V255" s="4">
        <f>S255+T255</f>
        <v>40.366285714285716</v>
      </c>
      <c r="W255" s="3"/>
      <c r="X255" s="3"/>
      <c r="Y255" s="3"/>
      <c r="Z255" s="3"/>
      <c r="AA255" s="3"/>
      <c r="AB255" s="3">
        <f>_xlfn.IFS(B255="c", 8, B255="ss", 10, B255="cf", 8,  B255="2b", 8, B255="3b", 6, B255="rf", 4, B255="lf", 2, B255="1b", 2, B255 ="dh", 1)</f>
        <v>8</v>
      </c>
      <c r="AC255" s="3">
        <f>(G255+N255+O255)</f>
        <v>19</v>
      </c>
      <c r="AD255" s="5">
        <f>P255/AC255</f>
        <v>0.26315789473684209</v>
      </c>
      <c r="AE255" s="5">
        <f>(N255+O255)/AC255</f>
        <v>5.2631578947368418E-2</v>
      </c>
      <c r="AF255" s="4">
        <f>100-((AD255-AE255)*100)</f>
        <v>78.94736842105263</v>
      </c>
      <c r="AG255" s="3">
        <f>(F255-D255)*1000</f>
        <v>56.000000000000007</v>
      </c>
      <c r="AH255" s="3">
        <f>(((AF255+AG255)/2)*(AC255/100)*AB255)/C255</f>
        <v>3.6628571428571428</v>
      </c>
    </row>
    <row r="256" spans="1:34" x14ac:dyDescent="0.35">
      <c r="A256" s="3" t="s">
        <v>69</v>
      </c>
      <c r="B256" s="3" t="s">
        <v>32</v>
      </c>
      <c r="C256" s="3">
        <v>23</v>
      </c>
      <c r="D256" s="3">
        <v>0.16700000000000001</v>
      </c>
      <c r="E256" s="3">
        <v>0.16700000000000001</v>
      </c>
      <c r="F256" s="3">
        <v>0.33300000000000002</v>
      </c>
      <c r="G256" s="3">
        <v>12</v>
      </c>
      <c r="H256" s="3">
        <v>2</v>
      </c>
      <c r="I256" s="3">
        <v>2</v>
      </c>
      <c r="J256" s="3">
        <v>0</v>
      </c>
      <c r="K256" s="3">
        <v>0</v>
      </c>
      <c r="L256" s="3">
        <v>1</v>
      </c>
      <c r="M256" s="3">
        <v>2</v>
      </c>
      <c r="N256" s="3">
        <v>0</v>
      </c>
      <c r="O256" s="3">
        <v>0</v>
      </c>
      <c r="P256" s="3">
        <v>4</v>
      </c>
      <c r="Q256" s="3">
        <v>0</v>
      </c>
      <c r="R256" s="3">
        <v>0</v>
      </c>
      <c r="S256" s="6">
        <f>AH256/10</f>
        <v>0.36417391304347829</v>
      </c>
      <c r="T256" s="3">
        <v>40</v>
      </c>
      <c r="U256" s="4">
        <f>(S256*2)+T256</f>
        <v>40.72834782608696</v>
      </c>
      <c r="V256" s="4">
        <f>S256+T256</f>
        <v>40.36417391304348</v>
      </c>
      <c r="W256" s="3"/>
      <c r="X256" s="3"/>
      <c r="Y256" s="3"/>
      <c r="Z256" s="3"/>
      <c r="AA256" s="3"/>
      <c r="AB256" s="3">
        <f>_xlfn.IFS(B256="c", 8, B256="ss", 10, B256="cf", 8,  B256="2b", 8, B256="3b", 6, B256="rf", 4, B256="lf", 2, B256="1b", 2, B256 ="dh", 1)</f>
        <v>6</v>
      </c>
      <c r="AC256" s="3">
        <f>(G256+N256+O256)</f>
        <v>12</v>
      </c>
      <c r="AD256" s="5">
        <f>P256/AC256</f>
        <v>0.33333333333333331</v>
      </c>
      <c r="AE256" s="5">
        <f>(N256+O256)/AC256</f>
        <v>0</v>
      </c>
      <c r="AF256" s="4">
        <f>100-((AD256-AE256)*100)</f>
        <v>66.666666666666671</v>
      </c>
      <c r="AG256" s="3">
        <f>(F256-D256)*1000</f>
        <v>166</v>
      </c>
      <c r="AH256" s="3">
        <f>(((AF256+AG256)/2)*(AC256/100)*AB256)/C256</f>
        <v>3.6417391304347828</v>
      </c>
    </row>
    <row r="257" spans="1:34" x14ac:dyDescent="0.35">
      <c r="A257" s="3" t="s">
        <v>352</v>
      </c>
      <c r="B257" s="3" t="s">
        <v>22</v>
      </c>
      <c r="C257" s="3">
        <v>34</v>
      </c>
      <c r="D257" s="3">
        <v>0.24399999999999999</v>
      </c>
      <c r="E257" s="3">
        <v>0.28599999999999998</v>
      </c>
      <c r="F257" s="3">
        <v>0.28899999999999998</v>
      </c>
      <c r="G257" s="3">
        <v>45</v>
      </c>
      <c r="H257" s="3">
        <v>11</v>
      </c>
      <c r="I257" s="3">
        <v>2</v>
      </c>
      <c r="J257" s="3">
        <v>0</v>
      </c>
      <c r="K257" s="3">
        <v>0</v>
      </c>
      <c r="L257" s="3">
        <v>8</v>
      </c>
      <c r="M257" s="3">
        <v>2</v>
      </c>
      <c r="N257" s="3">
        <v>0</v>
      </c>
      <c r="O257" s="3">
        <v>3</v>
      </c>
      <c r="P257" s="3">
        <v>12</v>
      </c>
      <c r="Q257" s="3">
        <v>2</v>
      </c>
      <c r="R257" s="3">
        <v>0</v>
      </c>
      <c r="S257" s="6">
        <f>AH257/10</f>
        <v>0.35647058823529409</v>
      </c>
      <c r="T257" s="3">
        <v>40</v>
      </c>
      <c r="U257" s="4">
        <f>(S257*2)+T257</f>
        <v>40.712941176470586</v>
      </c>
      <c r="V257" s="4">
        <f>S257+T257</f>
        <v>40.356470588235297</v>
      </c>
      <c r="W257" s="3"/>
      <c r="X257" s="3"/>
      <c r="Y257" s="3"/>
      <c r="Z257" s="3"/>
      <c r="AA257" s="3"/>
      <c r="AB257" s="3">
        <f>_xlfn.IFS(B257="c", 8, B257="ss", 10, B257="cf", 8,  B257="2b", 8, B257="3b", 6, B257="rf", 4, B257="lf", 2, B257="1b", 2, B257 ="dh", 1)</f>
        <v>4</v>
      </c>
      <c r="AC257" s="3">
        <f>(G257+N257+O257)</f>
        <v>48</v>
      </c>
      <c r="AD257" s="5">
        <f>P257/AC257</f>
        <v>0.25</v>
      </c>
      <c r="AE257" s="5">
        <f>(N257+O257)/AC257</f>
        <v>6.25E-2</v>
      </c>
      <c r="AF257" s="4">
        <f>100-((AD257-AE257)*100)</f>
        <v>81.25</v>
      </c>
      <c r="AG257" s="3">
        <f>(F257-D257)*1000</f>
        <v>44.999999999999986</v>
      </c>
      <c r="AH257" s="3">
        <f>(((AF257+AG257)/2)*(AC257/100)*AB257)/C257</f>
        <v>3.5647058823529409</v>
      </c>
    </row>
    <row r="258" spans="1:34" x14ac:dyDescent="0.35">
      <c r="A258" s="3" t="s">
        <v>317</v>
      </c>
      <c r="B258" s="3" t="s">
        <v>18</v>
      </c>
      <c r="C258" s="3">
        <v>31</v>
      </c>
      <c r="D258" s="3">
        <v>0.34300000000000003</v>
      </c>
      <c r="E258" s="3">
        <v>0.36099999999999999</v>
      </c>
      <c r="F258" s="3">
        <v>0.34300000000000003</v>
      </c>
      <c r="G258" s="3">
        <v>35</v>
      </c>
      <c r="H258" s="3">
        <v>12</v>
      </c>
      <c r="I258" s="3">
        <v>0</v>
      </c>
      <c r="J258" s="3">
        <v>0</v>
      </c>
      <c r="K258" s="3">
        <v>0</v>
      </c>
      <c r="L258" s="3">
        <v>4</v>
      </c>
      <c r="M258" s="3">
        <v>2</v>
      </c>
      <c r="N258" s="3">
        <v>1</v>
      </c>
      <c r="O258" s="3">
        <v>0</v>
      </c>
      <c r="P258" s="3">
        <v>10</v>
      </c>
      <c r="Q258" s="3">
        <v>0</v>
      </c>
      <c r="R258" s="3">
        <v>0</v>
      </c>
      <c r="S258" s="6">
        <f>AH258/10</f>
        <v>0.34838709677419355</v>
      </c>
      <c r="T258" s="3">
        <v>40</v>
      </c>
      <c r="U258" s="4">
        <f>(S258*2)+T258</f>
        <v>40.696774193548386</v>
      </c>
      <c r="V258" s="4">
        <f>S258+T258</f>
        <v>40.348387096774196</v>
      </c>
      <c r="W258" s="3"/>
      <c r="X258" s="3"/>
      <c r="Y258" s="3"/>
      <c r="Z258" s="3"/>
      <c r="AA258" s="3"/>
      <c r="AB258" s="3">
        <f>_xlfn.IFS(B258="c", 8, B258="ss", 10, B258="cf", 8,  B258="2b", 8, B258="3b", 6, B258="rf", 4, B258="lf", 2, B258="1b", 2, B258 ="dh", 1)</f>
        <v>8</v>
      </c>
      <c r="AC258" s="3">
        <f>(G258+N258+O258)</f>
        <v>36</v>
      </c>
      <c r="AD258" s="5">
        <f>P258/AC258</f>
        <v>0.27777777777777779</v>
      </c>
      <c r="AE258" s="5">
        <f>(N258+O258)/AC258</f>
        <v>2.7777777777777776E-2</v>
      </c>
      <c r="AF258" s="4">
        <f>100-((AD258-AE258)*100)</f>
        <v>75</v>
      </c>
      <c r="AG258" s="3">
        <f>(F258-D258)*1000</f>
        <v>0</v>
      </c>
      <c r="AH258" s="3">
        <f>(((AF258+AG258)/2)*(AC258/100)*AB258)/C258</f>
        <v>3.4838709677419355</v>
      </c>
    </row>
    <row r="259" spans="1:34" x14ac:dyDescent="0.35">
      <c r="A259" s="3" t="s">
        <v>279</v>
      </c>
      <c r="B259" s="3" t="s">
        <v>30</v>
      </c>
      <c r="C259" s="3">
        <v>29</v>
      </c>
      <c r="D259" s="3">
        <v>0.182</v>
      </c>
      <c r="E259" s="3">
        <v>0.28000000000000003</v>
      </c>
      <c r="F259" s="3">
        <v>0.182</v>
      </c>
      <c r="G259" s="3">
        <v>22</v>
      </c>
      <c r="H259" s="3">
        <v>4</v>
      </c>
      <c r="I259" s="3">
        <v>0</v>
      </c>
      <c r="J259" s="3">
        <v>0</v>
      </c>
      <c r="K259" s="3">
        <v>0</v>
      </c>
      <c r="L259" s="3">
        <v>1</v>
      </c>
      <c r="M259" s="3">
        <v>0</v>
      </c>
      <c r="N259" s="3">
        <v>0</v>
      </c>
      <c r="O259" s="3">
        <v>3</v>
      </c>
      <c r="P259" s="3">
        <v>3</v>
      </c>
      <c r="Q259" s="3">
        <v>0</v>
      </c>
      <c r="R259" s="3">
        <v>0</v>
      </c>
      <c r="S259" s="6">
        <f>AH259/10</f>
        <v>0.34482758620689652</v>
      </c>
      <c r="T259" s="3">
        <v>40</v>
      </c>
      <c r="U259" s="4">
        <f>(S259*2)+T259</f>
        <v>40.689655172413794</v>
      </c>
      <c r="V259" s="4">
        <f>S259+T259</f>
        <v>40.344827586206897</v>
      </c>
      <c r="W259" s="3"/>
      <c r="X259" s="3"/>
      <c r="Y259" s="3"/>
      <c r="Z259" s="3"/>
      <c r="AA259" s="3"/>
      <c r="AB259" s="3">
        <f>_xlfn.IFS(B259="c", 8, B259="ss", 10, B259="cf", 8,  B259="2b", 8, B259="3b", 6, B259="rf", 4, B259="lf", 2, B259="1b", 2, B259 ="dh", 1)</f>
        <v>8</v>
      </c>
      <c r="AC259" s="3">
        <f>(G259+N259+O259)</f>
        <v>25</v>
      </c>
      <c r="AD259" s="5">
        <f>P259/AC259</f>
        <v>0.12</v>
      </c>
      <c r="AE259" s="5">
        <f>(N259+O259)/AC259</f>
        <v>0.12</v>
      </c>
      <c r="AF259" s="4">
        <f>100-((AD259-AE259)*100)</f>
        <v>100</v>
      </c>
      <c r="AG259" s="3">
        <f>(F259-D259)*1000</f>
        <v>0</v>
      </c>
      <c r="AH259" s="3">
        <f>(((AF259+AG259)/2)*(AC259/100)*AB259)/C259</f>
        <v>3.4482758620689653</v>
      </c>
    </row>
    <row r="260" spans="1:34" x14ac:dyDescent="0.35">
      <c r="A260" s="3" t="s">
        <v>325</v>
      </c>
      <c r="B260" s="3" t="s">
        <v>20</v>
      </c>
      <c r="C260" s="3">
        <v>31</v>
      </c>
      <c r="D260" s="3">
        <v>0.22900000000000001</v>
      </c>
      <c r="E260" s="3">
        <v>0.309</v>
      </c>
      <c r="F260" s="3">
        <v>0.4</v>
      </c>
      <c r="G260" s="3">
        <v>70</v>
      </c>
      <c r="H260" s="3">
        <v>16</v>
      </c>
      <c r="I260" s="3">
        <v>5</v>
      </c>
      <c r="J260" s="3">
        <v>2</v>
      </c>
      <c r="K260" s="3">
        <v>1</v>
      </c>
      <c r="L260" s="3">
        <v>8</v>
      </c>
      <c r="M260" s="3">
        <v>10</v>
      </c>
      <c r="N260" s="3">
        <v>0</v>
      </c>
      <c r="O260" s="3">
        <v>9</v>
      </c>
      <c r="P260" s="3">
        <v>21</v>
      </c>
      <c r="Q260" s="3">
        <v>1</v>
      </c>
      <c r="R260" s="3">
        <v>0</v>
      </c>
      <c r="S260" s="6">
        <f>AH260/10</f>
        <v>0.32595161290322583</v>
      </c>
      <c r="T260" s="3">
        <v>40</v>
      </c>
      <c r="U260" s="4">
        <f>(S260*2)+T260</f>
        <v>40.65190322580645</v>
      </c>
      <c r="V260" s="4">
        <f>S260+T260</f>
        <v>40.325951612903225</v>
      </c>
      <c r="W260" s="3"/>
      <c r="X260" s="3"/>
      <c r="Y260" s="3"/>
      <c r="Z260" s="3"/>
      <c r="AA260" s="3"/>
      <c r="AB260" s="3">
        <f>_xlfn.IFS(B260="c", 8, B260="ss", 10, B260="cf", 8,  B260="2b", 8, B260="3b", 6, B260="rf", 4, B260="lf", 2, B260="1b", 2, B260 ="dh", 1)</f>
        <v>1</v>
      </c>
      <c r="AC260" s="3">
        <f>(G260+N260+O260)</f>
        <v>79</v>
      </c>
      <c r="AD260" s="5">
        <f>P260/AC260</f>
        <v>0.26582278481012656</v>
      </c>
      <c r="AE260" s="5">
        <f>(N260+O260)/AC260</f>
        <v>0.11392405063291139</v>
      </c>
      <c r="AF260" s="4">
        <f>100-((AD260-AE260)*100)</f>
        <v>84.810126582278485</v>
      </c>
      <c r="AG260" s="3">
        <f>(F260-D260)*1000</f>
        <v>171</v>
      </c>
      <c r="AH260" s="3">
        <f>(((AF260+AG260)/2)*(AC260/100)*AB260)/C260</f>
        <v>3.2595161290322583</v>
      </c>
    </row>
    <row r="261" spans="1:34" x14ac:dyDescent="0.35">
      <c r="A261" s="3" t="s">
        <v>203</v>
      </c>
      <c r="B261" s="3" t="s">
        <v>18</v>
      </c>
      <c r="C261" s="3">
        <v>27</v>
      </c>
      <c r="D261" s="3">
        <v>0.125</v>
      </c>
      <c r="E261" s="3">
        <v>0.16700000000000001</v>
      </c>
      <c r="F261" s="3">
        <v>0.188</v>
      </c>
      <c r="G261" s="3">
        <v>16</v>
      </c>
      <c r="H261" s="3">
        <v>2</v>
      </c>
      <c r="I261" s="3">
        <v>1</v>
      </c>
      <c r="J261" s="3">
        <v>0</v>
      </c>
      <c r="K261" s="3">
        <v>0</v>
      </c>
      <c r="L261" s="3">
        <v>2</v>
      </c>
      <c r="M261" s="3">
        <v>1</v>
      </c>
      <c r="N261" s="3">
        <v>0</v>
      </c>
      <c r="O261" s="3">
        <v>1</v>
      </c>
      <c r="P261" s="3">
        <v>7</v>
      </c>
      <c r="Q261" s="3">
        <v>0</v>
      </c>
      <c r="R261" s="3">
        <v>0</v>
      </c>
      <c r="S261" s="6">
        <f>AH261/10</f>
        <v>0.32162962962962971</v>
      </c>
      <c r="T261" s="3">
        <v>40</v>
      </c>
      <c r="U261" s="4">
        <f>(S261*2)+T261</f>
        <v>40.64325925925926</v>
      </c>
      <c r="V261" s="4">
        <f>S261+T261</f>
        <v>40.321629629629626</v>
      </c>
      <c r="W261" s="3"/>
      <c r="X261" s="3"/>
      <c r="Y261" s="3"/>
      <c r="Z261" s="3"/>
      <c r="AA261" s="3"/>
      <c r="AB261" s="3">
        <f>_xlfn.IFS(B261="c", 8, B261="ss", 10, B261="cf", 8,  B261="2b", 8, B261="3b", 6, B261="rf", 4, B261="lf", 2, B261="1b", 2, B261 ="dh", 1)</f>
        <v>8</v>
      </c>
      <c r="AC261" s="3">
        <f>(G261+N261+O261)</f>
        <v>17</v>
      </c>
      <c r="AD261" s="5">
        <f>P261/AC261</f>
        <v>0.41176470588235292</v>
      </c>
      <c r="AE261" s="5">
        <f>(N261+O261)/AC261</f>
        <v>5.8823529411764705E-2</v>
      </c>
      <c r="AF261" s="4">
        <f>100-((AD261-AE261)*100)</f>
        <v>64.705882352941188</v>
      </c>
      <c r="AG261" s="3">
        <f>(F261-D261)*1000</f>
        <v>63</v>
      </c>
      <c r="AH261" s="3">
        <f>(((AF261+AG261)/2)*(AC261/100)*AB261)/C261</f>
        <v>3.2162962962962971</v>
      </c>
    </row>
    <row r="262" spans="1:34" x14ac:dyDescent="0.35">
      <c r="A262" s="3" t="s">
        <v>219</v>
      </c>
      <c r="B262" s="3" t="s">
        <v>32</v>
      </c>
      <c r="C262" s="3">
        <v>28</v>
      </c>
      <c r="D262" s="3">
        <v>0.13900000000000001</v>
      </c>
      <c r="E262" s="3">
        <v>0.184</v>
      </c>
      <c r="F262" s="3">
        <v>0.16700000000000001</v>
      </c>
      <c r="G262" s="3">
        <v>36</v>
      </c>
      <c r="H262" s="3">
        <v>5</v>
      </c>
      <c r="I262" s="3">
        <v>1</v>
      </c>
      <c r="J262" s="3">
        <v>0</v>
      </c>
      <c r="K262" s="3">
        <v>0</v>
      </c>
      <c r="L262" s="3">
        <v>1</v>
      </c>
      <c r="M262" s="3">
        <v>1</v>
      </c>
      <c r="N262" s="3">
        <v>0</v>
      </c>
      <c r="O262" s="3">
        <v>2</v>
      </c>
      <c r="P262" s="3">
        <v>21</v>
      </c>
      <c r="Q262" s="3">
        <v>0</v>
      </c>
      <c r="R262" s="3">
        <v>1</v>
      </c>
      <c r="S262" s="6">
        <f>AH262/10</f>
        <v>0.31757142857142856</v>
      </c>
      <c r="T262" s="3">
        <v>40</v>
      </c>
      <c r="U262" s="4">
        <f>(S262*2)+T262</f>
        <v>40.63514285714286</v>
      </c>
      <c r="V262" s="4">
        <f>S262+T262</f>
        <v>40.317571428571426</v>
      </c>
      <c r="W262" s="3"/>
      <c r="X262" s="3"/>
      <c r="Y262" s="3"/>
      <c r="Z262" s="3"/>
      <c r="AA262" s="3"/>
      <c r="AB262" s="3">
        <f>_xlfn.IFS(B262="c", 8, B262="ss", 10, B262="cf", 8,  B262="2b", 8, B262="3b", 6, B262="rf", 4, B262="lf", 2, B262="1b", 2, B262 ="dh", 1)</f>
        <v>6</v>
      </c>
      <c r="AC262" s="3">
        <f>(G262+N262+O262)</f>
        <v>38</v>
      </c>
      <c r="AD262" s="5">
        <f>P262/AC262</f>
        <v>0.55263157894736847</v>
      </c>
      <c r="AE262" s="5">
        <f>(N262+O262)/AC262</f>
        <v>5.2631578947368418E-2</v>
      </c>
      <c r="AF262" s="4">
        <f>100-((AD262-AE262)*100)</f>
        <v>50</v>
      </c>
      <c r="AG262" s="3">
        <f>(F262-D262)*1000</f>
        <v>27.999999999999996</v>
      </c>
      <c r="AH262" s="3">
        <f>(((AF262+AG262)/2)*(AC262/100)*AB262)/C262</f>
        <v>3.1757142857142857</v>
      </c>
    </row>
    <row r="263" spans="1:34" x14ac:dyDescent="0.35">
      <c r="A263" s="3" t="s">
        <v>88</v>
      </c>
      <c r="B263" s="3" t="s">
        <v>22</v>
      </c>
      <c r="C263" s="3">
        <v>24</v>
      </c>
      <c r="D263" s="3">
        <v>9.0999999999999998E-2</v>
      </c>
      <c r="E263" s="3">
        <v>0.16</v>
      </c>
      <c r="F263" s="3">
        <v>0.182</v>
      </c>
      <c r="G263" s="3">
        <v>22</v>
      </c>
      <c r="H263" s="3">
        <v>2</v>
      </c>
      <c r="I263" s="3">
        <v>0</v>
      </c>
      <c r="J263" s="3">
        <v>1</v>
      </c>
      <c r="K263" s="3">
        <v>0</v>
      </c>
      <c r="L263" s="3">
        <v>3</v>
      </c>
      <c r="M263" s="3">
        <v>2</v>
      </c>
      <c r="N263" s="3">
        <v>0</v>
      </c>
      <c r="O263" s="3">
        <v>2</v>
      </c>
      <c r="P263" s="3">
        <v>11</v>
      </c>
      <c r="Q263" s="3">
        <v>0</v>
      </c>
      <c r="R263" s="3">
        <v>0</v>
      </c>
      <c r="S263" s="6">
        <f>AH263/10</f>
        <v>0.307</v>
      </c>
      <c r="T263" s="3">
        <v>40</v>
      </c>
      <c r="U263" s="4">
        <f>(S263*2)+T263</f>
        <v>40.613999999999997</v>
      </c>
      <c r="V263" s="4">
        <f>S263+T263</f>
        <v>40.307000000000002</v>
      </c>
      <c r="W263" s="3"/>
      <c r="X263" s="3"/>
      <c r="Y263" s="3"/>
      <c r="Z263" s="3"/>
      <c r="AA263" s="3"/>
      <c r="AB263" s="3">
        <f>_xlfn.IFS(B263="c", 8, B263="ss", 10, B263="cf", 8,  B263="2b", 8, B263="3b", 6, B263="rf", 4, B263="lf", 2, B263="1b", 2, B263 ="dh", 1)</f>
        <v>4</v>
      </c>
      <c r="AC263" s="3">
        <f>(G263+N263+O263)</f>
        <v>24</v>
      </c>
      <c r="AD263" s="5">
        <f>P263/AC263</f>
        <v>0.45833333333333331</v>
      </c>
      <c r="AE263" s="5">
        <f>(N263+O263)/AC263</f>
        <v>8.3333333333333329E-2</v>
      </c>
      <c r="AF263" s="4">
        <f>100-((AD263-AE263)*100)</f>
        <v>62.5</v>
      </c>
      <c r="AG263" s="3">
        <f>(F263-D263)*1000</f>
        <v>91</v>
      </c>
      <c r="AH263" s="3">
        <f>(((AF263+AG263)/2)*(AC263/100)*AB263)/C263</f>
        <v>3.07</v>
      </c>
    </row>
    <row r="264" spans="1:34" x14ac:dyDescent="0.35">
      <c r="A264" s="3" t="s">
        <v>282</v>
      </c>
      <c r="B264" s="3" t="s">
        <v>20</v>
      </c>
      <c r="C264" s="3">
        <v>29</v>
      </c>
      <c r="D264" s="3">
        <v>0.186</v>
      </c>
      <c r="E264" s="3">
        <v>0.23400000000000001</v>
      </c>
      <c r="F264" s="3">
        <v>0.48799999999999999</v>
      </c>
      <c r="G264" s="3">
        <v>43</v>
      </c>
      <c r="H264" s="3">
        <v>8</v>
      </c>
      <c r="I264" s="3">
        <v>1</v>
      </c>
      <c r="J264" s="3">
        <v>0</v>
      </c>
      <c r="K264" s="3">
        <v>4</v>
      </c>
      <c r="L264" s="3">
        <v>5</v>
      </c>
      <c r="M264" s="3">
        <v>6</v>
      </c>
      <c r="N264" s="3">
        <v>1</v>
      </c>
      <c r="O264" s="3">
        <v>2</v>
      </c>
      <c r="P264" s="3">
        <v>16</v>
      </c>
      <c r="Q264" s="3">
        <v>0</v>
      </c>
      <c r="R264" s="3">
        <v>0</v>
      </c>
      <c r="S264" s="6">
        <f>AH264/10</f>
        <v>0.29641379310344829</v>
      </c>
      <c r="T264" s="3">
        <v>40</v>
      </c>
      <c r="U264" s="4">
        <f>(S264*2)+T264</f>
        <v>40.592827586206894</v>
      </c>
      <c r="V264" s="4">
        <f>S264+T264</f>
        <v>40.296413793103447</v>
      </c>
      <c r="W264" s="3"/>
      <c r="X264" s="3"/>
      <c r="Y264" s="3"/>
      <c r="Z264" s="3"/>
      <c r="AA264" s="3"/>
      <c r="AB264" s="3">
        <f>_xlfn.IFS(B264="c", 8, B264="ss", 10, B264="cf", 8,  B264="2b", 8, B264="3b", 6, B264="rf", 4, B264="lf", 2, B264="1b", 2, B264 ="dh", 1)</f>
        <v>1</v>
      </c>
      <c r="AC264" s="3">
        <f>(G264+N264+O264)</f>
        <v>46</v>
      </c>
      <c r="AD264" s="5">
        <f>P264/AC264</f>
        <v>0.34782608695652173</v>
      </c>
      <c r="AE264" s="5">
        <f>(N264+O264)/AC264</f>
        <v>6.5217391304347824E-2</v>
      </c>
      <c r="AF264" s="4">
        <f>100-((AD264-AE264)*100)</f>
        <v>71.739130434782609</v>
      </c>
      <c r="AG264" s="3">
        <f>(F264-D264)*1000</f>
        <v>302</v>
      </c>
      <c r="AH264" s="3">
        <f>(((AF264+AG264)/2)*(AC264/100)*AB264)/C264</f>
        <v>2.9641379310344829</v>
      </c>
    </row>
    <row r="265" spans="1:34" x14ac:dyDescent="0.35">
      <c r="A265" s="3" t="s">
        <v>178</v>
      </c>
      <c r="B265" s="3" t="s">
        <v>28</v>
      </c>
      <c r="C265" s="3">
        <v>27</v>
      </c>
      <c r="D265" s="3">
        <v>0.16700000000000001</v>
      </c>
      <c r="E265" s="3">
        <v>0.222</v>
      </c>
      <c r="F265" s="3">
        <v>0.28599999999999998</v>
      </c>
      <c r="G265" s="3">
        <v>42</v>
      </c>
      <c r="H265" s="3">
        <v>7</v>
      </c>
      <c r="I265" s="3">
        <v>2</v>
      </c>
      <c r="J265" s="3">
        <v>0</v>
      </c>
      <c r="K265" s="3">
        <v>1</v>
      </c>
      <c r="L265" s="3">
        <v>3</v>
      </c>
      <c r="M265" s="3">
        <v>4</v>
      </c>
      <c r="N265" s="3">
        <v>0</v>
      </c>
      <c r="O265" s="3">
        <v>3</v>
      </c>
      <c r="P265" s="3">
        <v>22</v>
      </c>
      <c r="Q265" s="3">
        <v>0</v>
      </c>
      <c r="R265" s="3">
        <v>0</v>
      </c>
      <c r="S265" s="6">
        <f>AH265/10</f>
        <v>0.29462962962962957</v>
      </c>
      <c r="T265" s="3">
        <v>40</v>
      </c>
      <c r="U265" s="4">
        <f>(S265*2)+T265</f>
        <v>40.589259259259258</v>
      </c>
      <c r="V265" s="4">
        <f>S265+T265</f>
        <v>40.294629629629632</v>
      </c>
      <c r="W265" s="3"/>
      <c r="X265" s="3"/>
      <c r="Y265" s="3"/>
      <c r="Z265" s="3"/>
      <c r="AA265" s="3"/>
      <c r="AB265" s="3">
        <f>_xlfn.IFS(B265="c", 8, B265="ss", 10, B265="cf", 8,  B265="2b", 8, B265="3b", 6, B265="rf", 4, B265="lf", 2, B265="1b", 2, B265 ="dh", 1)</f>
        <v>2</v>
      </c>
      <c r="AC265" s="3">
        <f>(G265+N265+O265)</f>
        <v>45</v>
      </c>
      <c r="AD265" s="5">
        <f>P265/AC265</f>
        <v>0.48888888888888887</v>
      </c>
      <c r="AE265" s="5">
        <f>(N265+O265)/AC265</f>
        <v>6.6666666666666666E-2</v>
      </c>
      <c r="AF265" s="4">
        <f>100-((AD265-AE265)*100)</f>
        <v>57.777777777777779</v>
      </c>
      <c r="AG265" s="3">
        <f>(F265-D265)*1000</f>
        <v>118.99999999999997</v>
      </c>
      <c r="AH265" s="3">
        <f>(((AF265+AG265)/2)*(AC265/100)*AB265)/C265</f>
        <v>2.9462962962962957</v>
      </c>
    </row>
    <row r="266" spans="1:34" x14ac:dyDescent="0.35">
      <c r="A266" s="3" t="s">
        <v>98</v>
      </c>
      <c r="B266" s="3" t="s">
        <v>20</v>
      </c>
      <c r="C266" s="3">
        <v>24</v>
      </c>
      <c r="D266" s="3">
        <v>0.22</v>
      </c>
      <c r="E266" s="3">
        <v>0.33300000000000002</v>
      </c>
      <c r="F266" s="3">
        <v>0.41499999999999998</v>
      </c>
      <c r="G266" s="3">
        <v>41</v>
      </c>
      <c r="H266" s="3">
        <v>9</v>
      </c>
      <c r="I266" s="3">
        <v>2</v>
      </c>
      <c r="J266" s="3">
        <v>0</v>
      </c>
      <c r="K266" s="3">
        <v>2</v>
      </c>
      <c r="L266" s="3">
        <v>7</v>
      </c>
      <c r="M266" s="3">
        <v>5</v>
      </c>
      <c r="N266" s="3">
        <v>0</v>
      </c>
      <c r="O266" s="3">
        <v>7</v>
      </c>
      <c r="P266" s="3">
        <v>13</v>
      </c>
      <c r="Q266" s="3">
        <v>0</v>
      </c>
      <c r="R266" s="3">
        <v>0</v>
      </c>
      <c r="S266" s="6">
        <f>AH266/10</f>
        <v>0.28249999999999997</v>
      </c>
      <c r="T266" s="3">
        <v>40</v>
      </c>
      <c r="U266" s="4">
        <f>(S266*2)+T266</f>
        <v>40.564999999999998</v>
      </c>
      <c r="V266" s="4">
        <f>S266+T266</f>
        <v>40.282499999999999</v>
      </c>
      <c r="W266" s="3"/>
      <c r="X266" s="3"/>
      <c r="Y266" s="3"/>
      <c r="Z266" s="3"/>
      <c r="AA266" s="3"/>
      <c r="AB266" s="3">
        <f>_xlfn.IFS(B266="c", 8, B266="ss", 10, B266="cf", 8,  B266="2b", 8, B266="3b", 6, B266="rf", 4, B266="lf", 2, B266="1b", 2, B266 ="dh", 1)</f>
        <v>1</v>
      </c>
      <c r="AC266" s="3">
        <f>(G266+N266+O266)</f>
        <v>48</v>
      </c>
      <c r="AD266" s="5">
        <f>P266/AC266</f>
        <v>0.27083333333333331</v>
      </c>
      <c r="AE266" s="5">
        <f>(N266+O266)/AC266</f>
        <v>0.14583333333333334</v>
      </c>
      <c r="AF266" s="4">
        <f>100-((AD266-AE266)*100)</f>
        <v>87.5</v>
      </c>
      <c r="AG266" s="3">
        <f>(F266-D266)*1000</f>
        <v>194.99999999999997</v>
      </c>
      <c r="AH266" s="3">
        <f>(((AF266+AG266)/2)*(AC266/100)*AB266)/C266</f>
        <v>2.8249999999999997</v>
      </c>
    </row>
    <row r="267" spans="1:34" x14ac:dyDescent="0.35">
      <c r="A267" s="3" t="s">
        <v>292</v>
      </c>
      <c r="B267" s="3" t="s">
        <v>32</v>
      </c>
      <c r="C267" s="3">
        <v>30</v>
      </c>
      <c r="D267" s="3">
        <v>4.2000000000000003E-2</v>
      </c>
      <c r="E267" s="3">
        <v>0.17899999999999999</v>
      </c>
      <c r="F267" s="3">
        <v>4.2000000000000003E-2</v>
      </c>
      <c r="G267" s="3">
        <v>24</v>
      </c>
      <c r="H267" s="3">
        <v>1</v>
      </c>
      <c r="I267" s="3">
        <v>0</v>
      </c>
      <c r="J267" s="3">
        <v>0</v>
      </c>
      <c r="K267" s="3">
        <v>0</v>
      </c>
      <c r="L267" s="3">
        <v>2</v>
      </c>
      <c r="M267" s="3">
        <v>1</v>
      </c>
      <c r="N267" s="3">
        <v>0</v>
      </c>
      <c r="O267" s="3">
        <v>4</v>
      </c>
      <c r="P267" s="3">
        <v>4</v>
      </c>
      <c r="Q267" s="3">
        <v>0</v>
      </c>
      <c r="R267" s="3">
        <v>0</v>
      </c>
      <c r="S267" s="6">
        <f>AH267/10</f>
        <v>0.28000000000000003</v>
      </c>
      <c r="T267" s="3">
        <v>40</v>
      </c>
      <c r="U267" s="4">
        <f>(S267*2)+T267</f>
        <v>40.56</v>
      </c>
      <c r="V267" s="4">
        <f>S267+T267</f>
        <v>40.28</v>
      </c>
      <c r="W267" s="3"/>
      <c r="X267" s="3"/>
      <c r="Y267" s="3"/>
      <c r="Z267" s="3"/>
      <c r="AA267" s="3"/>
      <c r="AB267" s="3">
        <f>_xlfn.IFS(B267="c", 8, B267="ss", 10, B267="cf", 8,  B267="2b", 8, B267="3b", 6, B267="rf", 4, B267="lf", 2, B267="1b", 2, B267 ="dh", 1)</f>
        <v>6</v>
      </c>
      <c r="AC267" s="3">
        <f>(G267+N267+O267)</f>
        <v>28</v>
      </c>
      <c r="AD267" s="5">
        <f>P267/AC267</f>
        <v>0.14285714285714285</v>
      </c>
      <c r="AE267" s="5">
        <f>(N267+O267)/AC267</f>
        <v>0.14285714285714285</v>
      </c>
      <c r="AF267" s="4">
        <f>100-((AD267-AE267)*100)</f>
        <v>100</v>
      </c>
      <c r="AG267" s="3">
        <f>(F267-D267)*1000</f>
        <v>0</v>
      </c>
      <c r="AH267" s="3">
        <f>(((AF267+AG267)/2)*(AC267/100)*AB267)/C267</f>
        <v>2.8000000000000003</v>
      </c>
    </row>
    <row r="268" spans="1:34" x14ac:dyDescent="0.35">
      <c r="A268" s="3" t="s">
        <v>272</v>
      </c>
      <c r="B268" s="3" t="s">
        <v>28</v>
      </c>
      <c r="C268" s="3">
        <v>29</v>
      </c>
      <c r="D268" s="3">
        <v>0.106</v>
      </c>
      <c r="E268" s="3">
        <v>0.27600000000000002</v>
      </c>
      <c r="F268" s="3">
        <v>0.17</v>
      </c>
      <c r="G268" s="3">
        <v>47</v>
      </c>
      <c r="H268" s="3">
        <v>5</v>
      </c>
      <c r="I268" s="3">
        <v>0</v>
      </c>
      <c r="J268" s="3">
        <v>0</v>
      </c>
      <c r="K268" s="3">
        <v>1</v>
      </c>
      <c r="L268" s="3">
        <v>3</v>
      </c>
      <c r="M268" s="3">
        <v>2</v>
      </c>
      <c r="N268" s="3">
        <v>0</v>
      </c>
      <c r="O268" s="3">
        <v>11</v>
      </c>
      <c r="P268" s="3">
        <v>25</v>
      </c>
      <c r="Q268" s="3">
        <v>1</v>
      </c>
      <c r="R268" s="3">
        <v>0</v>
      </c>
      <c r="S268" s="6">
        <f>AH268/10</f>
        <v>0.27972413793103451</v>
      </c>
      <c r="T268" s="3">
        <v>40</v>
      </c>
      <c r="U268" s="4">
        <f>(S268*2)+T268</f>
        <v>40.559448275862067</v>
      </c>
      <c r="V268" s="4">
        <f>S268+T268</f>
        <v>40.279724137931034</v>
      </c>
      <c r="W268" s="3"/>
      <c r="X268" s="3"/>
      <c r="Y268" s="3"/>
      <c r="Z268" s="3"/>
      <c r="AA268" s="3"/>
      <c r="AB268" s="3">
        <f>_xlfn.IFS(B268="c", 8, B268="ss", 10, B268="cf", 8,  B268="2b", 8, B268="3b", 6, B268="rf", 4, B268="lf", 2, B268="1b", 2, B268 ="dh", 1)</f>
        <v>2</v>
      </c>
      <c r="AC268" s="3">
        <f>(G268+N268+O268)</f>
        <v>58</v>
      </c>
      <c r="AD268" s="5">
        <f>P268/AC268</f>
        <v>0.43103448275862066</v>
      </c>
      <c r="AE268" s="5">
        <f>(N268+O268)/AC268</f>
        <v>0.18965517241379309</v>
      </c>
      <c r="AF268" s="4">
        <f>100-((AD268-AE268)*100)</f>
        <v>75.862068965517238</v>
      </c>
      <c r="AG268" s="3">
        <f>(F268-D268)*1000</f>
        <v>64.000000000000014</v>
      </c>
      <c r="AH268" s="3">
        <f>(((AF268+AG268)/2)*(AC268/100)*AB268)/C268</f>
        <v>2.797241379310345</v>
      </c>
    </row>
    <row r="269" spans="1:34" x14ac:dyDescent="0.35">
      <c r="A269" s="3" t="s">
        <v>231</v>
      </c>
      <c r="B269" s="3" t="s">
        <v>20</v>
      </c>
      <c r="C269" s="3">
        <v>28</v>
      </c>
      <c r="D269" s="3">
        <v>0.16700000000000001</v>
      </c>
      <c r="E269" s="3">
        <v>0.28599999999999998</v>
      </c>
      <c r="F269" s="3">
        <v>0.315</v>
      </c>
      <c r="G269" s="3">
        <v>54</v>
      </c>
      <c r="H269" s="3">
        <v>9</v>
      </c>
      <c r="I269" s="3">
        <v>2</v>
      </c>
      <c r="J269" s="3">
        <v>0</v>
      </c>
      <c r="K269" s="3">
        <v>2</v>
      </c>
      <c r="L269" s="3">
        <v>5</v>
      </c>
      <c r="M269" s="3">
        <v>4</v>
      </c>
      <c r="N269" s="3">
        <v>0</v>
      </c>
      <c r="O269" s="3">
        <v>9</v>
      </c>
      <c r="P269" s="3">
        <v>19</v>
      </c>
      <c r="Q269" s="3">
        <v>0</v>
      </c>
      <c r="R269" s="3">
        <v>1</v>
      </c>
      <c r="S269" s="6">
        <f>AH269/10</f>
        <v>0.26114285714285718</v>
      </c>
      <c r="T269" s="3">
        <v>40</v>
      </c>
      <c r="U269" s="4">
        <f>(S269*2)+T269</f>
        <v>40.522285714285715</v>
      </c>
      <c r="V269" s="4">
        <f>S269+T269</f>
        <v>40.261142857142858</v>
      </c>
      <c r="W269" s="3"/>
      <c r="X269" s="3"/>
      <c r="Y269" s="3"/>
      <c r="Z269" s="3"/>
      <c r="AA269" s="3"/>
      <c r="AB269" s="3">
        <f>_xlfn.IFS(B269="c", 8, B269="ss", 10, B269="cf", 8,  B269="2b", 8, B269="3b", 6, B269="rf", 4, B269="lf", 2, B269="1b", 2, B269 ="dh", 1)</f>
        <v>1</v>
      </c>
      <c r="AC269" s="3">
        <f>(G269+N269+O269)</f>
        <v>63</v>
      </c>
      <c r="AD269" s="5">
        <f>P269/AC269</f>
        <v>0.30158730158730157</v>
      </c>
      <c r="AE269" s="5">
        <f>(N269+O269)/AC269</f>
        <v>0.14285714285714285</v>
      </c>
      <c r="AF269" s="4">
        <f>100-((AD269-AE269)*100)</f>
        <v>84.126984126984127</v>
      </c>
      <c r="AG269" s="3">
        <f>(F269-D269)*1000</f>
        <v>148</v>
      </c>
      <c r="AH269" s="3">
        <f>(((AF269+AG269)/2)*(AC269/100)*AB269)/C269</f>
        <v>2.6114285714285717</v>
      </c>
    </row>
    <row r="270" spans="1:34" x14ac:dyDescent="0.35">
      <c r="A270" s="3" t="s">
        <v>129</v>
      </c>
      <c r="B270" s="3" t="s">
        <v>32</v>
      </c>
      <c r="C270" s="3">
        <v>25</v>
      </c>
      <c r="D270" s="3">
        <v>0.188</v>
      </c>
      <c r="E270" s="3">
        <v>0.23499999999999999</v>
      </c>
      <c r="F270" s="3">
        <v>0.25</v>
      </c>
      <c r="G270" s="3">
        <v>16</v>
      </c>
      <c r="H270" s="3">
        <v>3</v>
      </c>
      <c r="I270" s="3">
        <v>1</v>
      </c>
      <c r="J270" s="3">
        <v>0</v>
      </c>
      <c r="K270" s="3">
        <v>0</v>
      </c>
      <c r="L270" s="3">
        <v>0</v>
      </c>
      <c r="M270" s="3">
        <v>2</v>
      </c>
      <c r="N270" s="3">
        <v>0</v>
      </c>
      <c r="O270" s="3">
        <v>1</v>
      </c>
      <c r="P270" s="3">
        <v>7</v>
      </c>
      <c r="Q270" s="3">
        <v>1</v>
      </c>
      <c r="R270" s="3">
        <v>0</v>
      </c>
      <c r="S270" s="6">
        <f>AH270/10</f>
        <v>0.25847999999999999</v>
      </c>
      <c r="T270" s="3">
        <v>40</v>
      </c>
      <c r="U270" s="4">
        <f>(S270*2)+T270</f>
        <v>40.516959999999997</v>
      </c>
      <c r="V270" s="4">
        <f>S270+T270</f>
        <v>40.258479999999999</v>
      </c>
      <c r="W270" s="3"/>
      <c r="X270" s="3"/>
      <c r="Y270" s="3"/>
      <c r="Z270" s="3"/>
      <c r="AA270" s="3"/>
      <c r="AB270" s="3">
        <f>_xlfn.IFS(B270="c", 8, B270="ss", 10, B270="cf", 8,  B270="2b", 8, B270="3b", 6, B270="rf", 4, B270="lf", 2, B270="1b", 2, B270 ="dh", 1)</f>
        <v>6</v>
      </c>
      <c r="AC270" s="3">
        <f>(G270+N270+O270)</f>
        <v>17</v>
      </c>
      <c r="AD270" s="5">
        <f>P270/AC270</f>
        <v>0.41176470588235292</v>
      </c>
      <c r="AE270" s="5">
        <f>(N270+O270)/AC270</f>
        <v>5.8823529411764705E-2</v>
      </c>
      <c r="AF270" s="4">
        <f>100-((AD270-AE270)*100)</f>
        <v>64.705882352941188</v>
      </c>
      <c r="AG270" s="3">
        <f>(F270-D270)*1000</f>
        <v>62</v>
      </c>
      <c r="AH270" s="3">
        <f>(((AF270+AG270)/2)*(AC270/100)*AB270)/C270</f>
        <v>2.5848</v>
      </c>
    </row>
    <row r="271" spans="1:34" x14ac:dyDescent="0.35">
      <c r="A271" s="3" t="s">
        <v>363</v>
      </c>
      <c r="B271" s="3" t="s">
        <v>20</v>
      </c>
      <c r="C271" s="3">
        <v>35</v>
      </c>
      <c r="D271" s="3">
        <v>0.22500000000000001</v>
      </c>
      <c r="E271" s="3">
        <v>0.28799999999999998</v>
      </c>
      <c r="F271" s="3">
        <v>0.29399999999999998</v>
      </c>
      <c r="G271" s="3">
        <v>102</v>
      </c>
      <c r="H271" s="3">
        <v>23</v>
      </c>
      <c r="I271" s="3">
        <v>4</v>
      </c>
      <c r="J271" s="3">
        <v>0</v>
      </c>
      <c r="K271" s="3">
        <v>1</v>
      </c>
      <c r="L271" s="3">
        <v>9</v>
      </c>
      <c r="M271" s="3">
        <v>4</v>
      </c>
      <c r="N271" s="3">
        <v>0</v>
      </c>
      <c r="O271" s="3">
        <v>9</v>
      </c>
      <c r="P271" s="3">
        <v>18</v>
      </c>
      <c r="Q271" s="3">
        <v>0</v>
      </c>
      <c r="R271" s="3">
        <v>0</v>
      </c>
      <c r="S271" s="6">
        <f>AH271/10</f>
        <v>0.25512857142857143</v>
      </c>
      <c r="T271" s="3">
        <v>40</v>
      </c>
      <c r="U271" s="4">
        <f>(S271*2)+T271</f>
        <v>40.510257142857142</v>
      </c>
      <c r="V271" s="4">
        <f>S271+T271</f>
        <v>40.255128571428571</v>
      </c>
      <c r="W271" s="3"/>
      <c r="X271" s="3"/>
      <c r="Y271" s="3"/>
      <c r="Z271" s="3"/>
      <c r="AA271" s="3"/>
      <c r="AB271" s="3">
        <f>_xlfn.IFS(B271="c", 8, B271="ss", 10, B271="cf", 8,  B271="2b", 8, B271="3b", 6, B271="rf", 4, B271="lf", 2, B271="1b", 2, B271 ="dh", 1)</f>
        <v>1</v>
      </c>
      <c r="AC271" s="3">
        <f>(G271+N271+O271)</f>
        <v>111</v>
      </c>
      <c r="AD271" s="5">
        <f>P271/AC271</f>
        <v>0.16216216216216217</v>
      </c>
      <c r="AE271" s="5">
        <f>(N271+O271)/AC271</f>
        <v>8.1081081081081086E-2</v>
      </c>
      <c r="AF271" s="4">
        <f>100-((AD271-AE271)*100)</f>
        <v>91.891891891891888</v>
      </c>
      <c r="AG271" s="3">
        <f>(F271-D271)*1000</f>
        <v>68.999999999999972</v>
      </c>
      <c r="AH271" s="3">
        <f>(((AF271+AG271)/2)*(AC271/100)*AB271)/C271</f>
        <v>2.5512857142857142</v>
      </c>
    </row>
    <row r="272" spans="1:34" x14ac:dyDescent="0.35">
      <c r="A272" s="3" t="s">
        <v>277</v>
      </c>
      <c r="B272" s="3" t="s">
        <v>18</v>
      </c>
      <c r="C272" s="3">
        <v>29</v>
      </c>
      <c r="D272" s="3">
        <v>0.23100000000000001</v>
      </c>
      <c r="E272" s="3">
        <v>0.375</v>
      </c>
      <c r="F272" s="3">
        <v>0.23100000000000001</v>
      </c>
      <c r="G272" s="3">
        <v>13</v>
      </c>
      <c r="H272" s="3">
        <v>3</v>
      </c>
      <c r="I272" s="3">
        <v>0</v>
      </c>
      <c r="J272" s="3">
        <v>0</v>
      </c>
      <c r="K272" s="3">
        <v>0</v>
      </c>
      <c r="L272" s="3">
        <v>0</v>
      </c>
      <c r="M272" s="3">
        <v>1</v>
      </c>
      <c r="N272" s="3">
        <v>1</v>
      </c>
      <c r="O272" s="3">
        <v>2</v>
      </c>
      <c r="P272" s="3">
        <v>2</v>
      </c>
      <c r="Q272" s="3">
        <v>0</v>
      </c>
      <c r="R272" s="3">
        <v>0</v>
      </c>
      <c r="S272" s="6">
        <f>AH272/10</f>
        <v>0.23448275862068962</v>
      </c>
      <c r="T272" s="3">
        <v>40</v>
      </c>
      <c r="U272" s="4">
        <f>(S272*2)+T272</f>
        <v>40.468965517241379</v>
      </c>
      <c r="V272" s="4">
        <f>S272+T272</f>
        <v>40.234482758620686</v>
      </c>
      <c r="W272" s="3"/>
      <c r="X272" s="3"/>
      <c r="Y272" s="3"/>
      <c r="Z272" s="3"/>
      <c r="AA272" s="3"/>
      <c r="AB272" s="3">
        <f>_xlfn.IFS(B272="c", 8, B272="ss", 10, B272="cf", 8,  B272="2b", 8, B272="3b", 6, B272="rf", 4, B272="lf", 2, B272="1b", 2, B272 ="dh", 1)</f>
        <v>8</v>
      </c>
      <c r="AC272" s="3">
        <f>(G272+N272+O272)</f>
        <v>16</v>
      </c>
      <c r="AD272" s="5">
        <f>P272/AC272</f>
        <v>0.125</v>
      </c>
      <c r="AE272" s="5">
        <f>(N272+O272)/AC272</f>
        <v>0.1875</v>
      </c>
      <c r="AF272" s="4">
        <f>100-((AD272-AE272)*100)</f>
        <v>106.25</v>
      </c>
      <c r="AG272" s="3">
        <f>(F272-D272)*1000</f>
        <v>0</v>
      </c>
      <c r="AH272" s="3">
        <f>(((AF272+AG272)/2)*(AC272/100)*AB272)/C272</f>
        <v>2.3448275862068964</v>
      </c>
    </row>
    <row r="273" spans="1:34" x14ac:dyDescent="0.35">
      <c r="A273" s="3" t="s">
        <v>232</v>
      </c>
      <c r="B273" s="3" t="s">
        <v>30</v>
      </c>
      <c r="C273" s="3">
        <v>28</v>
      </c>
      <c r="D273" s="3">
        <v>0.14299999999999999</v>
      </c>
      <c r="E273" s="3">
        <v>0.29399999999999998</v>
      </c>
      <c r="F273" s="3">
        <v>0.14299999999999999</v>
      </c>
      <c r="G273" s="3">
        <v>14</v>
      </c>
      <c r="H273" s="3">
        <v>2</v>
      </c>
      <c r="I273" s="3">
        <v>0</v>
      </c>
      <c r="J273" s="3">
        <v>0</v>
      </c>
      <c r="K273" s="3">
        <v>0</v>
      </c>
      <c r="L273" s="3">
        <v>0</v>
      </c>
      <c r="M273" s="3">
        <v>1</v>
      </c>
      <c r="N273" s="3">
        <v>1</v>
      </c>
      <c r="O273" s="3">
        <v>2</v>
      </c>
      <c r="P273" s="3">
        <v>4</v>
      </c>
      <c r="Q273" s="3">
        <v>1</v>
      </c>
      <c r="R273" s="3">
        <v>0</v>
      </c>
      <c r="S273" s="6">
        <f>AH273/10</f>
        <v>0.22857142857142859</v>
      </c>
      <c r="T273" s="3">
        <v>40</v>
      </c>
      <c r="U273" s="4">
        <f>(S273*2)+T273</f>
        <v>40.457142857142856</v>
      </c>
      <c r="V273" s="4">
        <f>S273+T273</f>
        <v>40.228571428571428</v>
      </c>
      <c r="W273" s="3"/>
      <c r="X273" s="3"/>
      <c r="Y273" s="3"/>
      <c r="Z273" s="3"/>
      <c r="AA273" s="3"/>
      <c r="AB273" s="3">
        <f>_xlfn.IFS(B273="c", 8, B273="ss", 10, B273="cf", 8,  B273="2b", 8, B273="3b", 6, B273="rf", 4, B273="lf", 2, B273="1b", 2, B273 ="dh", 1)</f>
        <v>8</v>
      </c>
      <c r="AC273" s="3">
        <f>(G273+N273+O273)</f>
        <v>17</v>
      </c>
      <c r="AD273" s="5">
        <f>P273/AC273</f>
        <v>0.23529411764705882</v>
      </c>
      <c r="AE273" s="5">
        <f>(N273+O273)/AC273</f>
        <v>0.17647058823529413</v>
      </c>
      <c r="AF273" s="4">
        <f>100-((AD273-AE273)*100)</f>
        <v>94.117647058823536</v>
      </c>
      <c r="AG273" s="3">
        <f>(F273-D273)*1000</f>
        <v>0</v>
      </c>
      <c r="AH273" s="3">
        <f>(((AF273+AG273)/2)*(AC273/100)*AB273)/C273</f>
        <v>2.285714285714286</v>
      </c>
    </row>
    <row r="274" spans="1:34" x14ac:dyDescent="0.35">
      <c r="A274" s="3" t="s">
        <v>201</v>
      </c>
      <c r="B274" s="3" t="s">
        <v>47</v>
      </c>
      <c r="C274" s="3">
        <v>27</v>
      </c>
      <c r="D274" s="3">
        <v>0.129</v>
      </c>
      <c r="E274" s="3">
        <v>0.17299999999999999</v>
      </c>
      <c r="F274" s="3">
        <v>0.14299999999999999</v>
      </c>
      <c r="G274" s="3">
        <v>70</v>
      </c>
      <c r="H274" s="3">
        <v>9</v>
      </c>
      <c r="I274" s="3">
        <v>1</v>
      </c>
      <c r="J274" s="3">
        <v>0</v>
      </c>
      <c r="K274" s="3">
        <v>0</v>
      </c>
      <c r="L274" s="3">
        <v>2</v>
      </c>
      <c r="M274" s="3">
        <v>9</v>
      </c>
      <c r="N274" s="3">
        <v>2</v>
      </c>
      <c r="O274" s="3">
        <v>2</v>
      </c>
      <c r="P274" s="3">
        <v>27</v>
      </c>
      <c r="Q274" s="3">
        <v>0</v>
      </c>
      <c r="R274" s="3">
        <v>0</v>
      </c>
      <c r="S274" s="6">
        <f>AH274/10</f>
        <v>0.22725925925925922</v>
      </c>
      <c r="T274" s="3">
        <v>40</v>
      </c>
      <c r="U274" s="4">
        <f>(S274*2)+T274</f>
        <v>40.454518518518519</v>
      </c>
      <c r="V274" s="4">
        <f>S274+T274</f>
        <v>40.227259259259256</v>
      </c>
      <c r="W274" s="3"/>
      <c r="X274" s="3"/>
      <c r="Y274" s="3"/>
      <c r="Z274" s="3"/>
      <c r="AA274" s="3"/>
      <c r="AB274" s="3">
        <f>_xlfn.IFS(B274="c", 8, B274="ss", 10, B274="cf", 8,  B274="2b", 8, B274="3b", 6, B274="rf", 4, B274="lf", 2, B274="1b", 2, B274 ="dh", 1)</f>
        <v>2</v>
      </c>
      <c r="AC274" s="3">
        <f>(G274+N274+O274)</f>
        <v>74</v>
      </c>
      <c r="AD274" s="5">
        <f>P274/AC274</f>
        <v>0.36486486486486486</v>
      </c>
      <c r="AE274" s="5">
        <f>(N274+O274)/AC274</f>
        <v>5.4054054054054057E-2</v>
      </c>
      <c r="AF274" s="4">
        <f>100-((AD274-AE274)*100)</f>
        <v>68.918918918918919</v>
      </c>
      <c r="AG274" s="3">
        <f>(F274-D274)*1000</f>
        <v>13.999999999999984</v>
      </c>
      <c r="AH274" s="3">
        <f>(((AF274+AG274)/2)*(AC274/100)*AB274)/C274</f>
        <v>2.2725925925925923</v>
      </c>
    </row>
    <row r="275" spans="1:34" x14ac:dyDescent="0.35">
      <c r="A275" s="3" t="s">
        <v>124</v>
      </c>
      <c r="B275" s="3" t="s">
        <v>59</v>
      </c>
      <c r="C275" s="3">
        <v>25</v>
      </c>
      <c r="D275" s="3">
        <v>0.23499999999999999</v>
      </c>
      <c r="E275" s="3">
        <v>0.316</v>
      </c>
      <c r="F275" s="3">
        <v>0.23499999999999999</v>
      </c>
      <c r="G275" s="3">
        <v>17</v>
      </c>
      <c r="H275" s="3">
        <v>4</v>
      </c>
      <c r="I275" s="3">
        <v>0</v>
      </c>
      <c r="J275" s="3">
        <v>0</v>
      </c>
      <c r="K275" s="3">
        <v>0</v>
      </c>
      <c r="L275" s="3">
        <v>4</v>
      </c>
      <c r="M275" s="3">
        <v>0</v>
      </c>
      <c r="N275" s="3">
        <v>0</v>
      </c>
      <c r="O275" s="3">
        <v>2</v>
      </c>
      <c r="P275" s="3">
        <v>7</v>
      </c>
      <c r="Q275" s="3">
        <v>0</v>
      </c>
      <c r="R275" s="3">
        <v>0</v>
      </c>
      <c r="S275" s="6">
        <f>AH275/10</f>
        <v>0.22400000000000003</v>
      </c>
      <c r="T275" s="3">
        <v>40</v>
      </c>
      <c r="U275" s="4">
        <f>(S275*2)+T275</f>
        <v>40.448</v>
      </c>
      <c r="V275" s="4">
        <f>S275+T275</f>
        <v>40.223999999999997</v>
      </c>
      <c r="W275" s="3"/>
      <c r="X275" s="3"/>
      <c r="Y275" s="3"/>
      <c r="Z275" s="3"/>
      <c r="AA275" s="3"/>
      <c r="AB275" s="3">
        <f>_xlfn.IFS(B275="c", 8, B275="ss", 10, B275="cf", 8,  B275="2b", 8, B275="3b", 6, B275="rf", 4, B275="lf", 2, B275="1b", 2, B275 ="dh", 1)</f>
        <v>8</v>
      </c>
      <c r="AC275" s="3">
        <f>(G275+N275+O275)</f>
        <v>19</v>
      </c>
      <c r="AD275" s="5">
        <f>P275/AC275</f>
        <v>0.36842105263157893</v>
      </c>
      <c r="AE275" s="5">
        <f>(N275+O275)/AC275</f>
        <v>0.10526315789473684</v>
      </c>
      <c r="AF275" s="4">
        <f>100-((AD275-AE275)*100)</f>
        <v>73.684210526315795</v>
      </c>
      <c r="AG275" s="3">
        <f>(F275-D275)*1000</f>
        <v>0</v>
      </c>
      <c r="AH275" s="3">
        <f>(((AF275+AG275)/2)*(AC275/100)*AB275)/C275</f>
        <v>2.2400000000000002</v>
      </c>
    </row>
    <row r="276" spans="1:34" x14ac:dyDescent="0.35">
      <c r="A276" s="3" t="s">
        <v>183</v>
      </c>
      <c r="B276" s="3" t="s">
        <v>47</v>
      </c>
      <c r="C276" s="3">
        <v>27</v>
      </c>
      <c r="D276" s="3">
        <v>0.22</v>
      </c>
      <c r="E276" s="3">
        <v>0.246</v>
      </c>
      <c r="F276" s="3">
        <v>0.23699999999999999</v>
      </c>
      <c r="G276" s="3">
        <v>59</v>
      </c>
      <c r="H276" s="3">
        <v>13</v>
      </c>
      <c r="I276" s="3">
        <v>1</v>
      </c>
      <c r="J276" s="3">
        <v>0</v>
      </c>
      <c r="K276" s="3">
        <v>0</v>
      </c>
      <c r="L276" s="3">
        <v>2</v>
      </c>
      <c r="M276" s="3">
        <v>4</v>
      </c>
      <c r="N276" s="3">
        <v>0</v>
      </c>
      <c r="O276" s="3">
        <v>2</v>
      </c>
      <c r="P276" s="3">
        <v>13</v>
      </c>
      <c r="Q276" s="3">
        <v>0</v>
      </c>
      <c r="R276" s="3">
        <v>1</v>
      </c>
      <c r="S276" s="6">
        <f>AH276/10</f>
        <v>0.22359259259259257</v>
      </c>
      <c r="T276" s="3">
        <v>40</v>
      </c>
      <c r="U276" s="4">
        <f>(S276*2)+T276</f>
        <v>40.447185185185184</v>
      </c>
      <c r="V276" s="4">
        <f>S276+T276</f>
        <v>40.223592592592595</v>
      </c>
      <c r="W276" s="3"/>
      <c r="X276" s="3"/>
      <c r="Y276" s="3"/>
      <c r="Z276" s="3"/>
      <c r="AA276" s="3"/>
      <c r="AB276" s="3">
        <f>_xlfn.IFS(B276="c", 8, B276="ss", 10, B276="cf", 8,  B276="2b", 8, B276="3b", 6, B276="rf", 4, B276="lf", 2, B276="1b", 2, B276 ="dh", 1)</f>
        <v>2</v>
      </c>
      <c r="AC276" s="3">
        <f>(G276+N276+O276)</f>
        <v>61</v>
      </c>
      <c r="AD276" s="5">
        <f>P276/AC276</f>
        <v>0.21311475409836064</v>
      </c>
      <c r="AE276" s="5">
        <f>(N276+O276)/AC276</f>
        <v>3.2786885245901641E-2</v>
      </c>
      <c r="AF276" s="4">
        <f>100-((AD276-AE276)*100)</f>
        <v>81.967213114754102</v>
      </c>
      <c r="AG276" s="3">
        <f>(F276-D276)*1000</f>
        <v>16.999999999999986</v>
      </c>
      <c r="AH276" s="3">
        <f>(((AF276+AG276)/2)*(AC276/100)*AB276)/C276</f>
        <v>2.2359259259259257</v>
      </c>
    </row>
    <row r="277" spans="1:34" x14ac:dyDescent="0.35">
      <c r="A277" s="3" t="s">
        <v>296</v>
      </c>
      <c r="B277" s="3" t="s">
        <v>22</v>
      </c>
      <c r="C277" s="3">
        <v>30</v>
      </c>
      <c r="D277" s="3">
        <v>0.2</v>
      </c>
      <c r="E277" s="3">
        <v>0.23799999999999999</v>
      </c>
      <c r="F277" s="3">
        <v>0.25</v>
      </c>
      <c r="G277" s="3">
        <v>20</v>
      </c>
      <c r="H277" s="3">
        <v>4</v>
      </c>
      <c r="I277" s="3">
        <v>1</v>
      </c>
      <c r="J277" s="3">
        <v>0</v>
      </c>
      <c r="K277" s="3">
        <v>0</v>
      </c>
      <c r="L277" s="3">
        <v>4</v>
      </c>
      <c r="M277" s="3">
        <v>1</v>
      </c>
      <c r="N277" s="3">
        <v>0</v>
      </c>
      <c r="O277" s="3">
        <v>1</v>
      </c>
      <c r="P277" s="3">
        <v>1</v>
      </c>
      <c r="Q277" s="3">
        <v>0</v>
      </c>
      <c r="R277" s="3">
        <v>0</v>
      </c>
      <c r="S277" s="6">
        <f>AH277/10</f>
        <v>0.21000000000000002</v>
      </c>
      <c r="T277" s="3">
        <v>40</v>
      </c>
      <c r="U277" s="4">
        <f>(S277*2)+T277</f>
        <v>40.42</v>
      </c>
      <c r="V277" s="4">
        <f>S277+T277</f>
        <v>40.21</v>
      </c>
      <c r="W277" s="3"/>
      <c r="X277" s="3"/>
      <c r="Y277" s="3"/>
      <c r="Z277" s="3"/>
      <c r="AA277" s="3"/>
      <c r="AB277" s="3">
        <f>_xlfn.IFS(B277="c", 8, B277="ss", 10, B277="cf", 8,  B277="2b", 8, B277="3b", 6, B277="rf", 4, B277="lf", 2, B277="1b", 2, B277 ="dh", 1)</f>
        <v>4</v>
      </c>
      <c r="AC277" s="3">
        <f>(G277+N277+O277)</f>
        <v>21</v>
      </c>
      <c r="AD277" s="5">
        <f>P277/AC277</f>
        <v>4.7619047619047616E-2</v>
      </c>
      <c r="AE277" s="5">
        <f>(N277+O277)/AC277</f>
        <v>4.7619047619047616E-2</v>
      </c>
      <c r="AF277" s="4">
        <f>100-((AD277-AE277)*100)</f>
        <v>100</v>
      </c>
      <c r="AG277" s="3">
        <f>(F277-D277)*1000</f>
        <v>49.999999999999986</v>
      </c>
      <c r="AH277" s="3">
        <f>(((AF277+AG277)/2)*(AC277/100)*AB277)/C277</f>
        <v>2.1</v>
      </c>
    </row>
    <row r="278" spans="1:34" x14ac:dyDescent="0.35">
      <c r="A278" s="3" t="s">
        <v>154</v>
      </c>
      <c r="B278" s="3" t="s">
        <v>47</v>
      </c>
      <c r="C278" s="3">
        <v>26</v>
      </c>
      <c r="D278" s="3">
        <v>0.19</v>
      </c>
      <c r="E278" s="3">
        <v>0.26100000000000001</v>
      </c>
      <c r="F278" s="3">
        <v>0.33300000000000002</v>
      </c>
      <c r="G278" s="3">
        <v>21</v>
      </c>
      <c r="H278" s="3">
        <v>4</v>
      </c>
      <c r="I278" s="3">
        <v>0</v>
      </c>
      <c r="J278" s="3">
        <v>0</v>
      </c>
      <c r="K278" s="3">
        <v>1</v>
      </c>
      <c r="L278" s="3">
        <v>2</v>
      </c>
      <c r="M278" s="3">
        <v>2</v>
      </c>
      <c r="N278" s="3">
        <v>0</v>
      </c>
      <c r="O278" s="3">
        <v>2</v>
      </c>
      <c r="P278" s="3">
        <v>8</v>
      </c>
      <c r="Q278" s="3">
        <v>4</v>
      </c>
      <c r="R278" s="3">
        <v>0</v>
      </c>
      <c r="S278" s="6">
        <f>AH278/10</f>
        <v>0.1918846153846154</v>
      </c>
      <c r="T278" s="3">
        <v>40</v>
      </c>
      <c r="U278" s="4">
        <f>(S278*2)+T278</f>
        <v>40.383769230769232</v>
      </c>
      <c r="V278" s="4">
        <f>S278+T278</f>
        <v>40.191884615384616</v>
      </c>
      <c r="W278" s="3"/>
      <c r="X278" s="3"/>
      <c r="Y278" s="3"/>
      <c r="Z278" s="3"/>
      <c r="AA278" s="3"/>
      <c r="AB278" s="3">
        <f>_xlfn.IFS(B278="c", 8, B278="ss", 10, B278="cf", 8,  B278="2b", 8, B278="3b", 6, B278="rf", 4, B278="lf", 2, B278="1b", 2, B278 ="dh", 1)</f>
        <v>2</v>
      </c>
      <c r="AC278" s="3">
        <f>(G278+N278+O278)</f>
        <v>23</v>
      </c>
      <c r="AD278" s="5">
        <f>P278/AC278</f>
        <v>0.34782608695652173</v>
      </c>
      <c r="AE278" s="5">
        <f>(N278+O278)/AC278</f>
        <v>8.6956521739130432E-2</v>
      </c>
      <c r="AF278" s="4">
        <f>100-((AD278-AE278)*100)</f>
        <v>73.913043478260875</v>
      </c>
      <c r="AG278" s="3">
        <f>(F278-D278)*1000</f>
        <v>143.00000000000003</v>
      </c>
      <c r="AH278" s="3">
        <f>(((AF278+AG278)/2)*(AC278/100)*AB278)/C278</f>
        <v>1.9188461538461541</v>
      </c>
    </row>
    <row r="279" spans="1:34" x14ac:dyDescent="0.35">
      <c r="A279" s="3" t="s">
        <v>329</v>
      </c>
      <c r="B279" s="3" t="s">
        <v>59</v>
      </c>
      <c r="C279" s="3">
        <v>32</v>
      </c>
      <c r="D279" s="3">
        <v>0.16700000000000001</v>
      </c>
      <c r="E279" s="3">
        <v>0.16700000000000001</v>
      </c>
      <c r="F279" s="3">
        <v>0.33300000000000002</v>
      </c>
      <c r="G279" s="3">
        <v>6</v>
      </c>
      <c r="H279" s="3">
        <v>1</v>
      </c>
      <c r="I279" s="3">
        <v>1</v>
      </c>
      <c r="J279" s="3">
        <v>0</v>
      </c>
      <c r="K279" s="3">
        <v>0</v>
      </c>
      <c r="L279" s="3">
        <v>2</v>
      </c>
      <c r="M279" s="3">
        <v>1</v>
      </c>
      <c r="N279" s="3">
        <v>0</v>
      </c>
      <c r="O279" s="3">
        <v>0</v>
      </c>
      <c r="P279" s="3">
        <v>2</v>
      </c>
      <c r="Q279" s="3">
        <v>3</v>
      </c>
      <c r="R279" s="3">
        <v>2</v>
      </c>
      <c r="S279" s="6">
        <f>AH279/10</f>
        <v>0.17450000000000002</v>
      </c>
      <c r="T279" s="3">
        <v>40</v>
      </c>
      <c r="U279" s="4">
        <f>(S279*2)+T279</f>
        <v>40.348999999999997</v>
      </c>
      <c r="V279" s="4">
        <f>S279+T279</f>
        <v>40.174500000000002</v>
      </c>
      <c r="W279" s="3"/>
      <c r="X279" s="3"/>
      <c r="Y279" s="3"/>
      <c r="Z279" s="3"/>
      <c r="AA279" s="3"/>
      <c r="AB279" s="3">
        <f>_xlfn.IFS(B279="c", 8, B279="ss", 10, B279="cf", 8,  B279="2b", 8, B279="3b", 6, B279="rf", 4, B279="lf", 2, B279="1b", 2, B279 ="dh", 1)</f>
        <v>8</v>
      </c>
      <c r="AC279" s="3">
        <f>(G279+N279+O279)</f>
        <v>6</v>
      </c>
      <c r="AD279" s="5">
        <f>P279/AC279</f>
        <v>0.33333333333333331</v>
      </c>
      <c r="AE279" s="5">
        <f>(N279+O279)/AC279</f>
        <v>0</v>
      </c>
      <c r="AF279" s="4">
        <f>100-((AD279-AE279)*100)</f>
        <v>66.666666666666671</v>
      </c>
      <c r="AG279" s="3">
        <f>(F279-D279)*1000</f>
        <v>166</v>
      </c>
      <c r="AH279" s="3">
        <f>(((AF279+AG279)/2)*(AC279/100)*AB279)/C279</f>
        <v>1.7450000000000001</v>
      </c>
    </row>
    <row r="280" spans="1:34" x14ac:dyDescent="0.35">
      <c r="A280" s="3" t="s">
        <v>37</v>
      </c>
      <c r="B280" s="3" t="s">
        <v>22</v>
      </c>
      <c r="C280" s="3">
        <v>22</v>
      </c>
      <c r="D280" s="3">
        <v>0.14299999999999999</v>
      </c>
      <c r="E280" s="3">
        <v>0.33300000000000002</v>
      </c>
      <c r="F280" s="3">
        <v>0.28599999999999998</v>
      </c>
      <c r="G280" s="3">
        <v>7</v>
      </c>
      <c r="H280" s="3">
        <v>1</v>
      </c>
      <c r="I280" s="3">
        <v>1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2</v>
      </c>
      <c r="P280" s="3">
        <v>5</v>
      </c>
      <c r="Q280" s="3">
        <v>0</v>
      </c>
      <c r="R280" s="3">
        <v>0</v>
      </c>
      <c r="S280" s="6">
        <f>AH280/10</f>
        <v>0.1715454545454545</v>
      </c>
      <c r="T280" s="3">
        <v>50</v>
      </c>
      <c r="U280" s="4">
        <f>(S280*2)+T280</f>
        <v>50.343090909090911</v>
      </c>
      <c r="V280" s="4">
        <f>S280+T280</f>
        <v>50.171545454545452</v>
      </c>
      <c r="W280" s="3"/>
      <c r="X280" s="3"/>
      <c r="Y280" s="3"/>
      <c r="Z280" s="3"/>
      <c r="AA280" s="3"/>
      <c r="AB280" s="3">
        <f>_xlfn.IFS(B280="c", 8, B280="ss", 10, B280="cf", 8,  B280="2b", 8, B280="3b", 6, B280="rf", 4, B280="lf", 2, B280="1b", 2, B280 ="dh", 1)</f>
        <v>4</v>
      </c>
      <c r="AC280" s="3">
        <f>(G280+N280+O280)</f>
        <v>9</v>
      </c>
      <c r="AD280" s="5">
        <f>P280/AC280</f>
        <v>0.55555555555555558</v>
      </c>
      <c r="AE280" s="5">
        <f>(N280+O280)/AC280</f>
        <v>0.22222222222222221</v>
      </c>
      <c r="AF280" s="4">
        <f>100-((AD280-AE280)*100)</f>
        <v>66.666666666666657</v>
      </c>
      <c r="AG280" s="3">
        <f>(F280-D280)*1000</f>
        <v>143</v>
      </c>
      <c r="AH280" s="3">
        <f>(((AF280+AG280)/2)*(AC280/100)*AB280)/C280</f>
        <v>1.7154545454545451</v>
      </c>
    </row>
    <row r="281" spans="1:34" x14ac:dyDescent="0.35">
      <c r="A281" s="3" t="s">
        <v>127</v>
      </c>
      <c r="B281" s="3" t="s">
        <v>22</v>
      </c>
      <c r="C281" s="3">
        <v>25</v>
      </c>
      <c r="D281" s="3">
        <v>0.125</v>
      </c>
      <c r="E281" s="3">
        <v>0.2</v>
      </c>
      <c r="F281" s="3">
        <v>0.25</v>
      </c>
      <c r="G281" s="3">
        <v>8</v>
      </c>
      <c r="H281" s="3">
        <v>1</v>
      </c>
      <c r="I281" s="3">
        <v>1</v>
      </c>
      <c r="J281" s="3">
        <v>0</v>
      </c>
      <c r="K281" s="3">
        <v>0</v>
      </c>
      <c r="L281" s="3">
        <v>2</v>
      </c>
      <c r="M281" s="3">
        <v>2</v>
      </c>
      <c r="N281" s="3">
        <v>0</v>
      </c>
      <c r="O281" s="3">
        <v>1</v>
      </c>
      <c r="P281" s="3">
        <v>0</v>
      </c>
      <c r="Q281" s="3">
        <v>0</v>
      </c>
      <c r="R281" s="3">
        <v>0</v>
      </c>
      <c r="S281" s="6">
        <f>AH281/10</f>
        <v>0.16999999999999998</v>
      </c>
      <c r="T281" s="3">
        <v>40</v>
      </c>
      <c r="U281" s="4">
        <f>(S281*2)+T281</f>
        <v>40.340000000000003</v>
      </c>
      <c r="V281" s="4">
        <f>S281+T281</f>
        <v>40.17</v>
      </c>
      <c r="W281" s="3"/>
      <c r="X281" s="3"/>
      <c r="Y281" s="3"/>
      <c r="Z281" s="3"/>
      <c r="AA281" s="3"/>
      <c r="AB281" s="3">
        <f>_xlfn.IFS(B281="c", 8, B281="ss", 10, B281="cf", 8,  B281="2b", 8, B281="3b", 6, B281="rf", 4, B281="lf", 2, B281="1b", 2, B281 ="dh", 1)</f>
        <v>4</v>
      </c>
      <c r="AC281" s="3">
        <f>(G281+N281+O281)</f>
        <v>9</v>
      </c>
      <c r="AD281" s="5">
        <f>P281/AC281</f>
        <v>0</v>
      </c>
      <c r="AE281" s="5">
        <f>(N281+O281)/AC281</f>
        <v>0.1111111111111111</v>
      </c>
      <c r="AF281" s="4">
        <f>100-((AD281-AE281)*100)</f>
        <v>111.11111111111111</v>
      </c>
      <c r="AG281" s="3">
        <f>(F281-D281)*1000</f>
        <v>125</v>
      </c>
      <c r="AH281" s="3">
        <f>(((AF281+AG281)/2)*(AC281/100)*AB281)/C281</f>
        <v>1.7</v>
      </c>
    </row>
    <row r="282" spans="1:34" x14ac:dyDescent="0.35">
      <c r="A282" s="3" t="s">
        <v>217</v>
      </c>
      <c r="B282" s="3" t="s">
        <v>47</v>
      </c>
      <c r="C282" s="3">
        <v>28</v>
      </c>
      <c r="D282" s="3">
        <v>0.191</v>
      </c>
      <c r="E282" s="3">
        <v>0.24</v>
      </c>
      <c r="F282" s="3">
        <v>0.21299999999999999</v>
      </c>
      <c r="G282" s="3">
        <v>47</v>
      </c>
      <c r="H282" s="3">
        <v>9</v>
      </c>
      <c r="I282" s="3">
        <v>1</v>
      </c>
      <c r="J282" s="3">
        <v>0</v>
      </c>
      <c r="K282" s="3">
        <v>0</v>
      </c>
      <c r="L282" s="3">
        <v>1</v>
      </c>
      <c r="M282" s="3">
        <v>0</v>
      </c>
      <c r="N282" s="3">
        <v>0</v>
      </c>
      <c r="O282" s="3">
        <v>3</v>
      </c>
      <c r="P282" s="3">
        <v>18</v>
      </c>
      <c r="Q282" s="3">
        <v>1</v>
      </c>
      <c r="R282" s="3">
        <v>0</v>
      </c>
      <c r="S282" s="6">
        <f>AH282/10</f>
        <v>0.16428571428571428</v>
      </c>
      <c r="T282" s="3">
        <v>40</v>
      </c>
      <c r="U282" s="4">
        <f>(S282*2)+T282</f>
        <v>40.328571428571429</v>
      </c>
      <c r="V282" s="4">
        <f>S282+T282</f>
        <v>40.164285714285711</v>
      </c>
      <c r="W282" s="3"/>
      <c r="X282" s="3"/>
      <c r="Y282" s="3"/>
      <c r="Z282" s="3"/>
      <c r="AA282" s="3"/>
      <c r="AB282" s="3">
        <f>_xlfn.IFS(B282="c", 8, B282="ss", 10, B282="cf", 8,  B282="2b", 8, B282="3b", 6, B282="rf", 4, B282="lf", 2, B282="1b", 2, B282 ="dh", 1)</f>
        <v>2</v>
      </c>
      <c r="AC282" s="3">
        <f>(G282+N282+O282)</f>
        <v>50</v>
      </c>
      <c r="AD282" s="5">
        <f>P282/AC282</f>
        <v>0.36</v>
      </c>
      <c r="AE282" s="5">
        <f>(N282+O282)/AC282</f>
        <v>0.06</v>
      </c>
      <c r="AF282" s="4">
        <f>100-((AD282-AE282)*100)</f>
        <v>70</v>
      </c>
      <c r="AG282" s="3">
        <f>(F282-D282)*1000</f>
        <v>21.999999999999993</v>
      </c>
      <c r="AH282" s="3">
        <f>(((AF282+AG282)/2)*(AC282/100)*AB282)/C282</f>
        <v>1.6428571428571428</v>
      </c>
    </row>
    <row r="283" spans="1:34" x14ac:dyDescent="0.35">
      <c r="A283" s="3" t="s">
        <v>118</v>
      </c>
      <c r="B283" s="3" t="s">
        <v>25</v>
      </c>
      <c r="C283" s="3">
        <v>25</v>
      </c>
      <c r="D283" s="3">
        <v>0.222</v>
      </c>
      <c r="E283" s="3">
        <v>0.3</v>
      </c>
      <c r="F283" s="3">
        <v>0.222</v>
      </c>
      <c r="G283" s="3">
        <v>9</v>
      </c>
      <c r="H283" s="3">
        <v>2</v>
      </c>
      <c r="I283" s="3">
        <v>0</v>
      </c>
      <c r="J283" s="3">
        <v>0</v>
      </c>
      <c r="K283" s="3">
        <v>0</v>
      </c>
      <c r="L283" s="3">
        <v>1</v>
      </c>
      <c r="M283" s="3">
        <v>0</v>
      </c>
      <c r="N283" s="3">
        <v>0</v>
      </c>
      <c r="O283" s="3">
        <v>1</v>
      </c>
      <c r="P283" s="3">
        <v>3</v>
      </c>
      <c r="Q283" s="3">
        <v>0</v>
      </c>
      <c r="R283" s="3">
        <v>0</v>
      </c>
      <c r="S283" s="6">
        <f>AH283/10</f>
        <v>0.16</v>
      </c>
      <c r="T283" s="3">
        <v>50</v>
      </c>
      <c r="U283" s="4">
        <f>(S283*2)+T283</f>
        <v>50.32</v>
      </c>
      <c r="V283" s="4">
        <f>S283+T283</f>
        <v>50.16</v>
      </c>
      <c r="W283" s="3"/>
      <c r="X283" s="3"/>
      <c r="Y283" s="3"/>
      <c r="Z283" s="3"/>
      <c r="AA283" s="3"/>
      <c r="AB283" s="3">
        <f>_xlfn.IFS(B283="c", 8, B283="ss", 10, B283="cf", 8,  B283="2b", 8, B283="3b", 6, B283="rf", 4, B283="lf", 2, B283="1b", 2, B283 ="dh", 1)</f>
        <v>10</v>
      </c>
      <c r="AC283" s="3">
        <f>(G283+N283+O283)</f>
        <v>10</v>
      </c>
      <c r="AD283" s="5">
        <f>P283/AC283</f>
        <v>0.3</v>
      </c>
      <c r="AE283" s="5">
        <f>(N283+O283)/AC283</f>
        <v>0.1</v>
      </c>
      <c r="AF283" s="4">
        <f>100-((AD283-AE283)*100)</f>
        <v>80</v>
      </c>
      <c r="AG283" s="3">
        <f>(F283-D283)*1000</f>
        <v>0</v>
      </c>
      <c r="AH283" s="3">
        <f>(((AF283+AG283)/2)*(AC283/100)*AB283)/C283</f>
        <v>1.6</v>
      </c>
    </row>
    <row r="284" spans="1:34" x14ac:dyDescent="0.35">
      <c r="A284" s="3" t="s">
        <v>349</v>
      </c>
      <c r="B284" s="3" t="s">
        <v>18</v>
      </c>
      <c r="C284" s="3">
        <v>34</v>
      </c>
      <c r="D284" s="3">
        <v>0.23100000000000001</v>
      </c>
      <c r="E284" s="3">
        <v>0.33300000000000002</v>
      </c>
      <c r="F284" s="3">
        <v>0.23100000000000001</v>
      </c>
      <c r="G284" s="3">
        <v>13</v>
      </c>
      <c r="H284" s="3">
        <v>3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1</v>
      </c>
      <c r="O284" s="3">
        <v>1</v>
      </c>
      <c r="P284" s="3">
        <v>4</v>
      </c>
      <c r="Q284" s="3">
        <v>0</v>
      </c>
      <c r="R284" s="3">
        <v>0</v>
      </c>
      <c r="S284" s="6">
        <f>AH284/10</f>
        <v>0.15294117647058822</v>
      </c>
      <c r="T284" s="3">
        <v>40</v>
      </c>
      <c r="U284" s="4">
        <f>(S284*2)+T284</f>
        <v>40.305882352941175</v>
      </c>
      <c r="V284" s="4">
        <f>S284+T284</f>
        <v>40.152941176470591</v>
      </c>
      <c r="W284" s="3"/>
      <c r="X284" s="3"/>
      <c r="Y284" s="3"/>
      <c r="Z284" s="3"/>
      <c r="AA284" s="3"/>
      <c r="AB284" s="3">
        <f>_xlfn.IFS(B284="c", 8, B284="ss", 10, B284="cf", 8,  B284="2b", 8, B284="3b", 6, B284="rf", 4, B284="lf", 2, B284="1b", 2, B284 ="dh", 1)</f>
        <v>8</v>
      </c>
      <c r="AC284" s="3">
        <f>(G284+N284+O284)</f>
        <v>15</v>
      </c>
      <c r="AD284" s="5">
        <f>P284/AC284</f>
        <v>0.26666666666666666</v>
      </c>
      <c r="AE284" s="5">
        <f>(N284+O284)/AC284</f>
        <v>0.13333333333333333</v>
      </c>
      <c r="AF284" s="4">
        <f>100-((AD284-AE284)*100)</f>
        <v>86.666666666666671</v>
      </c>
      <c r="AG284" s="3">
        <f>(F284-D284)*1000</f>
        <v>0</v>
      </c>
      <c r="AH284" s="3">
        <f>(((AF284+AG284)/2)*(AC284/100)*AB284)/C284</f>
        <v>1.5294117647058822</v>
      </c>
    </row>
    <row r="285" spans="1:34" x14ac:dyDescent="0.35">
      <c r="A285" s="3" t="s">
        <v>255</v>
      </c>
      <c r="B285" s="3" t="s">
        <v>20</v>
      </c>
      <c r="C285" s="3">
        <v>29</v>
      </c>
      <c r="D285" s="3">
        <v>0.14599999999999999</v>
      </c>
      <c r="E285" s="3">
        <v>0.186</v>
      </c>
      <c r="F285" s="3">
        <v>0.26800000000000002</v>
      </c>
      <c r="G285" s="3">
        <v>41</v>
      </c>
      <c r="H285" s="3">
        <v>6</v>
      </c>
      <c r="I285" s="3">
        <v>2</v>
      </c>
      <c r="J285" s="3">
        <v>0</v>
      </c>
      <c r="K285" s="3">
        <v>1</v>
      </c>
      <c r="L285" s="3">
        <v>5</v>
      </c>
      <c r="M285" s="3">
        <v>2</v>
      </c>
      <c r="N285" s="3">
        <v>0</v>
      </c>
      <c r="O285" s="3">
        <v>2</v>
      </c>
      <c r="P285" s="3">
        <v>13</v>
      </c>
      <c r="Q285" s="3">
        <v>0</v>
      </c>
      <c r="R285" s="3">
        <v>0</v>
      </c>
      <c r="S285" s="6">
        <f>AH285/10</f>
        <v>0.14562068965517244</v>
      </c>
      <c r="T285" s="3">
        <v>40</v>
      </c>
      <c r="U285" s="4">
        <f>(S285*2)+T285</f>
        <v>40.291241379310343</v>
      </c>
      <c r="V285" s="4">
        <f>S285+T285</f>
        <v>40.145620689655175</v>
      </c>
      <c r="W285" s="3"/>
      <c r="X285" s="3"/>
      <c r="Y285" s="3"/>
      <c r="Z285" s="3"/>
      <c r="AA285" s="3"/>
      <c r="AB285" s="3">
        <f>_xlfn.IFS(B285="c", 8, B285="ss", 10, B285="cf", 8,  B285="2b", 8, B285="3b", 6, B285="rf", 4, B285="lf", 2, B285="1b", 2, B285 ="dh", 1)</f>
        <v>1</v>
      </c>
      <c r="AC285" s="3">
        <f>(G285+N285+O285)</f>
        <v>43</v>
      </c>
      <c r="AD285" s="5">
        <f>P285/AC285</f>
        <v>0.30232558139534882</v>
      </c>
      <c r="AE285" s="5">
        <f>(N285+O285)/AC285</f>
        <v>4.6511627906976744E-2</v>
      </c>
      <c r="AF285" s="4">
        <f>100-((AD285-AE285)*100)</f>
        <v>74.418604651162781</v>
      </c>
      <c r="AG285" s="3">
        <f>(F285-D285)*1000</f>
        <v>122.00000000000003</v>
      </c>
      <c r="AH285" s="3">
        <f>(((AF285+AG285)/2)*(AC285/100)*AB285)/C285</f>
        <v>1.4562068965517243</v>
      </c>
    </row>
    <row r="286" spans="1:34" x14ac:dyDescent="0.35">
      <c r="A286" s="3" t="s">
        <v>80</v>
      </c>
      <c r="B286" s="3" t="s">
        <v>28</v>
      </c>
      <c r="C286" s="3">
        <v>24</v>
      </c>
      <c r="D286" s="3">
        <v>0.2</v>
      </c>
      <c r="E286" s="3">
        <v>0.29399999999999998</v>
      </c>
      <c r="F286" s="3">
        <v>0.33300000000000002</v>
      </c>
      <c r="G286" s="3">
        <v>15</v>
      </c>
      <c r="H286" s="3">
        <v>3</v>
      </c>
      <c r="I286" s="3">
        <v>2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2</v>
      </c>
      <c r="P286" s="3">
        <v>7</v>
      </c>
      <c r="Q286" s="3">
        <v>0</v>
      </c>
      <c r="R286" s="3">
        <v>0</v>
      </c>
      <c r="S286" s="6">
        <f>AH286/10</f>
        <v>0.14420833333333336</v>
      </c>
      <c r="T286" s="3">
        <v>40</v>
      </c>
      <c r="U286" s="4">
        <f>(S286*2)+T286</f>
        <v>40.28841666666667</v>
      </c>
      <c r="V286" s="4">
        <f>S286+T286</f>
        <v>40.144208333333331</v>
      </c>
      <c r="W286" s="3"/>
      <c r="X286" s="3"/>
      <c r="Y286" s="3"/>
      <c r="Z286" s="3"/>
      <c r="AA286" s="3"/>
      <c r="AB286" s="3">
        <f>_xlfn.IFS(B286="c", 8, B286="ss", 10, B286="cf", 8,  B286="2b", 8, B286="3b", 6, B286="rf", 4, B286="lf", 2, B286="1b", 2, B286 ="dh", 1)</f>
        <v>2</v>
      </c>
      <c r="AC286" s="3">
        <f>(G286+N286+O286)</f>
        <v>17</v>
      </c>
      <c r="AD286" s="5">
        <f>P286/AC286</f>
        <v>0.41176470588235292</v>
      </c>
      <c r="AE286" s="5">
        <f>(N286+O286)/AC286</f>
        <v>0.11764705882352941</v>
      </c>
      <c r="AF286" s="4">
        <f>100-((AD286-AE286)*100)</f>
        <v>70.588235294117652</v>
      </c>
      <c r="AG286" s="3">
        <f>(F286-D286)*1000</f>
        <v>133</v>
      </c>
      <c r="AH286" s="3">
        <f>(((AF286+AG286)/2)*(AC286/100)*AB286)/C286</f>
        <v>1.4420833333333336</v>
      </c>
    </row>
    <row r="287" spans="1:34" x14ac:dyDescent="0.35">
      <c r="A287" s="3" t="s">
        <v>19</v>
      </c>
      <c r="B287" s="3" t="s">
        <v>20</v>
      </c>
      <c r="C287" s="3">
        <v>20</v>
      </c>
      <c r="D287" s="3">
        <v>0.107</v>
      </c>
      <c r="E287" s="3">
        <v>0.29699999999999999</v>
      </c>
      <c r="F287" s="3">
        <v>0.17899999999999999</v>
      </c>
      <c r="G287" s="3">
        <v>28</v>
      </c>
      <c r="H287" s="3">
        <v>3</v>
      </c>
      <c r="I287" s="3">
        <v>2</v>
      </c>
      <c r="J287" s="3">
        <v>0</v>
      </c>
      <c r="K287" s="3">
        <v>0</v>
      </c>
      <c r="L287" s="3">
        <v>1</v>
      </c>
      <c r="M287" s="3">
        <v>4</v>
      </c>
      <c r="N287" s="3">
        <v>1</v>
      </c>
      <c r="O287" s="3">
        <v>7</v>
      </c>
      <c r="P287" s="3">
        <v>13</v>
      </c>
      <c r="Q287" s="3">
        <v>0</v>
      </c>
      <c r="R287" s="3">
        <v>0</v>
      </c>
      <c r="S287" s="6">
        <f>AH287/10</f>
        <v>0.14230000000000001</v>
      </c>
      <c r="T287" s="3">
        <v>50</v>
      </c>
      <c r="U287" s="4">
        <f>(S287*2)+T287</f>
        <v>50.284599999999998</v>
      </c>
      <c r="V287" s="4">
        <f>S287+T287</f>
        <v>50.142299999999999</v>
      </c>
      <c r="W287" s="3"/>
      <c r="X287" s="3"/>
      <c r="Y287" s="3"/>
      <c r="Z287" s="3"/>
      <c r="AA287" s="3"/>
      <c r="AB287" s="3">
        <f>_xlfn.IFS(B287="c", 8, B287="ss", 10, B287="cf", 8,  B287="2b", 8, B287="3b", 6, B287="rf", 4, B287="lf", 2, B287="1b", 2, B287 ="dh", 1)</f>
        <v>1</v>
      </c>
      <c r="AC287" s="3">
        <f>(G287+N287+O287)</f>
        <v>36</v>
      </c>
      <c r="AD287" s="5">
        <f>P287/AC287</f>
        <v>0.3611111111111111</v>
      </c>
      <c r="AE287" s="5">
        <f>(N287+O287)/AC287</f>
        <v>0.22222222222222221</v>
      </c>
      <c r="AF287" s="4">
        <f>100-((AD287-AE287)*100)</f>
        <v>86.111111111111114</v>
      </c>
      <c r="AG287" s="3">
        <f>(F287-D287)*1000</f>
        <v>72</v>
      </c>
      <c r="AH287" s="3">
        <f>(((AF287+AG287)/2)*(AC287/100)*AB287)/C287</f>
        <v>1.423</v>
      </c>
    </row>
    <row r="288" spans="1:34" x14ac:dyDescent="0.35">
      <c r="A288" s="3" t="s">
        <v>288</v>
      </c>
      <c r="B288" s="3" t="s">
        <v>32</v>
      </c>
      <c r="C288" s="3">
        <v>30</v>
      </c>
      <c r="D288" s="3">
        <v>0.15</v>
      </c>
      <c r="E288" s="3">
        <v>0.19</v>
      </c>
      <c r="F288" s="3">
        <v>0.15</v>
      </c>
      <c r="G288" s="3">
        <v>20</v>
      </c>
      <c r="H288" s="3">
        <v>3</v>
      </c>
      <c r="I288" s="3">
        <v>0</v>
      </c>
      <c r="J288" s="3">
        <v>0</v>
      </c>
      <c r="K288" s="3">
        <v>0</v>
      </c>
      <c r="L288" s="3">
        <v>2</v>
      </c>
      <c r="M288" s="3">
        <v>0</v>
      </c>
      <c r="N288" s="3">
        <v>0</v>
      </c>
      <c r="O288" s="3">
        <v>1</v>
      </c>
      <c r="P288" s="3">
        <v>8</v>
      </c>
      <c r="Q288" s="3">
        <v>0</v>
      </c>
      <c r="R288" s="3">
        <v>0</v>
      </c>
      <c r="S288" s="6">
        <f>AH288/10</f>
        <v>0.13999999999999999</v>
      </c>
      <c r="T288" s="3">
        <v>40</v>
      </c>
      <c r="U288" s="4">
        <f>(S288*2)+T288</f>
        <v>40.28</v>
      </c>
      <c r="V288" s="4">
        <f>S288+T288</f>
        <v>40.14</v>
      </c>
      <c r="W288" s="3"/>
      <c r="X288" s="3"/>
      <c r="Y288" s="3"/>
      <c r="Z288" s="3"/>
      <c r="AA288" s="3"/>
      <c r="AB288" s="3">
        <f>_xlfn.IFS(B288="c", 8, B288="ss", 10, B288="cf", 8,  B288="2b", 8, B288="3b", 6, B288="rf", 4, B288="lf", 2, B288="1b", 2, B288 ="dh", 1)</f>
        <v>6</v>
      </c>
      <c r="AC288" s="3">
        <f>(G288+N288+O288)</f>
        <v>21</v>
      </c>
      <c r="AD288" s="5">
        <f>P288/AC288</f>
        <v>0.38095238095238093</v>
      </c>
      <c r="AE288" s="5">
        <f>(N288+O288)/AC288</f>
        <v>4.7619047619047616E-2</v>
      </c>
      <c r="AF288" s="4">
        <f>100-((AD288-AE288)*100)</f>
        <v>66.666666666666671</v>
      </c>
      <c r="AG288" s="3">
        <f>(F288-D288)*1000</f>
        <v>0</v>
      </c>
      <c r="AH288" s="3">
        <f>(((AF288+AG288)/2)*(AC288/100)*AB288)/C288</f>
        <v>1.4</v>
      </c>
    </row>
    <row r="289" spans="1:34" x14ac:dyDescent="0.35">
      <c r="A289" s="3" t="s">
        <v>58</v>
      </c>
      <c r="B289" s="3" t="s">
        <v>59</v>
      </c>
      <c r="C289" s="3">
        <v>23</v>
      </c>
      <c r="D289" s="3">
        <v>0.33300000000000002</v>
      </c>
      <c r="E289" s="3">
        <v>0.5</v>
      </c>
      <c r="F289" s="3">
        <v>0.33300000000000002</v>
      </c>
      <c r="G289" s="3">
        <v>6</v>
      </c>
      <c r="H289" s="3">
        <v>2</v>
      </c>
      <c r="I289" s="3">
        <v>0</v>
      </c>
      <c r="J289" s="3">
        <v>0</v>
      </c>
      <c r="K289" s="3">
        <v>0</v>
      </c>
      <c r="L289" s="3">
        <v>5</v>
      </c>
      <c r="M289" s="3">
        <v>0</v>
      </c>
      <c r="N289" s="3">
        <v>0</v>
      </c>
      <c r="O289" s="3">
        <v>2</v>
      </c>
      <c r="P289" s="3">
        <v>2</v>
      </c>
      <c r="Q289" s="3">
        <v>0</v>
      </c>
      <c r="R289" s="3">
        <v>0</v>
      </c>
      <c r="S289" s="6">
        <f>AH289/10</f>
        <v>0.1391304347826087</v>
      </c>
      <c r="T289" s="3">
        <v>40</v>
      </c>
      <c r="U289" s="4">
        <f>(S289*2)+T289</f>
        <v>40.278260869565216</v>
      </c>
      <c r="V289" s="4">
        <f>S289+T289</f>
        <v>40.139130434782608</v>
      </c>
      <c r="W289" s="3"/>
      <c r="X289" s="3"/>
      <c r="Y289" s="3"/>
      <c r="Z289" s="3"/>
      <c r="AA289" s="3"/>
      <c r="AB289" s="3">
        <f>_xlfn.IFS(B289="c", 8, B289="ss", 10, B289="cf", 8,  B289="2b", 8, B289="3b", 6, B289="rf", 4, B289="lf", 2, B289="1b", 2, B289 ="dh", 1)</f>
        <v>8</v>
      </c>
      <c r="AC289" s="3">
        <f>(G289+N289+O289)</f>
        <v>8</v>
      </c>
      <c r="AD289" s="5">
        <f>P289/AC289</f>
        <v>0.25</v>
      </c>
      <c r="AE289" s="5">
        <f>(N289+O289)/AC289</f>
        <v>0.25</v>
      </c>
      <c r="AF289" s="4">
        <f>100-((AD289-AE289)*100)</f>
        <v>100</v>
      </c>
      <c r="AG289" s="3">
        <f>(F289-D289)*1000</f>
        <v>0</v>
      </c>
      <c r="AH289" s="3">
        <f>(((AF289+AG289)/2)*(AC289/100)*AB289)/C289</f>
        <v>1.3913043478260869</v>
      </c>
    </row>
    <row r="290" spans="1:34" x14ac:dyDescent="0.35">
      <c r="A290" s="3" t="s">
        <v>77</v>
      </c>
      <c r="B290" s="3" t="s">
        <v>28</v>
      </c>
      <c r="C290" s="3">
        <v>24</v>
      </c>
      <c r="D290" s="3">
        <v>0.25</v>
      </c>
      <c r="E290" s="3">
        <v>0.53800000000000003</v>
      </c>
      <c r="F290" s="3">
        <v>0.375</v>
      </c>
      <c r="G290" s="3">
        <v>8</v>
      </c>
      <c r="H290" s="3">
        <v>2</v>
      </c>
      <c r="I290" s="3">
        <v>1</v>
      </c>
      <c r="J290" s="3">
        <v>0</v>
      </c>
      <c r="K290" s="3">
        <v>0</v>
      </c>
      <c r="L290" s="3">
        <v>1</v>
      </c>
      <c r="M290" s="3">
        <v>1</v>
      </c>
      <c r="N290" s="3">
        <v>0</v>
      </c>
      <c r="O290" s="3">
        <v>5</v>
      </c>
      <c r="P290" s="3">
        <v>1</v>
      </c>
      <c r="Q290" s="3">
        <v>0</v>
      </c>
      <c r="R290" s="3">
        <v>1</v>
      </c>
      <c r="S290" s="6">
        <f>AH290/10</f>
        <v>0.13854166666666667</v>
      </c>
      <c r="T290" s="3">
        <v>40</v>
      </c>
      <c r="U290" s="4">
        <f>(S290*2)+T290</f>
        <v>40.27708333333333</v>
      </c>
      <c r="V290" s="4">
        <f>S290+T290</f>
        <v>40.138541666666669</v>
      </c>
      <c r="W290" s="3"/>
      <c r="X290" s="3"/>
      <c r="Y290" s="3"/>
      <c r="Z290" s="3"/>
      <c r="AA290" s="3"/>
      <c r="AB290" s="3">
        <f>_xlfn.IFS(B290="c", 8, B290="ss", 10, B290="cf", 8,  B290="2b", 8, B290="3b", 6, B290="rf", 4, B290="lf", 2, B290="1b", 2, B290 ="dh", 1)</f>
        <v>2</v>
      </c>
      <c r="AC290" s="3">
        <f>(G290+N290+O290)</f>
        <v>13</v>
      </c>
      <c r="AD290" s="5">
        <f>P290/AC290</f>
        <v>7.6923076923076927E-2</v>
      </c>
      <c r="AE290" s="5">
        <f>(N290+O290)/AC290</f>
        <v>0.38461538461538464</v>
      </c>
      <c r="AF290" s="4">
        <f>100-((AD290-AE290)*100)</f>
        <v>130.76923076923077</v>
      </c>
      <c r="AG290" s="3">
        <f>(F290-D290)*1000</f>
        <v>125</v>
      </c>
      <c r="AH290" s="3">
        <f>(((AF290+AG290)/2)*(AC290/100)*AB290)/C290</f>
        <v>1.3854166666666667</v>
      </c>
    </row>
    <row r="291" spans="1:34" x14ac:dyDescent="0.35">
      <c r="A291" s="3" t="s">
        <v>248</v>
      </c>
      <c r="B291" s="3" t="s">
        <v>28</v>
      </c>
      <c r="C291" s="3">
        <v>28</v>
      </c>
      <c r="D291" s="3">
        <v>0.2</v>
      </c>
      <c r="E291" s="3">
        <v>0.36</v>
      </c>
      <c r="F291" s="3">
        <v>0.25</v>
      </c>
      <c r="G291" s="3">
        <v>20</v>
      </c>
      <c r="H291" s="3">
        <v>4</v>
      </c>
      <c r="I291" s="3">
        <v>1</v>
      </c>
      <c r="J291" s="3">
        <v>0</v>
      </c>
      <c r="K291" s="3">
        <v>0</v>
      </c>
      <c r="L291" s="3">
        <v>4</v>
      </c>
      <c r="M291" s="3">
        <v>1</v>
      </c>
      <c r="N291" s="3">
        <v>1</v>
      </c>
      <c r="O291" s="3">
        <v>4</v>
      </c>
      <c r="P291" s="3">
        <v>5</v>
      </c>
      <c r="Q291" s="3">
        <v>0</v>
      </c>
      <c r="R291" s="3">
        <v>0</v>
      </c>
      <c r="S291" s="6">
        <f>AH291/10</f>
        <v>0.13392857142857142</v>
      </c>
      <c r="T291" s="3">
        <v>40</v>
      </c>
      <c r="U291" s="4">
        <f>(S291*2)+T291</f>
        <v>40.267857142857146</v>
      </c>
      <c r="V291" s="4">
        <f>S291+T291</f>
        <v>40.133928571428569</v>
      </c>
      <c r="W291" s="3"/>
      <c r="X291" s="3"/>
      <c r="Y291" s="3"/>
      <c r="Z291" s="3"/>
      <c r="AA291" s="3"/>
      <c r="AB291" s="3">
        <f>_xlfn.IFS(B291="c", 8, B291="ss", 10, B291="cf", 8,  B291="2b", 8, B291="3b", 6, B291="rf", 4, B291="lf", 2, B291="1b", 2, B291 ="dh", 1)</f>
        <v>2</v>
      </c>
      <c r="AC291" s="3">
        <f>(G291+N291+O291)</f>
        <v>25</v>
      </c>
      <c r="AD291" s="5">
        <f>P291/AC291</f>
        <v>0.2</v>
      </c>
      <c r="AE291" s="5">
        <f>(N291+O291)/AC291</f>
        <v>0.2</v>
      </c>
      <c r="AF291" s="4">
        <f>100-((AD291-AE291)*100)</f>
        <v>100</v>
      </c>
      <c r="AG291" s="3">
        <f>(F291-D291)*1000</f>
        <v>49.999999999999986</v>
      </c>
      <c r="AH291" s="3">
        <f>(((AF291+AG291)/2)*(AC291/100)*AB291)/C291</f>
        <v>1.3392857142857142</v>
      </c>
    </row>
    <row r="292" spans="1:34" x14ac:dyDescent="0.35">
      <c r="A292" s="3" t="s">
        <v>211</v>
      </c>
      <c r="B292" s="3" t="s">
        <v>20</v>
      </c>
      <c r="C292" s="3">
        <v>28</v>
      </c>
      <c r="D292" s="3">
        <v>0.23499999999999999</v>
      </c>
      <c r="E292" s="3">
        <v>0.36599999999999999</v>
      </c>
      <c r="F292" s="3">
        <v>0.32400000000000001</v>
      </c>
      <c r="G292" s="3">
        <v>34</v>
      </c>
      <c r="H292" s="3">
        <v>8</v>
      </c>
      <c r="I292" s="3">
        <v>3</v>
      </c>
      <c r="J292" s="3">
        <v>0</v>
      </c>
      <c r="K292" s="3">
        <v>0</v>
      </c>
      <c r="L292" s="3">
        <v>3</v>
      </c>
      <c r="M292" s="3">
        <v>2</v>
      </c>
      <c r="N292" s="3">
        <v>0</v>
      </c>
      <c r="O292" s="3">
        <v>7</v>
      </c>
      <c r="P292" s="3">
        <v>10</v>
      </c>
      <c r="Q292" s="3">
        <v>0</v>
      </c>
      <c r="R292" s="3">
        <v>0</v>
      </c>
      <c r="S292" s="6">
        <f>AH292/10</f>
        <v>0.13301785714285716</v>
      </c>
      <c r="T292" s="3">
        <v>40</v>
      </c>
      <c r="U292" s="4">
        <f>(S292*2)+T292</f>
        <v>40.266035714285714</v>
      </c>
      <c r="V292" s="4">
        <f>S292+T292</f>
        <v>40.13301785714286</v>
      </c>
      <c r="W292" s="3"/>
      <c r="X292" s="3"/>
      <c r="Y292" s="3"/>
      <c r="Z292" s="3"/>
      <c r="AA292" s="3"/>
      <c r="AB292" s="3">
        <f>_xlfn.IFS(B292="c", 8, B292="ss", 10, B292="cf", 8,  B292="2b", 8, B292="3b", 6, B292="rf", 4, B292="lf", 2, B292="1b", 2, B292 ="dh", 1)</f>
        <v>1</v>
      </c>
      <c r="AC292" s="3">
        <f>(G292+N292+O292)</f>
        <v>41</v>
      </c>
      <c r="AD292" s="5">
        <f>P292/AC292</f>
        <v>0.24390243902439024</v>
      </c>
      <c r="AE292" s="5">
        <f>(N292+O292)/AC292</f>
        <v>0.17073170731707318</v>
      </c>
      <c r="AF292" s="4">
        <f>100-((AD292-AE292)*100)</f>
        <v>92.682926829268297</v>
      </c>
      <c r="AG292" s="3">
        <f>(F292-D292)*1000</f>
        <v>89.000000000000028</v>
      </c>
      <c r="AH292" s="3">
        <f>(((AF292+AG292)/2)*(AC292/100)*AB292)/C292</f>
        <v>1.3301785714285717</v>
      </c>
    </row>
    <row r="293" spans="1:34" x14ac:dyDescent="0.35">
      <c r="A293" s="3" t="s">
        <v>275</v>
      </c>
      <c r="B293" s="3" t="s">
        <v>18</v>
      </c>
      <c r="C293" s="3">
        <v>29</v>
      </c>
      <c r="D293" s="3">
        <v>0.14299999999999999</v>
      </c>
      <c r="E293" s="3">
        <v>0.33300000000000002</v>
      </c>
      <c r="F293" s="3">
        <v>0.14299999999999999</v>
      </c>
      <c r="G293" s="3">
        <v>7</v>
      </c>
      <c r="H293" s="3">
        <v>1</v>
      </c>
      <c r="I293" s="3">
        <v>0</v>
      </c>
      <c r="J293" s="3">
        <v>0</v>
      </c>
      <c r="K293" s="3">
        <v>0</v>
      </c>
      <c r="L293" s="3">
        <v>2</v>
      </c>
      <c r="M293" s="3">
        <v>1</v>
      </c>
      <c r="N293" s="3">
        <v>1</v>
      </c>
      <c r="O293" s="3">
        <v>1</v>
      </c>
      <c r="P293" s="3">
        <v>2</v>
      </c>
      <c r="Q293" s="3">
        <v>0</v>
      </c>
      <c r="R293" s="3">
        <v>0</v>
      </c>
      <c r="S293" s="6">
        <f>AH293/10</f>
        <v>0.12413793103448276</v>
      </c>
      <c r="T293" s="3">
        <v>40</v>
      </c>
      <c r="U293" s="4">
        <f>(S293*2)+T293</f>
        <v>40.248275862068965</v>
      </c>
      <c r="V293" s="4">
        <f>S293+T293</f>
        <v>40.124137931034483</v>
      </c>
      <c r="W293" s="3"/>
      <c r="X293" s="3"/>
      <c r="Y293" s="3"/>
      <c r="Z293" s="3"/>
      <c r="AA293" s="3"/>
      <c r="AB293" s="3">
        <f>_xlfn.IFS(B293="c", 8, B293="ss", 10, B293="cf", 8,  B293="2b", 8, B293="3b", 6, B293="rf", 4, B293="lf", 2, B293="1b", 2, B293 ="dh", 1)</f>
        <v>8</v>
      </c>
      <c r="AC293" s="3">
        <f>(G293+N293+O293)</f>
        <v>9</v>
      </c>
      <c r="AD293" s="5">
        <f>P293/AC293</f>
        <v>0.22222222222222221</v>
      </c>
      <c r="AE293" s="5">
        <f>(N293+O293)/AC293</f>
        <v>0.22222222222222221</v>
      </c>
      <c r="AF293" s="4">
        <f>100-((AD293-AE293)*100)</f>
        <v>100</v>
      </c>
      <c r="AG293" s="3">
        <f>(F293-D293)*1000</f>
        <v>0</v>
      </c>
      <c r="AH293" s="3">
        <f>(((AF293+AG293)/2)*(AC293/100)*AB293)/C293</f>
        <v>1.2413793103448276</v>
      </c>
    </row>
    <row r="294" spans="1:34" x14ac:dyDescent="0.35">
      <c r="A294" s="3" t="s">
        <v>343</v>
      </c>
      <c r="B294" s="3" t="s">
        <v>18</v>
      </c>
      <c r="C294" s="3">
        <v>33</v>
      </c>
      <c r="D294" s="3">
        <v>0.28599999999999998</v>
      </c>
      <c r="E294" s="3">
        <v>0.4</v>
      </c>
      <c r="F294" s="3">
        <v>0.28599999999999998</v>
      </c>
      <c r="G294" s="3">
        <v>7</v>
      </c>
      <c r="H294" s="3">
        <v>2</v>
      </c>
      <c r="I294" s="3">
        <v>0</v>
      </c>
      <c r="J294" s="3">
        <v>0</v>
      </c>
      <c r="K294" s="3">
        <v>0</v>
      </c>
      <c r="L294" s="3">
        <v>1</v>
      </c>
      <c r="M294" s="3">
        <v>3</v>
      </c>
      <c r="N294" s="3">
        <v>0</v>
      </c>
      <c r="O294" s="3">
        <v>2</v>
      </c>
      <c r="P294" s="3">
        <v>1</v>
      </c>
      <c r="Q294" s="3">
        <v>0</v>
      </c>
      <c r="R294" s="3">
        <v>0</v>
      </c>
      <c r="S294" s="6">
        <f>AH294/10</f>
        <v>0.12121212121212122</v>
      </c>
      <c r="T294" s="3">
        <v>40</v>
      </c>
      <c r="U294" s="4">
        <f>(S294*2)+T294</f>
        <v>40.242424242424242</v>
      </c>
      <c r="V294" s="4">
        <f>S294+T294</f>
        <v>40.121212121212125</v>
      </c>
      <c r="W294" s="3"/>
      <c r="X294" s="3"/>
      <c r="Y294" s="3"/>
      <c r="Z294" s="3"/>
      <c r="AA294" s="3"/>
      <c r="AB294" s="3">
        <f>_xlfn.IFS(B294="c", 8, B294="ss", 10, B294="cf", 8,  B294="2b", 8, B294="3b", 6, B294="rf", 4, B294="lf", 2, B294="1b", 2, B294 ="dh", 1)</f>
        <v>8</v>
      </c>
      <c r="AC294" s="3">
        <f>(G294+N294+O294)</f>
        <v>9</v>
      </c>
      <c r="AD294" s="5">
        <f>P294/AC294</f>
        <v>0.1111111111111111</v>
      </c>
      <c r="AE294" s="5">
        <f>(N294+O294)/AC294</f>
        <v>0.22222222222222221</v>
      </c>
      <c r="AF294" s="4">
        <f>100-((AD294-AE294)*100)</f>
        <v>111.11111111111111</v>
      </c>
      <c r="AG294" s="3">
        <f>(F294-D294)*1000</f>
        <v>0</v>
      </c>
      <c r="AH294" s="3">
        <f>(((AF294+AG294)/2)*(AC294/100)*AB294)/C294</f>
        <v>1.2121212121212122</v>
      </c>
    </row>
    <row r="295" spans="1:34" x14ac:dyDescent="0.35">
      <c r="A295" s="3" t="s">
        <v>357</v>
      </c>
      <c r="B295" s="3" t="s">
        <v>25</v>
      </c>
      <c r="C295" s="3">
        <v>35</v>
      </c>
      <c r="D295" s="3">
        <v>0</v>
      </c>
      <c r="E295" s="3">
        <v>0.1</v>
      </c>
      <c r="F295" s="3">
        <v>0</v>
      </c>
      <c r="G295" s="3">
        <v>9</v>
      </c>
      <c r="H295" s="3">
        <v>0</v>
      </c>
      <c r="I295" s="3">
        <v>0</v>
      </c>
      <c r="J295" s="3">
        <v>0</v>
      </c>
      <c r="K295" s="3">
        <v>0</v>
      </c>
      <c r="L295" s="3">
        <v>1</v>
      </c>
      <c r="M295" s="3">
        <v>0</v>
      </c>
      <c r="N295" s="3">
        <v>0</v>
      </c>
      <c r="O295" s="3">
        <v>1</v>
      </c>
      <c r="P295" s="3">
        <v>3</v>
      </c>
      <c r="Q295" s="3">
        <v>1</v>
      </c>
      <c r="R295" s="3">
        <v>0</v>
      </c>
      <c r="S295" s="6">
        <f>AH295/10</f>
        <v>0.11428571428571428</v>
      </c>
      <c r="T295" s="3">
        <v>40</v>
      </c>
      <c r="U295" s="4">
        <f>(S295*2)+T295</f>
        <v>40.228571428571428</v>
      </c>
      <c r="V295" s="4">
        <f>S295+T295</f>
        <v>40.114285714285714</v>
      </c>
      <c r="W295" s="3"/>
      <c r="X295" s="3"/>
      <c r="Y295" s="3"/>
      <c r="Z295" s="3"/>
      <c r="AA295" s="3"/>
      <c r="AB295" s="3">
        <f>_xlfn.IFS(B295="c", 8, B295="ss", 10, B295="cf", 8,  B295="2b", 8, B295="3b", 6, B295="rf", 4, B295="lf", 2, B295="1b", 2, B295 ="dh", 1)</f>
        <v>10</v>
      </c>
      <c r="AC295" s="3">
        <f>(G295+N295+O295)</f>
        <v>10</v>
      </c>
      <c r="AD295" s="5">
        <f>P295/AC295</f>
        <v>0.3</v>
      </c>
      <c r="AE295" s="5">
        <f>(N295+O295)/AC295</f>
        <v>0.1</v>
      </c>
      <c r="AF295" s="4">
        <f>100-((AD295-AE295)*100)</f>
        <v>80</v>
      </c>
      <c r="AG295" s="3">
        <f>(F295-D295)*1000</f>
        <v>0</v>
      </c>
      <c r="AH295" s="3">
        <f>(((AF295+AG295)/2)*(AC295/100)*AB295)/C295</f>
        <v>1.1428571428571428</v>
      </c>
    </row>
    <row r="296" spans="1:34" x14ac:dyDescent="0.35">
      <c r="A296" s="3" t="s">
        <v>327</v>
      </c>
      <c r="B296" s="3" t="s">
        <v>59</v>
      </c>
      <c r="C296" s="3">
        <v>32</v>
      </c>
      <c r="D296" s="3">
        <v>0</v>
      </c>
      <c r="E296" s="3">
        <v>0</v>
      </c>
      <c r="F296" s="3">
        <v>0</v>
      </c>
      <c r="G296" s="3">
        <v>14</v>
      </c>
      <c r="H296" s="3">
        <v>0</v>
      </c>
      <c r="I296" s="3">
        <v>0</v>
      </c>
      <c r="J296" s="3">
        <v>0</v>
      </c>
      <c r="K296" s="3">
        <v>0</v>
      </c>
      <c r="L296" s="3">
        <v>1</v>
      </c>
      <c r="M296" s="3">
        <v>0</v>
      </c>
      <c r="N296" s="3">
        <v>0</v>
      </c>
      <c r="O296" s="3">
        <v>0</v>
      </c>
      <c r="P296" s="3">
        <v>5</v>
      </c>
      <c r="Q296" s="3">
        <v>0</v>
      </c>
      <c r="R296" s="3">
        <v>1</v>
      </c>
      <c r="S296" s="6">
        <f>AH296/10</f>
        <v>0.1125</v>
      </c>
      <c r="T296" s="3">
        <v>40</v>
      </c>
      <c r="U296" s="4">
        <f>(S296*2)+T296</f>
        <v>40.225000000000001</v>
      </c>
      <c r="V296" s="4">
        <f>S296+T296</f>
        <v>40.112499999999997</v>
      </c>
      <c r="W296" s="3"/>
      <c r="X296" s="3"/>
      <c r="Y296" s="3"/>
      <c r="Z296" s="3"/>
      <c r="AA296" s="3"/>
      <c r="AB296" s="3">
        <f>_xlfn.IFS(B296="c", 8, B296="ss", 10, B296="cf", 8,  B296="2b", 8, B296="3b", 6, B296="rf", 4, B296="lf", 2, B296="1b", 2, B296 ="dh", 1)</f>
        <v>8</v>
      </c>
      <c r="AC296" s="3">
        <f>(G296+N296+O296)</f>
        <v>14</v>
      </c>
      <c r="AD296" s="5">
        <f>P296/AC296</f>
        <v>0.35714285714285715</v>
      </c>
      <c r="AE296" s="5">
        <f>(N296+O296)/AC296</f>
        <v>0</v>
      </c>
      <c r="AF296" s="4">
        <f>100-((AD296-AE296)*100)</f>
        <v>64.285714285714278</v>
      </c>
      <c r="AG296" s="3">
        <f>(F296-D296)*1000</f>
        <v>0</v>
      </c>
      <c r="AH296" s="3">
        <f>(((AF296+AG296)/2)*(AC296/100)*AB296)/C296</f>
        <v>1.125</v>
      </c>
    </row>
    <row r="297" spans="1:34" x14ac:dyDescent="0.35">
      <c r="A297" s="3" t="s">
        <v>195</v>
      </c>
      <c r="B297" s="3" t="s">
        <v>22</v>
      </c>
      <c r="C297" s="3">
        <v>27</v>
      </c>
      <c r="D297" s="3">
        <v>0.17199999999999999</v>
      </c>
      <c r="E297" s="3">
        <v>0.2</v>
      </c>
      <c r="F297" s="3">
        <v>0.17199999999999999</v>
      </c>
      <c r="G297" s="3">
        <v>29</v>
      </c>
      <c r="H297" s="3">
        <v>5</v>
      </c>
      <c r="I297" s="3">
        <v>0</v>
      </c>
      <c r="J297" s="3">
        <v>0</v>
      </c>
      <c r="K297" s="3">
        <v>0</v>
      </c>
      <c r="L297" s="3">
        <v>0</v>
      </c>
      <c r="M297" s="3">
        <v>1</v>
      </c>
      <c r="N297" s="3">
        <v>0</v>
      </c>
      <c r="O297" s="3">
        <v>1</v>
      </c>
      <c r="P297" s="3">
        <v>16</v>
      </c>
      <c r="Q297" s="3">
        <v>0</v>
      </c>
      <c r="R297" s="3">
        <v>1</v>
      </c>
      <c r="S297" s="6">
        <f>AH297/10</f>
        <v>0.11111111111111112</v>
      </c>
      <c r="T297" s="3">
        <v>40</v>
      </c>
      <c r="U297" s="4">
        <f>(S297*2)+T297</f>
        <v>40.222222222222221</v>
      </c>
      <c r="V297" s="4">
        <f>S297+T297</f>
        <v>40.111111111111114</v>
      </c>
      <c r="W297" s="3"/>
      <c r="X297" s="3"/>
      <c r="Y297" s="3"/>
      <c r="Z297" s="3"/>
      <c r="AA297" s="3"/>
      <c r="AB297" s="3">
        <f>_xlfn.IFS(B297="c", 8, B297="ss", 10, B297="cf", 8,  B297="2b", 8, B297="3b", 6, B297="rf", 4, B297="lf", 2, B297="1b", 2, B297 ="dh", 1)</f>
        <v>4</v>
      </c>
      <c r="AC297" s="3">
        <f>(G297+N297+O297)</f>
        <v>30</v>
      </c>
      <c r="AD297" s="5">
        <f>P297/AC297</f>
        <v>0.53333333333333333</v>
      </c>
      <c r="AE297" s="5">
        <f>(N297+O297)/AC297</f>
        <v>3.3333333333333333E-2</v>
      </c>
      <c r="AF297" s="4">
        <f>100-((AD297-AE297)*100)</f>
        <v>50</v>
      </c>
      <c r="AG297" s="3">
        <f>(F297-D297)*1000</f>
        <v>0</v>
      </c>
      <c r="AH297" s="3">
        <f>(((AF297+AG297)/2)*(AC297/100)*AB297)/C297</f>
        <v>1.1111111111111112</v>
      </c>
    </row>
    <row r="298" spans="1:34" x14ac:dyDescent="0.35">
      <c r="A298" s="3" t="s">
        <v>174</v>
      </c>
      <c r="B298" s="3" t="s">
        <v>22</v>
      </c>
      <c r="C298" s="3">
        <v>27</v>
      </c>
      <c r="D298" s="3">
        <v>9.0999999999999998E-2</v>
      </c>
      <c r="E298" s="3">
        <v>0.23100000000000001</v>
      </c>
      <c r="F298" s="3">
        <v>9.0999999999999998E-2</v>
      </c>
      <c r="G298" s="3">
        <v>11</v>
      </c>
      <c r="H298" s="3">
        <v>1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1</v>
      </c>
      <c r="O298" s="3">
        <v>1</v>
      </c>
      <c r="P298" s="3">
        <v>1</v>
      </c>
      <c r="Q298" s="3">
        <v>0</v>
      </c>
      <c r="R298" s="3">
        <v>1</v>
      </c>
      <c r="S298" s="6">
        <f>AH298/10</f>
        <v>0.1037037037037037</v>
      </c>
      <c r="T298" s="3">
        <v>40</v>
      </c>
      <c r="U298" s="4">
        <f>(S298*2)+T298</f>
        <v>40.207407407407409</v>
      </c>
      <c r="V298" s="4">
        <f>S298+T298</f>
        <v>40.103703703703701</v>
      </c>
      <c r="W298" s="3"/>
      <c r="X298" s="3"/>
      <c r="Y298" s="3"/>
      <c r="Z298" s="3"/>
      <c r="AA298" s="3"/>
      <c r="AB298" s="3">
        <f>_xlfn.IFS(B298="c", 8, B298="ss", 10, B298="cf", 8,  B298="2b", 8, B298="3b", 6, B298="rf", 4, B298="lf", 2, B298="1b", 2, B298 ="dh", 1)</f>
        <v>4</v>
      </c>
      <c r="AC298" s="3">
        <f>(G298+N298+O298)</f>
        <v>13</v>
      </c>
      <c r="AD298" s="5">
        <f>P298/AC298</f>
        <v>7.6923076923076927E-2</v>
      </c>
      <c r="AE298" s="5">
        <f>(N298+O298)/AC298</f>
        <v>0.15384615384615385</v>
      </c>
      <c r="AF298" s="4">
        <f>100-((AD298-AE298)*100)</f>
        <v>107.69230769230769</v>
      </c>
      <c r="AG298" s="3">
        <f>(F298-D298)*1000</f>
        <v>0</v>
      </c>
      <c r="AH298" s="3">
        <f>(((AF298+AG298)/2)*(AC298/100)*AB298)/C298</f>
        <v>1.037037037037037</v>
      </c>
    </row>
    <row r="299" spans="1:34" x14ac:dyDescent="0.35">
      <c r="A299" s="3" t="s">
        <v>224</v>
      </c>
      <c r="B299" s="3" t="s">
        <v>28</v>
      </c>
      <c r="C299" s="3">
        <v>28</v>
      </c>
      <c r="D299" s="3">
        <v>0.222</v>
      </c>
      <c r="E299" s="3">
        <v>0.33300000000000002</v>
      </c>
      <c r="F299" s="3">
        <v>0.27800000000000002</v>
      </c>
      <c r="G299" s="3">
        <v>18</v>
      </c>
      <c r="H299" s="3">
        <v>4</v>
      </c>
      <c r="I299" s="3">
        <v>1</v>
      </c>
      <c r="J299" s="3">
        <v>0</v>
      </c>
      <c r="K299" s="3">
        <v>0</v>
      </c>
      <c r="L299" s="3">
        <v>3</v>
      </c>
      <c r="M299" s="3">
        <v>1</v>
      </c>
      <c r="N299" s="3">
        <v>3</v>
      </c>
      <c r="O299" s="3">
        <v>0</v>
      </c>
      <c r="P299" s="3">
        <v>7</v>
      </c>
      <c r="Q299" s="3">
        <v>0</v>
      </c>
      <c r="R299" s="3">
        <v>0</v>
      </c>
      <c r="S299" s="6">
        <f>AH299/10</f>
        <v>0.10271428571428572</v>
      </c>
      <c r="T299" s="3">
        <v>40</v>
      </c>
      <c r="U299" s="4">
        <f>(S299*2)+T299</f>
        <v>40.20542857142857</v>
      </c>
      <c r="V299" s="4">
        <f>S299+T299</f>
        <v>40.102714285714285</v>
      </c>
      <c r="W299" s="3"/>
      <c r="X299" s="3"/>
      <c r="Y299" s="3"/>
      <c r="Z299" s="3"/>
      <c r="AA299" s="3"/>
      <c r="AB299" s="3">
        <f>_xlfn.IFS(B299="c", 8, B299="ss", 10, B299="cf", 8,  B299="2b", 8, B299="3b", 6, B299="rf", 4, B299="lf", 2, B299="1b", 2, B299 ="dh", 1)</f>
        <v>2</v>
      </c>
      <c r="AC299" s="3">
        <f>(G299+N299+O299)</f>
        <v>21</v>
      </c>
      <c r="AD299" s="5">
        <f>P299/AC299</f>
        <v>0.33333333333333331</v>
      </c>
      <c r="AE299" s="5">
        <f>(N299+O299)/AC299</f>
        <v>0.14285714285714285</v>
      </c>
      <c r="AF299" s="4">
        <f>100-((AD299-AE299)*100)</f>
        <v>80.952380952380949</v>
      </c>
      <c r="AG299" s="3">
        <f>(F299-D299)*1000</f>
        <v>56.000000000000021</v>
      </c>
      <c r="AH299" s="3">
        <f>(((AF299+AG299)/2)*(AC299/100)*AB299)/C299</f>
        <v>1.0271428571428571</v>
      </c>
    </row>
    <row r="300" spans="1:34" x14ac:dyDescent="0.35">
      <c r="A300" s="3" t="s">
        <v>267</v>
      </c>
      <c r="B300" s="3" t="s">
        <v>47</v>
      </c>
      <c r="C300" s="3">
        <v>29</v>
      </c>
      <c r="D300" s="3">
        <v>0.25</v>
      </c>
      <c r="E300" s="3">
        <v>0.23100000000000001</v>
      </c>
      <c r="F300" s="3">
        <v>0.41699999999999998</v>
      </c>
      <c r="G300" s="3">
        <v>12</v>
      </c>
      <c r="H300" s="3">
        <v>3</v>
      </c>
      <c r="I300" s="3">
        <v>2</v>
      </c>
      <c r="J300" s="3">
        <v>0</v>
      </c>
      <c r="K300" s="3">
        <v>0</v>
      </c>
      <c r="L300" s="3">
        <v>2</v>
      </c>
      <c r="M300" s="3">
        <v>1</v>
      </c>
      <c r="N300" s="3">
        <v>0</v>
      </c>
      <c r="O300" s="3">
        <v>0</v>
      </c>
      <c r="P300" s="3">
        <v>3</v>
      </c>
      <c r="Q300" s="3">
        <v>0</v>
      </c>
      <c r="R300" s="3">
        <v>0</v>
      </c>
      <c r="S300" s="6">
        <f>AH300/10</f>
        <v>0.10013793103448274</v>
      </c>
      <c r="T300" s="3">
        <v>40</v>
      </c>
      <c r="U300" s="4">
        <f>(S300*2)+T300</f>
        <v>40.200275862068963</v>
      </c>
      <c r="V300" s="4">
        <f>S300+T300</f>
        <v>40.100137931034482</v>
      </c>
      <c r="W300" s="3"/>
      <c r="X300" s="3"/>
      <c r="Y300" s="3"/>
      <c r="Z300" s="3"/>
      <c r="AA300" s="3"/>
      <c r="AB300" s="3">
        <f>_xlfn.IFS(B300="c", 8, B300="ss", 10, B300="cf", 8,  B300="2b", 8, B300="3b", 6, B300="rf", 4, B300="lf", 2, B300="1b", 2, B300 ="dh", 1)</f>
        <v>2</v>
      </c>
      <c r="AC300" s="3">
        <f>(G300+N300+O300)</f>
        <v>12</v>
      </c>
      <c r="AD300" s="5">
        <f>P300/AC300</f>
        <v>0.25</v>
      </c>
      <c r="AE300" s="5">
        <f>(N300+O300)/AC300</f>
        <v>0</v>
      </c>
      <c r="AF300" s="4">
        <f>100-((AD300-AE300)*100)</f>
        <v>75</v>
      </c>
      <c r="AG300" s="3">
        <f>(F300-D300)*1000</f>
        <v>166.99999999999997</v>
      </c>
      <c r="AH300" s="3">
        <f>(((AF300+AG300)/2)*(AC300/100)*AB300)/C300</f>
        <v>1.0013793103448274</v>
      </c>
    </row>
    <row r="301" spans="1:34" x14ac:dyDescent="0.35">
      <c r="A301" s="3" t="s">
        <v>234</v>
      </c>
      <c r="B301" s="3" t="s">
        <v>30</v>
      </c>
      <c r="C301" s="3">
        <v>28</v>
      </c>
      <c r="D301" s="3">
        <v>0.2</v>
      </c>
      <c r="E301" s="3">
        <v>0.2</v>
      </c>
      <c r="F301" s="3">
        <v>0.2</v>
      </c>
      <c r="G301" s="3">
        <v>10</v>
      </c>
      <c r="H301" s="3">
        <v>2</v>
      </c>
      <c r="I301" s="3">
        <v>0</v>
      </c>
      <c r="J301" s="3">
        <v>0</v>
      </c>
      <c r="K301" s="3">
        <v>0</v>
      </c>
      <c r="L301" s="3">
        <v>0</v>
      </c>
      <c r="M301" s="3">
        <v>1</v>
      </c>
      <c r="N301" s="3">
        <v>0</v>
      </c>
      <c r="O301" s="3">
        <v>0</v>
      </c>
      <c r="P301" s="3">
        <v>3</v>
      </c>
      <c r="Q301" s="3">
        <v>0</v>
      </c>
      <c r="R301" s="3">
        <v>0</v>
      </c>
      <c r="S301" s="6">
        <f>AH301/10</f>
        <v>0.1</v>
      </c>
      <c r="T301" s="3">
        <v>40</v>
      </c>
      <c r="U301" s="4">
        <f>(S301*2)+T301</f>
        <v>40.200000000000003</v>
      </c>
      <c r="V301" s="4">
        <f>S301+T301</f>
        <v>40.1</v>
      </c>
      <c r="W301" s="3"/>
      <c r="X301" s="3"/>
      <c r="Y301" s="3"/>
      <c r="Z301" s="3"/>
      <c r="AA301" s="3"/>
      <c r="AB301" s="3">
        <f>_xlfn.IFS(B301="c", 8, B301="ss", 10, B301="cf", 8,  B301="2b", 8, B301="3b", 6, B301="rf", 4, B301="lf", 2, B301="1b", 2, B301 ="dh", 1)</f>
        <v>8</v>
      </c>
      <c r="AC301" s="3">
        <f>(G301+N301+O301)</f>
        <v>10</v>
      </c>
      <c r="AD301" s="5">
        <f>P301/AC301</f>
        <v>0.3</v>
      </c>
      <c r="AE301" s="5">
        <f>(N301+O301)/AC301</f>
        <v>0</v>
      </c>
      <c r="AF301" s="4">
        <f>100-((AD301-AE301)*100)</f>
        <v>70</v>
      </c>
      <c r="AG301" s="3">
        <f>(F301-D301)*1000</f>
        <v>0</v>
      </c>
      <c r="AH301" s="3">
        <f>(((AF301+AG301)/2)*(AC301/100)*AB301)/C301</f>
        <v>1</v>
      </c>
    </row>
    <row r="302" spans="1:34" x14ac:dyDescent="0.35">
      <c r="A302" s="3" t="s">
        <v>286</v>
      </c>
      <c r="B302" s="3" t="s">
        <v>28</v>
      </c>
      <c r="C302" s="3">
        <v>30</v>
      </c>
      <c r="D302" s="3">
        <v>0.222</v>
      </c>
      <c r="E302" s="3">
        <v>0.33300000000000002</v>
      </c>
      <c r="F302" s="3">
        <v>0.27800000000000002</v>
      </c>
      <c r="G302" s="3">
        <v>18</v>
      </c>
      <c r="H302" s="3">
        <v>4</v>
      </c>
      <c r="I302" s="3">
        <v>1</v>
      </c>
      <c r="J302" s="3">
        <v>0</v>
      </c>
      <c r="K302" s="3">
        <v>0</v>
      </c>
      <c r="L302" s="3">
        <v>2</v>
      </c>
      <c r="M302" s="3">
        <v>1</v>
      </c>
      <c r="N302" s="3">
        <v>0</v>
      </c>
      <c r="O302" s="3">
        <v>3</v>
      </c>
      <c r="P302" s="3">
        <v>6</v>
      </c>
      <c r="Q302" s="3">
        <v>0</v>
      </c>
      <c r="R302" s="3">
        <v>0</v>
      </c>
      <c r="S302" s="6">
        <f>AH302/10</f>
        <v>9.9200000000000024E-2</v>
      </c>
      <c r="T302" s="3">
        <v>40</v>
      </c>
      <c r="U302" s="4">
        <f>(S302*2)+T302</f>
        <v>40.198399999999999</v>
      </c>
      <c r="V302" s="4">
        <f>S302+T302</f>
        <v>40.099200000000003</v>
      </c>
      <c r="W302" s="3"/>
      <c r="X302" s="3"/>
      <c r="Y302" s="3"/>
      <c r="Z302" s="3"/>
      <c r="AA302" s="3"/>
      <c r="AB302" s="3">
        <f>_xlfn.IFS(B302="c", 8, B302="ss", 10, B302="cf", 8,  B302="2b", 8, B302="3b", 6, B302="rf", 4, B302="lf", 2, B302="1b", 2, B302 ="dh", 1)</f>
        <v>2</v>
      </c>
      <c r="AC302" s="3">
        <f>(G302+N302+O302)</f>
        <v>21</v>
      </c>
      <c r="AD302" s="5">
        <f>P302/AC302</f>
        <v>0.2857142857142857</v>
      </c>
      <c r="AE302" s="5">
        <f>(N302+O302)/AC302</f>
        <v>0.14285714285714285</v>
      </c>
      <c r="AF302" s="4">
        <f>100-((AD302-AE302)*100)</f>
        <v>85.714285714285722</v>
      </c>
      <c r="AG302" s="3">
        <f>(F302-D302)*1000</f>
        <v>56.000000000000021</v>
      </c>
      <c r="AH302" s="3">
        <f>(((AF302+AG302)/2)*(AC302/100)*AB302)/C302</f>
        <v>0.99200000000000021</v>
      </c>
    </row>
    <row r="303" spans="1:34" x14ac:dyDescent="0.35">
      <c r="A303" s="3" t="s">
        <v>221</v>
      </c>
      <c r="B303" s="3" t="s">
        <v>28</v>
      </c>
      <c r="C303" s="3">
        <v>28</v>
      </c>
      <c r="D303" s="3">
        <v>9.0999999999999998E-2</v>
      </c>
      <c r="E303" s="3">
        <v>0.13</v>
      </c>
      <c r="F303" s="3">
        <v>0.13600000000000001</v>
      </c>
      <c r="G303" s="3">
        <v>22</v>
      </c>
      <c r="H303" s="3">
        <v>2</v>
      </c>
      <c r="I303" s="3">
        <v>1</v>
      </c>
      <c r="J303" s="3">
        <v>0</v>
      </c>
      <c r="K303" s="3">
        <v>0</v>
      </c>
      <c r="L303" s="3">
        <v>0</v>
      </c>
      <c r="M303" s="3">
        <v>1</v>
      </c>
      <c r="N303" s="3">
        <v>0</v>
      </c>
      <c r="O303" s="3">
        <v>1</v>
      </c>
      <c r="P303" s="3">
        <v>8</v>
      </c>
      <c r="Q303" s="3">
        <v>0</v>
      </c>
      <c r="R303" s="3">
        <v>0</v>
      </c>
      <c r="S303" s="6">
        <f>AH303/10</f>
        <v>9.4107142857142875E-2</v>
      </c>
      <c r="T303" s="3">
        <v>40</v>
      </c>
      <c r="U303" s="4">
        <f>(S303*2)+T303</f>
        <v>40.188214285714288</v>
      </c>
      <c r="V303" s="4">
        <f>S303+T303</f>
        <v>40.094107142857141</v>
      </c>
      <c r="W303" s="3"/>
      <c r="X303" s="3"/>
      <c r="Y303" s="3"/>
      <c r="Z303" s="3"/>
      <c r="AA303" s="3"/>
      <c r="AB303" s="3">
        <f>_xlfn.IFS(B303="c", 8, B303="ss", 10, B303="cf", 8,  B303="2b", 8, B303="3b", 6, B303="rf", 4, B303="lf", 2, B303="1b", 2, B303 ="dh", 1)</f>
        <v>2</v>
      </c>
      <c r="AC303" s="3">
        <f>(G303+N303+O303)</f>
        <v>23</v>
      </c>
      <c r="AD303" s="5">
        <f>P303/AC303</f>
        <v>0.34782608695652173</v>
      </c>
      <c r="AE303" s="5">
        <f>(N303+O303)/AC303</f>
        <v>4.3478260869565216E-2</v>
      </c>
      <c r="AF303" s="4">
        <f>100-((AD303-AE303)*100)</f>
        <v>69.565217391304344</v>
      </c>
      <c r="AG303" s="3">
        <f>(F303-D303)*1000</f>
        <v>45.000000000000014</v>
      </c>
      <c r="AH303" s="3">
        <f>(((AF303+AG303)/2)*(AC303/100)*AB303)/C303</f>
        <v>0.94107142857142878</v>
      </c>
    </row>
    <row r="304" spans="1:34" x14ac:dyDescent="0.35">
      <c r="A304" s="3" t="s">
        <v>131</v>
      </c>
      <c r="B304" s="3" t="s">
        <v>47</v>
      </c>
      <c r="C304" s="3">
        <v>26</v>
      </c>
      <c r="D304" s="3">
        <v>0.11799999999999999</v>
      </c>
      <c r="E304" s="3">
        <v>0.16700000000000001</v>
      </c>
      <c r="F304" s="3">
        <v>0.17599999999999999</v>
      </c>
      <c r="G304" s="3">
        <v>17</v>
      </c>
      <c r="H304" s="3">
        <v>2</v>
      </c>
      <c r="I304" s="3">
        <v>1</v>
      </c>
      <c r="J304" s="3">
        <v>0</v>
      </c>
      <c r="K304" s="3">
        <v>0</v>
      </c>
      <c r="L304" s="3">
        <v>0</v>
      </c>
      <c r="M304" s="3">
        <v>1</v>
      </c>
      <c r="N304" s="3">
        <v>0</v>
      </c>
      <c r="O304" s="3">
        <v>1</v>
      </c>
      <c r="P304" s="3">
        <v>5</v>
      </c>
      <c r="Q304" s="3">
        <v>1</v>
      </c>
      <c r="R304" s="3">
        <v>0</v>
      </c>
      <c r="S304" s="6">
        <f>AH304/10</f>
        <v>9.4E-2</v>
      </c>
      <c r="T304" s="3">
        <v>40</v>
      </c>
      <c r="U304" s="4">
        <f>(S304*2)+T304</f>
        <v>40.188000000000002</v>
      </c>
      <c r="V304" s="4">
        <f>S304+T304</f>
        <v>40.094000000000001</v>
      </c>
      <c r="W304" s="3"/>
      <c r="X304" s="3"/>
      <c r="Y304" s="3"/>
      <c r="Z304" s="3"/>
      <c r="AA304" s="3"/>
      <c r="AB304" s="3">
        <f>_xlfn.IFS(B304="c", 8, B304="ss", 10, B304="cf", 8,  B304="2b", 8, B304="3b", 6, B304="rf", 4, B304="lf", 2, B304="1b", 2, B304 ="dh", 1)</f>
        <v>2</v>
      </c>
      <c r="AC304" s="3">
        <f>(G304+N304+O304)</f>
        <v>18</v>
      </c>
      <c r="AD304" s="5">
        <f>P304/AC304</f>
        <v>0.27777777777777779</v>
      </c>
      <c r="AE304" s="5">
        <f>(N304+O304)/AC304</f>
        <v>5.5555555555555552E-2</v>
      </c>
      <c r="AF304" s="4">
        <f>100-((AD304-AE304)*100)</f>
        <v>77.777777777777771</v>
      </c>
      <c r="AG304" s="3">
        <f>(F304-D304)*1000</f>
        <v>57.999999999999993</v>
      </c>
      <c r="AH304" s="3">
        <f>(((AF304+AG304)/2)*(AC304/100)*AB304)/C304</f>
        <v>0.94</v>
      </c>
    </row>
    <row r="305" spans="1:34" x14ac:dyDescent="0.35">
      <c r="A305" s="3" t="s">
        <v>157</v>
      </c>
      <c r="B305" s="3" t="s">
        <v>30</v>
      </c>
      <c r="C305" s="3">
        <v>26</v>
      </c>
      <c r="D305" s="3">
        <v>0.154</v>
      </c>
      <c r="E305" s="3">
        <v>0.154</v>
      </c>
      <c r="F305" s="3">
        <v>0.154</v>
      </c>
      <c r="G305" s="3">
        <v>13</v>
      </c>
      <c r="H305" s="3">
        <v>2</v>
      </c>
      <c r="I305" s="3">
        <v>0</v>
      </c>
      <c r="J305" s="3">
        <v>0</v>
      </c>
      <c r="K305" s="3">
        <v>0</v>
      </c>
      <c r="L305" s="3">
        <v>1</v>
      </c>
      <c r="M305" s="3">
        <v>0</v>
      </c>
      <c r="N305" s="3">
        <v>0</v>
      </c>
      <c r="O305" s="3">
        <v>0</v>
      </c>
      <c r="P305" s="3">
        <v>7</v>
      </c>
      <c r="Q305" s="3">
        <v>0</v>
      </c>
      <c r="R305" s="3">
        <v>1</v>
      </c>
      <c r="S305" s="6">
        <f>AH305/10</f>
        <v>9.2307692307692313E-2</v>
      </c>
      <c r="T305" s="3">
        <v>40</v>
      </c>
      <c r="U305" s="4">
        <f>(S305*2)+T305</f>
        <v>40.184615384615384</v>
      </c>
      <c r="V305" s="4">
        <f>S305+T305</f>
        <v>40.092307692307692</v>
      </c>
      <c r="W305" s="3"/>
      <c r="X305" s="3"/>
      <c r="Y305" s="3"/>
      <c r="Z305" s="3"/>
      <c r="AA305" s="3"/>
      <c r="AB305" s="3">
        <f>_xlfn.IFS(B305="c", 8, B305="ss", 10, B305="cf", 8,  B305="2b", 8, B305="3b", 6, B305="rf", 4, B305="lf", 2, B305="1b", 2, B305 ="dh", 1)</f>
        <v>8</v>
      </c>
      <c r="AC305" s="3">
        <f>(G305+N305+O305)</f>
        <v>13</v>
      </c>
      <c r="AD305" s="5">
        <f>P305/AC305</f>
        <v>0.53846153846153844</v>
      </c>
      <c r="AE305" s="5">
        <f>(N305+O305)/AC305</f>
        <v>0</v>
      </c>
      <c r="AF305" s="4">
        <f>100-((AD305-AE305)*100)</f>
        <v>46.153846153846153</v>
      </c>
      <c r="AG305" s="3">
        <f>(F305-D305)*1000</f>
        <v>0</v>
      </c>
      <c r="AH305" s="3">
        <f>(((AF305+AG305)/2)*(AC305/100)*AB305)/C305</f>
        <v>0.92307692307692313</v>
      </c>
    </row>
    <row r="306" spans="1:34" x14ac:dyDescent="0.35">
      <c r="A306" s="3" t="s">
        <v>164</v>
      </c>
      <c r="B306" s="3" t="s">
        <v>22</v>
      </c>
      <c r="C306" s="3">
        <v>26</v>
      </c>
      <c r="D306" s="3">
        <v>7.6999999999999999E-2</v>
      </c>
      <c r="E306" s="3">
        <v>0.2</v>
      </c>
      <c r="F306" s="3">
        <v>7.6999999999999999E-2</v>
      </c>
      <c r="G306" s="3">
        <v>13</v>
      </c>
      <c r="H306" s="3">
        <v>1</v>
      </c>
      <c r="I306" s="3">
        <v>0</v>
      </c>
      <c r="J306" s="3">
        <v>0</v>
      </c>
      <c r="K306" s="3">
        <v>0</v>
      </c>
      <c r="L306" s="3">
        <v>1</v>
      </c>
      <c r="M306" s="3">
        <v>0</v>
      </c>
      <c r="N306" s="3">
        <v>0</v>
      </c>
      <c r="O306" s="3">
        <v>2</v>
      </c>
      <c r="P306" s="3">
        <v>5</v>
      </c>
      <c r="Q306" s="3">
        <v>0</v>
      </c>
      <c r="R306" s="3">
        <v>0</v>
      </c>
      <c r="S306" s="6">
        <f>AH306/10</f>
        <v>9.2307692307692313E-2</v>
      </c>
      <c r="T306" s="3">
        <v>40</v>
      </c>
      <c r="U306" s="4">
        <f>(S306*2)+T306</f>
        <v>40.184615384615384</v>
      </c>
      <c r="V306" s="4">
        <f>S306+T306</f>
        <v>40.092307692307692</v>
      </c>
      <c r="W306" s="3"/>
      <c r="X306" s="3"/>
      <c r="Y306" s="3"/>
      <c r="Z306" s="3"/>
      <c r="AA306" s="3"/>
      <c r="AB306" s="3">
        <f>_xlfn.IFS(B306="c", 8, B306="ss", 10, B306="cf", 8,  B306="2b", 8, B306="3b", 6, B306="rf", 4, B306="lf", 2, B306="1b", 2, B306 ="dh", 1)</f>
        <v>4</v>
      </c>
      <c r="AC306" s="3">
        <f>(G306+N306+O306)</f>
        <v>15</v>
      </c>
      <c r="AD306" s="5">
        <f>P306/AC306</f>
        <v>0.33333333333333331</v>
      </c>
      <c r="AE306" s="5">
        <f>(N306+O306)/AC306</f>
        <v>0.13333333333333333</v>
      </c>
      <c r="AF306" s="4">
        <f>100-((AD306-AE306)*100)</f>
        <v>80</v>
      </c>
      <c r="AG306" s="3">
        <f>(F306-D306)*1000</f>
        <v>0</v>
      </c>
      <c r="AH306" s="3">
        <f>(((AF306+AG306)/2)*(AC306/100)*AB306)/C306</f>
        <v>0.92307692307692313</v>
      </c>
    </row>
    <row r="307" spans="1:34" x14ac:dyDescent="0.35">
      <c r="A307" s="3" t="s">
        <v>36</v>
      </c>
      <c r="B307" s="3" t="s">
        <v>18</v>
      </c>
      <c r="C307" s="3">
        <v>22</v>
      </c>
      <c r="D307" s="3">
        <v>0.16700000000000001</v>
      </c>
      <c r="E307" s="3">
        <v>0.25</v>
      </c>
      <c r="F307" s="3">
        <v>0.16700000000000001</v>
      </c>
      <c r="G307" s="3">
        <v>6</v>
      </c>
      <c r="H307" s="3">
        <v>1</v>
      </c>
      <c r="I307" s="3">
        <v>0</v>
      </c>
      <c r="J307" s="3">
        <v>0</v>
      </c>
      <c r="K307" s="3">
        <v>0</v>
      </c>
      <c r="L307" s="3">
        <v>1</v>
      </c>
      <c r="M307" s="3">
        <v>1</v>
      </c>
      <c r="N307" s="3">
        <v>1</v>
      </c>
      <c r="O307" s="3">
        <v>0</v>
      </c>
      <c r="P307" s="3">
        <v>3</v>
      </c>
      <c r="Q307" s="3">
        <v>0</v>
      </c>
      <c r="R307" s="3">
        <v>0</v>
      </c>
      <c r="S307" s="6">
        <f>AH307/10</f>
        <v>9.0909090909090925E-2</v>
      </c>
      <c r="T307" s="3">
        <v>50</v>
      </c>
      <c r="U307" s="4">
        <f>(S307*2)+T307</f>
        <v>50.18181818181818</v>
      </c>
      <c r="V307" s="4">
        <f>S307+T307</f>
        <v>50.090909090909093</v>
      </c>
      <c r="W307" s="3"/>
      <c r="X307" s="3"/>
      <c r="Y307" s="3"/>
      <c r="Z307" s="3"/>
      <c r="AA307" s="3"/>
      <c r="AB307" s="3">
        <f>_xlfn.IFS(B307="c", 8, B307="ss", 10, B307="cf", 8,  B307="2b", 8, B307="3b", 6, B307="rf", 4, B307="lf", 2, B307="1b", 2, B307 ="dh", 1)</f>
        <v>8</v>
      </c>
      <c r="AC307" s="3">
        <f>(G307+N307+O307)</f>
        <v>7</v>
      </c>
      <c r="AD307" s="5">
        <f>P307/AC307</f>
        <v>0.42857142857142855</v>
      </c>
      <c r="AE307" s="5">
        <f>(N307+O307)/AC307</f>
        <v>0.14285714285714285</v>
      </c>
      <c r="AF307" s="4">
        <f>100-((AD307-AE307)*100)</f>
        <v>71.428571428571431</v>
      </c>
      <c r="AG307" s="3">
        <f>(F307-D307)*1000</f>
        <v>0</v>
      </c>
      <c r="AH307" s="3">
        <f>(((AF307+AG307)/2)*(AC307/100)*AB307)/C307</f>
        <v>0.90909090909090928</v>
      </c>
    </row>
    <row r="308" spans="1:34" x14ac:dyDescent="0.35">
      <c r="A308" s="3" t="s">
        <v>321</v>
      </c>
      <c r="B308" s="3" t="s">
        <v>18</v>
      </c>
      <c r="C308" s="3">
        <v>31</v>
      </c>
      <c r="D308" s="3">
        <v>0.16700000000000001</v>
      </c>
      <c r="E308" s="3">
        <v>0.33300000000000002</v>
      </c>
      <c r="F308" s="3">
        <v>0.16700000000000001</v>
      </c>
      <c r="G308" s="3">
        <v>6</v>
      </c>
      <c r="H308" s="3">
        <v>1</v>
      </c>
      <c r="I308" s="3">
        <v>0</v>
      </c>
      <c r="J308" s="3">
        <v>0</v>
      </c>
      <c r="K308" s="3">
        <v>0</v>
      </c>
      <c r="L308" s="3">
        <v>1</v>
      </c>
      <c r="M308" s="3">
        <v>2</v>
      </c>
      <c r="N308" s="3">
        <v>1</v>
      </c>
      <c r="O308" s="3">
        <v>1</v>
      </c>
      <c r="P308" s="3">
        <v>3</v>
      </c>
      <c r="Q308" s="3">
        <v>0</v>
      </c>
      <c r="R308" s="3">
        <v>0</v>
      </c>
      <c r="S308" s="6">
        <f>AH308/10</f>
        <v>9.0322580645161285E-2</v>
      </c>
      <c r="T308" s="3">
        <v>40</v>
      </c>
      <c r="U308" s="4">
        <f>(S308*2)+T308</f>
        <v>40.180645161290322</v>
      </c>
      <c r="V308" s="4">
        <f>S308+T308</f>
        <v>40.090322580645164</v>
      </c>
      <c r="W308" s="3"/>
      <c r="X308" s="3"/>
      <c r="Y308" s="3"/>
      <c r="Z308" s="3"/>
      <c r="AA308" s="3"/>
      <c r="AB308" s="3">
        <f>_xlfn.IFS(B308="c", 8, B308="ss", 10, B308="cf", 8,  B308="2b", 8, B308="3b", 6, B308="rf", 4, B308="lf", 2, B308="1b", 2, B308 ="dh", 1)</f>
        <v>8</v>
      </c>
      <c r="AC308" s="3">
        <f>(G308+N308+O308)</f>
        <v>8</v>
      </c>
      <c r="AD308" s="5">
        <f>P308/AC308</f>
        <v>0.375</v>
      </c>
      <c r="AE308" s="5">
        <f>(N308+O308)/AC308</f>
        <v>0.25</v>
      </c>
      <c r="AF308" s="4">
        <f>100-((AD308-AE308)*100)</f>
        <v>87.5</v>
      </c>
      <c r="AG308" s="3">
        <f>(F308-D308)*1000</f>
        <v>0</v>
      </c>
      <c r="AH308" s="3">
        <f>(((AF308+AG308)/2)*(AC308/100)*AB308)/C308</f>
        <v>0.90322580645161288</v>
      </c>
    </row>
    <row r="309" spans="1:34" x14ac:dyDescent="0.35">
      <c r="A309" s="3" t="s">
        <v>324</v>
      </c>
      <c r="B309" s="3" t="s">
        <v>30</v>
      </c>
      <c r="C309" s="3">
        <v>31</v>
      </c>
      <c r="D309" s="3">
        <v>0.125</v>
      </c>
      <c r="E309" s="3">
        <v>0.125</v>
      </c>
      <c r="F309" s="3">
        <v>0.125</v>
      </c>
      <c r="G309" s="3">
        <v>8</v>
      </c>
      <c r="H309" s="3">
        <v>1</v>
      </c>
      <c r="I309" s="3">
        <v>0</v>
      </c>
      <c r="J309" s="3">
        <v>0</v>
      </c>
      <c r="K309" s="3">
        <v>0</v>
      </c>
      <c r="L309" s="3">
        <v>1</v>
      </c>
      <c r="M309" s="3">
        <v>1</v>
      </c>
      <c r="N309" s="3">
        <v>0</v>
      </c>
      <c r="O309" s="3">
        <v>0</v>
      </c>
      <c r="P309" s="3">
        <v>1</v>
      </c>
      <c r="Q309" s="3">
        <v>0</v>
      </c>
      <c r="R309" s="3">
        <v>0</v>
      </c>
      <c r="S309" s="6">
        <f>AH309/10</f>
        <v>9.0322580645161285E-2</v>
      </c>
      <c r="T309" s="3">
        <v>40</v>
      </c>
      <c r="U309" s="4">
        <f>(S309*2)+T309</f>
        <v>40.180645161290322</v>
      </c>
      <c r="V309" s="4">
        <f>S309+T309</f>
        <v>40.090322580645164</v>
      </c>
      <c r="W309" s="3"/>
      <c r="X309" s="3"/>
      <c r="Y309" s="3"/>
      <c r="Z309" s="3"/>
      <c r="AA309" s="3"/>
      <c r="AB309" s="3">
        <f>_xlfn.IFS(B309="c", 8, B309="ss", 10, B309="cf", 8,  B309="2b", 8, B309="3b", 6, B309="rf", 4, B309="lf", 2, B309="1b", 2, B309 ="dh", 1)</f>
        <v>8</v>
      </c>
      <c r="AC309" s="3">
        <f>(G309+N309+O309)</f>
        <v>8</v>
      </c>
      <c r="AD309" s="5">
        <f>P309/AC309</f>
        <v>0.125</v>
      </c>
      <c r="AE309" s="5">
        <f>(N309+O309)/AC309</f>
        <v>0</v>
      </c>
      <c r="AF309" s="4">
        <f>100-((AD309-AE309)*100)</f>
        <v>87.5</v>
      </c>
      <c r="AG309" s="3">
        <f>(F309-D309)*1000</f>
        <v>0</v>
      </c>
      <c r="AH309" s="3">
        <f>(((AF309+AG309)/2)*(AC309/100)*AB309)/C309</f>
        <v>0.90322580645161288</v>
      </c>
    </row>
    <row r="310" spans="1:34" x14ac:dyDescent="0.35">
      <c r="A310" s="3" t="s">
        <v>54</v>
      </c>
      <c r="B310" s="3" t="s">
        <v>25</v>
      </c>
      <c r="C310" s="3">
        <v>23</v>
      </c>
      <c r="D310" s="3">
        <v>0</v>
      </c>
      <c r="E310" s="3">
        <v>0</v>
      </c>
      <c r="F310" s="3">
        <v>0</v>
      </c>
      <c r="G310" s="3">
        <v>7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3</v>
      </c>
      <c r="Q310" s="3">
        <v>0</v>
      </c>
      <c r="R310" s="3">
        <v>1</v>
      </c>
      <c r="S310" s="6">
        <f>AH310/10</f>
        <v>8.695652173913046E-2</v>
      </c>
      <c r="T310" s="3">
        <v>40</v>
      </c>
      <c r="U310" s="4">
        <f>(S310*2)+T310</f>
        <v>40.173913043478258</v>
      </c>
      <c r="V310" s="4">
        <f>S310+T310</f>
        <v>40.086956521739133</v>
      </c>
      <c r="W310" s="3"/>
      <c r="X310" s="3"/>
      <c r="Y310" s="3"/>
      <c r="Z310" s="3"/>
      <c r="AA310" s="3"/>
      <c r="AB310" s="3">
        <f>_xlfn.IFS(B310="c", 8, B310="ss", 10, B310="cf", 8,  B310="2b", 8, B310="3b", 6, B310="rf", 4, B310="lf", 2, B310="1b", 2, B310 ="dh", 1)</f>
        <v>10</v>
      </c>
      <c r="AC310" s="3">
        <f>(G310+N310+O310)</f>
        <v>7</v>
      </c>
      <c r="AD310" s="5">
        <f>P310/AC310</f>
        <v>0.42857142857142855</v>
      </c>
      <c r="AE310" s="5">
        <f>(N310+O310)/AC310</f>
        <v>0</v>
      </c>
      <c r="AF310" s="4">
        <f>100-((AD310-AE310)*100)</f>
        <v>57.142857142857146</v>
      </c>
      <c r="AG310" s="3">
        <f>(F310-D310)*1000</f>
        <v>0</v>
      </c>
      <c r="AH310" s="3">
        <f>(((AF310+AG310)/2)*(AC310/100)*AB310)/C310</f>
        <v>0.86956521739130455</v>
      </c>
    </row>
    <row r="311" spans="1:34" x14ac:dyDescent="0.35">
      <c r="A311" s="3" t="s">
        <v>293</v>
      </c>
      <c r="B311" s="3" t="s">
        <v>22</v>
      </c>
      <c r="C311" s="3">
        <v>30</v>
      </c>
      <c r="D311" s="3">
        <v>0.316</v>
      </c>
      <c r="E311" s="3">
        <v>0.3</v>
      </c>
      <c r="F311" s="3">
        <v>0.316</v>
      </c>
      <c r="G311" s="3">
        <v>19</v>
      </c>
      <c r="H311" s="3">
        <v>6</v>
      </c>
      <c r="I311" s="3">
        <v>0</v>
      </c>
      <c r="J311" s="3">
        <v>0</v>
      </c>
      <c r="K311" s="3">
        <v>0</v>
      </c>
      <c r="L311" s="3">
        <v>1</v>
      </c>
      <c r="M311" s="3">
        <v>3</v>
      </c>
      <c r="N311" s="3">
        <v>0</v>
      </c>
      <c r="O311" s="3">
        <v>0</v>
      </c>
      <c r="P311" s="3">
        <v>6</v>
      </c>
      <c r="Q311" s="3">
        <v>0</v>
      </c>
      <c r="R311" s="3">
        <v>0</v>
      </c>
      <c r="S311" s="6">
        <f>AH311/10</f>
        <v>8.666666666666667E-2</v>
      </c>
      <c r="T311" s="3">
        <v>40</v>
      </c>
      <c r="U311" s="4">
        <f>(S311*2)+T311</f>
        <v>40.173333333333332</v>
      </c>
      <c r="V311" s="4">
        <f>S311+T311</f>
        <v>40.086666666666666</v>
      </c>
      <c r="W311" s="3"/>
      <c r="X311" s="3"/>
      <c r="Y311" s="3"/>
      <c r="Z311" s="3"/>
      <c r="AA311" s="3"/>
      <c r="AB311" s="3">
        <f>_xlfn.IFS(B311="c", 8, B311="ss", 10, B311="cf", 8,  B311="2b", 8, B311="3b", 6, B311="rf", 4, B311="lf", 2, B311="1b", 2, B311 ="dh", 1)</f>
        <v>4</v>
      </c>
      <c r="AC311" s="3">
        <f>(G311+N311+O311)</f>
        <v>19</v>
      </c>
      <c r="AD311" s="5">
        <f>P311/AC311</f>
        <v>0.31578947368421051</v>
      </c>
      <c r="AE311" s="5">
        <f>(N311+O311)/AC311</f>
        <v>0</v>
      </c>
      <c r="AF311" s="4">
        <f>100-((AD311-AE311)*100)</f>
        <v>68.421052631578945</v>
      </c>
      <c r="AG311" s="3">
        <f>(F311-D311)*1000</f>
        <v>0</v>
      </c>
      <c r="AH311" s="3">
        <f>(((AF311+AG311)/2)*(AC311/100)*AB311)/C311</f>
        <v>0.8666666666666667</v>
      </c>
    </row>
    <row r="312" spans="1:34" x14ac:dyDescent="0.35">
      <c r="A312" s="3" t="s">
        <v>242</v>
      </c>
      <c r="B312" s="3" t="s">
        <v>59</v>
      </c>
      <c r="C312" s="3">
        <v>28</v>
      </c>
      <c r="D312" s="3">
        <v>0.25</v>
      </c>
      <c r="E312" s="3">
        <v>0.25</v>
      </c>
      <c r="F312" s="3">
        <v>0.25</v>
      </c>
      <c r="G312" s="3">
        <v>8</v>
      </c>
      <c r="H312" s="3">
        <v>2</v>
      </c>
      <c r="I312" s="3">
        <v>0</v>
      </c>
      <c r="J312" s="3">
        <v>0</v>
      </c>
      <c r="K312" s="3">
        <v>0</v>
      </c>
      <c r="L312" s="3">
        <v>0</v>
      </c>
      <c r="M312" s="3">
        <v>1</v>
      </c>
      <c r="N312" s="3">
        <v>0</v>
      </c>
      <c r="O312" s="3">
        <v>0</v>
      </c>
      <c r="P312" s="3">
        <v>2</v>
      </c>
      <c r="Q312" s="3">
        <v>0</v>
      </c>
      <c r="R312" s="3">
        <v>0</v>
      </c>
      <c r="S312" s="6">
        <f>AH312/10</f>
        <v>8.5714285714285715E-2</v>
      </c>
      <c r="T312" s="3">
        <v>40</v>
      </c>
      <c r="U312" s="4">
        <f>(S312*2)+T312</f>
        <v>40.171428571428571</v>
      </c>
      <c r="V312" s="4">
        <f>S312+T312</f>
        <v>40.085714285714289</v>
      </c>
      <c r="W312" s="3"/>
      <c r="X312" s="3"/>
      <c r="Y312" s="3"/>
      <c r="Z312" s="3"/>
      <c r="AA312" s="3"/>
      <c r="AB312" s="3">
        <f>_xlfn.IFS(B312="c", 8, B312="ss", 10, B312="cf", 8,  B312="2b", 8, B312="3b", 6, B312="rf", 4, B312="lf", 2, B312="1b", 2, B312 ="dh", 1)</f>
        <v>8</v>
      </c>
      <c r="AC312" s="3">
        <f>(G312+N312+O312)</f>
        <v>8</v>
      </c>
      <c r="AD312" s="5">
        <f>P312/AC312</f>
        <v>0.25</v>
      </c>
      <c r="AE312" s="5">
        <f>(N312+O312)/AC312</f>
        <v>0</v>
      </c>
      <c r="AF312" s="4">
        <f>100-((AD312-AE312)*100)</f>
        <v>75</v>
      </c>
      <c r="AG312" s="3">
        <f>(F312-D312)*1000</f>
        <v>0</v>
      </c>
      <c r="AH312" s="3">
        <f>(((AF312+AG312)/2)*(AC312/100)*AB312)/C312</f>
        <v>0.8571428571428571</v>
      </c>
    </row>
    <row r="313" spans="1:34" x14ac:dyDescent="0.35">
      <c r="A313" s="3" t="s">
        <v>102</v>
      </c>
      <c r="B313" s="3" t="s">
        <v>47</v>
      </c>
      <c r="C313" s="3">
        <v>25</v>
      </c>
      <c r="D313" s="3">
        <v>0.05</v>
      </c>
      <c r="E313" s="3">
        <v>0.24</v>
      </c>
      <c r="F313" s="3">
        <v>0.05</v>
      </c>
      <c r="G313" s="3">
        <v>20</v>
      </c>
      <c r="H313" s="3">
        <v>1</v>
      </c>
      <c r="I313" s="3">
        <v>0</v>
      </c>
      <c r="J313" s="3">
        <v>0</v>
      </c>
      <c r="K313" s="3">
        <v>0</v>
      </c>
      <c r="L313" s="3">
        <v>4</v>
      </c>
      <c r="M313" s="3">
        <v>0</v>
      </c>
      <c r="N313" s="3">
        <v>0</v>
      </c>
      <c r="O313" s="3">
        <v>5</v>
      </c>
      <c r="P313" s="3">
        <v>9</v>
      </c>
      <c r="Q313" s="3">
        <v>4</v>
      </c>
      <c r="R313" s="3">
        <v>1</v>
      </c>
      <c r="S313" s="6">
        <f>AH313/10</f>
        <v>8.3999999999999991E-2</v>
      </c>
      <c r="T313" s="3">
        <v>40</v>
      </c>
      <c r="U313" s="4">
        <f>(S313*2)+T313</f>
        <v>40.167999999999999</v>
      </c>
      <c r="V313" s="4">
        <f>S313+T313</f>
        <v>40.084000000000003</v>
      </c>
      <c r="W313" s="3"/>
      <c r="X313" s="3"/>
      <c r="Y313" s="3"/>
      <c r="Z313" s="3"/>
      <c r="AA313" s="3"/>
      <c r="AB313" s="3">
        <f>_xlfn.IFS(B313="c", 8, B313="ss", 10, B313="cf", 8,  B313="2b", 8, B313="3b", 6, B313="rf", 4, B313="lf", 2, B313="1b", 2, B313 ="dh", 1)</f>
        <v>2</v>
      </c>
      <c r="AC313" s="3">
        <f>(G313+N313+O313)</f>
        <v>25</v>
      </c>
      <c r="AD313" s="5">
        <f>P313/AC313</f>
        <v>0.36</v>
      </c>
      <c r="AE313" s="5">
        <f>(N313+O313)/AC313</f>
        <v>0.2</v>
      </c>
      <c r="AF313" s="4">
        <f>100-((AD313-AE313)*100)</f>
        <v>84</v>
      </c>
      <c r="AG313" s="3">
        <f>(F313-D313)*1000</f>
        <v>0</v>
      </c>
      <c r="AH313" s="3">
        <f>(((AF313+AG313)/2)*(AC313/100)*AB313)/C313</f>
        <v>0.84</v>
      </c>
    </row>
    <row r="314" spans="1:34" x14ac:dyDescent="0.35">
      <c r="A314" s="3" t="s">
        <v>107</v>
      </c>
      <c r="B314" s="3" t="s">
        <v>59</v>
      </c>
      <c r="C314" s="3">
        <v>25</v>
      </c>
      <c r="D314" s="3">
        <v>0</v>
      </c>
      <c r="E314" s="3">
        <v>0.5</v>
      </c>
      <c r="F314" s="3">
        <v>0</v>
      </c>
      <c r="G314" s="3">
        <v>2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2</v>
      </c>
      <c r="P314" s="3">
        <v>1</v>
      </c>
      <c r="Q314" s="3">
        <v>0</v>
      </c>
      <c r="R314" s="3">
        <v>0</v>
      </c>
      <c r="S314" s="6">
        <f>AH314/10</f>
        <v>0.08</v>
      </c>
      <c r="T314" s="3">
        <v>40</v>
      </c>
      <c r="U314" s="4">
        <f>(S314*2)+T314</f>
        <v>40.159999999999997</v>
      </c>
      <c r="V314" s="4">
        <f>S314+T314</f>
        <v>40.08</v>
      </c>
      <c r="W314" s="3"/>
      <c r="X314" s="3"/>
      <c r="Y314" s="3"/>
      <c r="Z314" s="3"/>
      <c r="AA314" s="3"/>
      <c r="AB314" s="3">
        <f>_xlfn.IFS(B314="c", 8, B314="ss", 10, B314="cf", 8,  B314="2b", 8, B314="3b", 6, B314="rf", 4, B314="lf", 2, B314="1b", 2, B314 ="dh", 1)</f>
        <v>8</v>
      </c>
      <c r="AC314" s="3">
        <f>(G314+N314+O314)</f>
        <v>4</v>
      </c>
      <c r="AD314" s="5">
        <f>P314/AC314</f>
        <v>0.25</v>
      </c>
      <c r="AE314" s="5">
        <f>(N314+O314)/AC314</f>
        <v>0.5</v>
      </c>
      <c r="AF314" s="4">
        <f>100-((AD314-AE314)*100)</f>
        <v>125</v>
      </c>
      <c r="AG314" s="3">
        <f>(F314-D314)*1000</f>
        <v>0</v>
      </c>
      <c r="AH314" s="3">
        <f>(((AF314+AG314)/2)*(AC314/100)*AB314)/C314</f>
        <v>0.8</v>
      </c>
    </row>
    <row r="315" spans="1:34" x14ac:dyDescent="0.35">
      <c r="A315" s="3" t="s">
        <v>121</v>
      </c>
      <c r="B315" s="3" t="s">
        <v>59</v>
      </c>
      <c r="C315" s="3">
        <v>25</v>
      </c>
      <c r="D315" s="3">
        <v>0</v>
      </c>
      <c r="E315" s="3">
        <v>0</v>
      </c>
      <c r="F315" s="3">
        <v>0</v>
      </c>
      <c r="G315" s="3">
        <v>12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7</v>
      </c>
      <c r="Q315" s="3">
        <v>0</v>
      </c>
      <c r="R315" s="3">
        <v>0</v>
      </c>
      <c r="S315" s="6">
        <f>AH315/10</f>
        <v>7.9999999999999988E-2</v>
      </c>
      <c r="T315" s="3">
        <v>40</v>
      </c>
      <c r="U315" s="4">
        <f>(S315*2)+T315</f>
        <v>40.159999999999997</v>
      </c>
      <c r="V315" s="4">
        <f>S315+T315</f>
        <v>40.08</v>
      </c>
      <c r="W315" s="3"/>
      <c r="X315" s="3"/>
      <c r="Y315" s="3"/>
      <c r="Z315" s="3"/>
      <c r="AA315" s="3"/>
      <c r="AB315" s="3">
        <f>_xlfn.IFS(B315="c", 8, B315="ss", 10, B315="cf", 8,  B315="2b", 8, B315="3b", 6, B315="rf", 4, B315="lf", 2, B315="1b", 2, B315 ="dh", 1)</f>
        <v>8</v>
      </c>
      <c r="AC315" s="3">
        <f>(G315+N315+O315)</f>
        <v>12</v>
      </c>
      <c r="AD315" s="5">
        <f>P315/AC315</f>
        <v>0.58333333333333337</v>
      </c>
      <c r="AE315" s="5">
        <f>(N315+O315)/AC315</f>
        <v>0</v>
      </c>
      <c r="AF315" s="4">
        <f>100-((AD315-AE315)*100)</f>
        <v>41.666666666666664</v>
      </c>
      <c r="AG315" s="3">
        <f>(F315-D315)*1000</f>
        <v>0</v>
      </c>
      <c r="AH315" s="3">
        <f>(((AF315+AG315)/2)*(AC315/100)*AB315)/C315</f>
        <v>0.79999999999999982</v>
      </c>
    </row>
    <row r="316" spans="1:34" x14ac:dyDescent="0.35">
      <c r="A316" s="3" t="s">
        <v>339</v>
      </c>
      <c r="B316" s="3" t="s">
        <v>20</v>
      </c>
      <c r="C316" s="3">
        <v>33</v>
      </c>
      <c r="D316" s="3">
        <v>0.154</v>
      </c>
      <c r="E316" s="3">
        <v>0.19500000000000001</v>
      </c>
      <c r="F316" s="3">
        <v>0.20499999999999999</v>
      </c>
      <c r="G316" s="3">
        <v>39</v>
      </c>
      <c r="H316" s="3">
        <v>6</v>
      </c>
      <c r="I316" s="3">
        <v>2</v>
      </c>
      <c r="J316" s="3">
        <v>0</v>
      </c>
      <c r="K316" s="3">
        <v>0</v>
      </c>
      <c r="L316" s="3">
        <v>2</v>
      </c>
      <c r="M316" s="3">
        <v>1</v>
      </c>
      <c r="N316" s="3">
        <v>0</v>
      </c>
      <c r="O316" s="3">
        <v>2</v>
      </c>
      <c r="P316" s="3">
        <v>13</v>
      </c>
      <c r="Q316" s="3">
        <v>0</v>
      </c>
      <c r="R316" s="3">
        <v>0</v>
      </c>
      <c r="S316" s="6">
        <f>AH316/10</f>
        <v>7.7136363636363628E-2</v>
      </c>
      <c r="T316" s="3">
        <v>40</v>
      </c>
      <c r="U316" s="4">
        <f>(S316*2)+T316</f>
        <v>40.154272727272726</v>
      </c>
      <c r="V316" s="4">
        <f>S316+T316</f>
        <v>40.077136363636363</v>
      </c>
      <c r="W316" s="3"/>
      <c r="X316" s="3"/>
      <c r="Y316" s="3"/>
      <c r="Z316" s="3"/>
      <c r="AA316" s="3"/>
      <c r="AB316" s="3">
        <f>_xlfn.IFS(B316="c", 8, B316="ss", 10, B316="cf", 8,  B316="2b", 8, B316="3b", 6, B316="rf", 4, B316="lf", 2, B316="1b", 2, B316 ="dh", 1)</f>
        <v>1</v>
      </c>
      <c r="AC316" s="3">
        <f>(G316+N316+O316)</f>
        <v>41</v>
      </c>
      <c r="AD316" s="5">
        <f>P316/AC316</f>
        <v>0.31707317073170732</v>
      </c>
      <c r="AE316" s="5">
        <f>(N316+O316)/AC316</f>
        <v>4.878048780487805E-2</v>
      </c>
      <c r="AF316" s="4">
        <f>100-((AD316-AE316)*100)</f>
        <v>73.170731707317074</v>
      </c>
      <c r="AG316" s="3">
        <f>(F316-D316)*1000</f>
        <v>50.999999999999993</v>
      </c>
      <c r="AH316" s="3">
        <f>(((AF316+AG316)/2)*(AC316/100)*AB316)/C316</f>
        <v>0.77136363636363625</v>
      </c>
    </row>
    <row r="317" spans="1:34" x14ac:dyDescent="0.35">
      <c r="A317" s="3" t="s">
        <v>136</v>
      </c>
      <c r="B317" s="3" t="s">
        <v>59</v>
      </c>
      <c r="C317" s="3">
        <v>26</v>
      </c>
      <c r="D317" s="3">
        <v>0.33300000000000002</v>
      </c>
      <c r="E317" s="3">
        <v>0.33300000000000002</v>
      </c>
      <c r="F317" s="3">
        <v>0.33300000000000002</v>
      </c>
      <c r="G317" s="3">
        <v>6</v>
      </c>
      <c r="H317" s="3">
        <v>2</v>
      </c>
      <c r="I317" s="3">
        <v>0</v>
      </c>
      <c r="J317" s="3">
        <v>0</v>
      </c>
      <c r="K317" s="3">
        <v>0</v>
      </c>
      <c r="L317" s="3">
        <v>1</v>
      </c>
      <c r="M317" s="3">
        <v>0</v>
      </c>
      <c r="N317" s="3">
        <v>0</v>
      </c>
      <c r="O317" s="3">
        <v>0</v>
      </c>
      <c r="P317" s="3">
        <v>1</v>
      </c>
      <c r="Q317" s="3">
        <v>0</v>
      </c>
      <c r="R317" s="3">
        <v>0</v>
      </c>
      <c r="S317" s="6">
        <f>AH317/10</f>
        <v>7.6923076923076927E-2</v>
      </c>
      <c r="T317" s="3">
        <v>50</v>
      </c>
      <c r="U317" s="4">
        <f>(S317*2)+T317</f>
        <v>50.153846153846153</v>
      </c>
      <c r="V317" s="4">
        <f>S317+T317</f>
        <v>50.07692307692308</v>
      </c>
      <c r="W317" s="3"/>
      <c r="X317" s="3"/>
      <c r="Y317" s="3"/>
      <c r="Z317" s="3"/>
      <c r="AA317" s="3"/>
      <c r="AB317" s="3">
        <f>_xlfn.IFS(B317="c", 8, B317="ss", 10, B317="cf", 8,  B317="2b", 8, B317="3b", 6, B317="rf", 4, B317="lf", 2, B317="1b", 2, B317 ="dh", 1)</f>
        <v>8</v>
      </c>
      <c r="AC317" s="3">
        <f>(G317+N317+O317)</f>
        <v>6</v>
      </c>
      <c r="AD317" s="5">
        <f>P317/AC317</f>
        <v>0.16666666666666666</v>
      </c>
      <c r="AE317" s="5">
        <f>(N317+O317)/AC317</f>
        <v>0</v>
      </c>
      <c r="AF317" s="4">
        <f>100-((AD317-AE317)*100)</f>
        <v>83.333333333333343</v>
      </c>
      <c r="AG317" s="3">
        <f>(F317-D317)*1000</f>
        <v>0</v>
      </c>
      <c r="AH317" s="3">
        <f>(((AF317+AG317)/2)*(AC317/100)*AB317)/C317</f>
        <v>0.76923076923076927</v>
      </c>
    </row>
    <row r="318" spans="1:34" x14ac:dyDescent="0.35">
      <c r="A318" s="3" t="s">
        <v>132</v>
      </c>
      <c r="B318" s="3" t="s">
        <v>59</v>
      </c>
      <c r="C318" s="3">
        <v>26</v>
      </c>
      <c r="D318" s="3">
        <v>0</v>
      </c>
      <c r="E318" s="3">
        <v>0.16700000000000001</v>
      </c>
      <c r="F318" s="3">
        <v>0</v>
      </c>
      <c r="G318" s="3">
        <v>5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1</v>
      </c>
      <c r="P318" s="3">
        <v>2</v>
      </c>
      <c r="Q318" s="3">
        <v>1</v>
      </c>
      <c r="R318" s="3">
        <v>0</v>
      </c>
      <c r="S318" s="6">
        <f>AH318/10</f>
        <v>7.6923076923076927E-2</v>
      </c>
      <c r="T318" s="3">
        <v>40</v>
      </c>
      <c r="U318" s="4">
        <f>(S318*2)+T318</f>
        <v>40.153846153846153</v>
      </c>
      <c r="V318" s="4">
        <f>S318+T318</f>
        <v>40.07692307692308</v>
      </c>
      <c r="W318" s="3"/>
      <c r="X318" s="3"/>
      <c r="Y318" s="3"/>
      <c r="Z318" s="3"/>
      <c r="AA318" s="3"/>
      <c r="AB318" s="3">
        <f>_xlfn.IFS(B318="c", 8, B318="ss", 10, B318="cf", 8,  B318="2b", 8, B318="3b", 6, B318="rf", 4, B318="lf", 2, B318="1b", 2, B318 ="dh", 1)</f>
        <v>8</v>
      </c>
      <c r="AC318" s="3">
        <f>(G318+N318+O318)</f>
        <v>6</v>
      </c>
      <c r="AD318" s="5">
        <f>P318/AC318</f>
        <v>0.33333333333333331</v>
      </c>
      <c r="AE318" s="5">
        <f>(N318+O318)/AC318</f>
        <v>0.16666666666666666</v>
      </c>
      <c r="AF318" s="4">
        <f>100-((AD318-AE318)*100)</f>
        <v>83.333333333333343</v>
      </c>
      <c r="AG318" s="3">
        <f>(F318-D318)*1000</f>
        <v>0</v>
      </c>
      <c r="AH318" s="3">
        <f>(((AF318+AG318)/2)*(AC318/100)*AB318)/C318</f>
        <v>0.76923076923076927</v>
      </c>
    </row>
    <row r="319" spans="1:34" x14ac:dyDescent="0.35">
      <c r="A319" s="3" t="s">
        <v>252</v>
      </c>
      <c r="B319" s="3" t="s">
        <v>47</v>
      </c>
      <c r="C319" s="3">
        <v>29</v>
      </c>
      <c r="D319" s="3">
        <v>0.26300000000000001</v>
      </c>
      <c r="E319" s="3">
        <v>0.33300000000000002</v>
      </c>
      <c r="F319" s="3">
        <v>0.26300000000000001</v>
      </c>
      <c r="G319" s="3">
        <v>19</v>
      </c>
      <c r="H319" s="3">
        <v>5</v>
      </c>
      <c r="I319" s="3">
        <v>0</v>
      </c>
      <c r="J319" s="3">
        <v>0</v>
      </c>
      <c r="K319" s="3">
        <v>0</v>
      </c>
      <c r="L319" s="3">
        <v>5</v>
      </c>
      <c r="M319" s="3">
        <v>1</v>
      </c>
      <c r="N319" s="3">
        <v>0</v>
      </c>
      <c r="O319" s="3">
        <v>2</v>
      </c>
      <c r="P319" s="3">
        <v>1</v>
      </c>
      <c r="Q319" s="3">
        <v>1</v>
      </c>
      <c r="R319" s="3">
        <v>0</v>
      </c>
      <c r="S319" s="6">
        <f>AH319/10</f>
        <v>7.586206896551724E-2</v>
      </c>
      <c r="T319" s="3">
        <v>40</v>
      </c>
      <c r="U319" s="4">
        <f>(S319*2)+T319</f>
        <v>40.151724137931033</v>
      </c>
      <c r="V319" s="4">
        <f>S319+T319</f>
        <v>40.07586206896552</v>
      </c>
      <c r="W319" s="3"/>
      <c r="X319" s="3"/>
      <c r="Y319" s="3"/>
      <c r="Z319" s="3"/>
      <c r="AA319" s="3"/>
      <c r="AB319" s="3">
        <f>_xlfn.IFS(B319="c", 8, B319="ss", 10, B319="cf", 8,  B319="2b", 8, B319="3b", 6, B319="rf", 4, B319="lf", 2, B319="1b", 2, B319 ="dh", 1)</f>
        <v>2</v>
      </c>
      <c r="AC319" s="3">
        <f>(G319+N319+O319)</f>
        <v>21</v>
      </c>
      <c r="AD319" s="5">
        <f>P319/AC319</f>
        <v>4.7619047619047616E-2</v>
      </c>
      <c r="AE319" s="5">
        <f>(N319+O319)/AC319</f>
        <v>9.5238095238095233E-2</v>
      </c>
      <c r="AF319" s="4">
        <f>100-((AD319-AE319)*100)</f>
        <v>104.76190476190476</v>
      </c>
      <c r="AG319" s="3">
        <f>(F319-D319)*1000</f>
        <v>0</v>
      </c>
      <c r="AH319" s="3">
        <f>(((AF319+AG319)/2)*(AC319/100)*AB319)/C319</f>
        <v>0.75862068965517238</v>
      </c>
    </row>
    <row r="320" spans="1:34" x14ac:dyDescent="0.35">
      <c r="A320" s="3" t="s">
        <v>360</v>
      </c>
      <c r="B320" s="3" t="s">
        <v>18</v>
      </c>
      <c r="C320" s="3">
        <v>35</v>
      </c>
      <c r="D320" s="3">
        <v>0.42899999999999999</v>
      </c>
      <c r="E320" s="3">
        <v>0.42899999999999999</v>
      </c>
      <c r="F320" s="3">
        <v>0.42899999999999999</v>
      </c>
      <c r="G320" s="3">
        <v>7</v>
      </c>
      <c r="H320" s="3">
        <v>3</v>
      </c>
      <c r="I320" s="3">
        <v>0</v>
      </c>
      <c r="J320" s="3">
        <v>0</v>
      </c>
      <c r="K320" s="3">
        <v>0</v>
      </c>
      <c r="L320" s="3">
        <v>0</v>
      </c>
      <c r="M320" s="3">
        <v>1</v>
      </c>
      <c r="N320" s="3">
        <v>0</v>
      </c>
      <c r="O320" s="3">
        <v>0</v>
      </c>
      <c r="P320" s="3">
        <v>1</v>
      </c>
      <c r="Q320" s="3">
        <v>0</v>
      </c>
      <c r="R320" s="3">
        <v>0</v>
      </c>
      <c r="S320" s="6">
        <f>AH320/10</f>
        <v>6.8571428571428589E-2</v>
      </c>
      <c r="T320" s="3">
        <v>40</v>
      </c>
      <c r="U320" s="4">
        <f>(S320*2)+T320</f>
        <v>40.137142857142855</v>
      </c>
      <c r="V320" s="4">
        <f>S320+T320</f>
        <v>40.068571428571431</v>
      </c>
      <c r="W320" s="3"/>
      <c r="X320" s="3"/>
      <c r="Y320" s="3"/>
      <c r="Z320" s="3"/>
      <c r="AA320" s="3"/>
      <c r="AB320" s="3">
        <f>_xlfn.IFS(B320="c", 8, B320="ss", 10, B320="cf", 8,  B320="2b", 8, B320="3b", 6, B320="rf", 4, B320="lf", 2, B320="1b", 2, B320 ="dh", 1)</f>
        <v>8</v>
      </c>
      <c r="AC320" s="3">
        <f>(G320+N320+O320)</f>
        <v>7</v>
      </c>
      <c r="AD320" s="5">
        <f>P320/AC320</f>
        <v>0.14285714285714285</v>
      </c>
      <c r="AE320" s="5">
        <f>(N320+O320)/AC320</f>
        <v>0</v>
      </c>
      <c r="AF320" s="4">
        <f>100-((AD320-AE320)*100)</f>
        <v>85.714285714285722</v>
      </c>
      <c r="AG320" s="3">
        <f>(F320-D320)*1000</f>
        <v>0</v>
      </c>
      <c r="AH320" s="3">
        <f>(((AF320+AG320)/2)*(AC320/100)*AB320)/C320</f>
        <v>0.68571428571428583</v>
      </c>
    </row>
    <row r="321" spans="1:34" x14ac:dyDescent="0.35">
      <c r="A321" s="3" t="s">
        <v>103</v>
      </c>
      <c r="B321" s="3" t="s">
        <v>18</v>
      </c>
      <c r="C321" s="3">
        <v>25</v>
      </c>
      <c r="D321" s="3">
        <v>0.1</v>
      </c>
      <c r="E321" s="3">
        <v>0.1</v>
      </c>
      <c r="F321" s="3">
        <v>0.1</v>
      </c>
      <c r="G321" s="3">
        <v>10</v>
      </c>
      <c r="H321" s="3">
        <v>1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6</v>
      </c>
      <c r="Q321" s="3">
        <v>0</v>
      </c>
      <c r="R321" s="3">
        <v>0</v>
      </c>
      <c r="S321" s="6">
        <f>AH321/10</f>
        <v>6.4000000000000001E-2</v>
      </c>
      <c r="T321" s="3">
        <v>40</v>
      </c>
      <c r="U321" s="4">
        <f>(S321*2)+T321</f>
        <v>40.128</v>
      </c>
      <c r="V321" s="4">
        <f>S321+T321</f>
        <v>40.064</v>
      </c>
      <c r="W321" s="3"/>
      <c r="X321" s="3"/>
      <c r="Y321" s="3"/>
      <c r="Z321" s="3"/>
      <c r="AA321" s="3"/>
      <c r="AB321" s="3">
        <f>_xlfn.IFS(B321="c", 8, B321="ss", 10, B321="cf", 8,  B321="2b", 8, B321="3b", 6, B321="rf", 4, B321="lf", 2, B321="1b", 2, B321 ="dh", 1)</f>
        <v>8</v>
      </c>
      <c r="AC321" s="3">
        <f>(G321+N321+O321)</f>
        <v>10</v>
      </c>
      <c r="AD321" s="5">
        <f>P321/AC321</f>
        <v>0.6</v>
      </c>
      <c r="AE321" s="5">
        <f>(N321+O321)/AC321</f>
        <v>0</v>
      </c>
      <c r="AF321" s="4">
        <f>100-((AD321-AE321)*100)</f>
        <v>40</v>
      </c>
      <c r="AG321" s="3">
        <f>(F321-D321)*1000</f>
        <v>0</v>
      </c>
      <c r="AH321" s="3">
        <f>(((AF321+AG321)/2)*(AC321/100)*AB321)/C321</f>
        <v>0.64</v>
      </c>
    </row>
    <row r="322" spans="1:34" x14ac:dyDescent="0.35">
      <c r="A322" s="3" t="s">
        <v>119</v>
      </c>
      <c r="B322" s="3" t="s">
        <v>47</v>
      </c>
      <c r="C322" s="3">
        <v>25</v>
      </c>
      <c r="D322" s="3">
        <v>7.0999999999999994E-2</v>
      </c>
      <c r="E322" s="3">
        <v>0.188</v>
      </c>
      <c r="F322" s="3">
        <v>7.0999999999999994E-2</v>
      </c>
      <c r="G322" s="3">
        <v>14</v>
      </c>
      <c r="H322" s="3">
        <v>1</v>
      </c>
      <c r="I322" s="3">
        <v>0</v>
      </c>
      <c r="J322" s="3">
        <v>0</v>
      </c>
      <c r="K322" s="3">
        <v>0</v>
      </c>
      <c r="L322" s="3">
        <v>0</v>
      </c>
      <c r="M322" s="3">
        <v>1</v>
      </c>
      <c r="N322" s="3">
        <v>0</v>
      </c>
      <c r="O322" s="3">
        <v>2</v>
      </c>
      <c r="P322" s="3">
        <v>2</v>
      </c>
      <c r="Q322" s="3">
        <v>0</v>
      </c>
      <c r="R322" s="3">
        <v>0</v>
      </c>
      <c r="S322" s="6">
        <f>AH322/10</f>
        <v>6.4000000000000001E-2</v>
      </c>
      <c r="T322" s="3">
        <v>40</v>
      </c>
      <c r="U322" s="4">
        <f>(S322*2)+T322</f>
        <v>40.128</v>
      </c>
      <c r="V322" s="4">
        <f>S322+T322</f>
        <v>40.064</v>
      </c>
      <c r="W322" s="3"/>
      <c r="X322" s="3"/>
      <c r="Y322" s="3"/>
      <c r="Z322" s="3"/>
      <c r="AA322" s="3"/>
      <c r="AB322" s="3">
        <f>_xlfn.IFS(B322="c", 8, B322="ss", 10, B322="cf", 8,  B322="2b", 8, B322="3b", 6, B322="rf", 4, B322="lf", 2, B322="1b", 2, B322 ="dh", 1)</f>
        <v>2</v>
      </c>
      <c r="AC322" s="3">
        <f>(G322+N322+O322)</f>
        <v>16</v>
      </c>
      <c r="AD322" s="5">
        <f>P322/AC322</f>
        <v>0.125</v>
      </c>
      <c r="AE322" s="5">
        <f>(N322+O322)/AC322</f>
        <v>0.125</v>
      </c>
      <c r="AF322" s="4">
        <f>100-((AD322-AE322)*100)</f>
        <v>100</v>
      </c>
      <c r="AG322" s="3">
        <f>(F322-D322)*1000</f>
        <v>0</v>
      </c>
      <c r="AH322" s="3">
        <f>(((AF322+AG322)/2)*(AC322/100)*AB322)/C322</f>
        <v>0.64</v>
      </c>
    </row>
    <row r="323" spans="1:34" x14ac:dyDescent="0.35">
      <c r="A323" s="3" t="s">
        <v>145</v>
      </c>
      <c r="B323" s="3" t="s">
        <v>28</v>
      </c>
      <c r="C323" s="3">
        <v>26</v>
      </c>
      <c r="D323" s="3">
        <v>0.1</v>
      </c>
      <c r="E323" s="3">
        <v>0.217</v>
      </c>
      <c r="F323" s="3">
        <v>0.1</v>
      </c>
      <c r="G323" s="3">
        <v>20</v>
      </c>
      <c r="H323" s="3">
        <v>2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3</v>
      </c>
      <c r="P323" s="3">
        <v>10</v>
      </c>
      <c r="Q323" s="3">
        <v>0</v>
      </c>
      <c r="R323" s="3">
        <v>0</v>
      </c>
      <c r="S323" s="6">
        <f>AH323/10</f>
        <v>6.1538461538461542E-2</v>
      </c>
      <c r="T323" s="3">
        <v>40</v>
      </c>
      <c r="U323" s="4">
        <f>(S323*2)+T323</f>
        <v>40.123076923076923</v>
      </c>
      <c r="V323" s="4">
        <f>S323+T323</f>
        <v>40.061538461538461</v>
      </c>
      <c r="W323" s="3"/>
      <c r="X323" s="3"/>
      <c r="Y323" s="3"/>
      <c r="Z323" s="3"/>
      <c r="AA323" s="3"/>
      <c r="AB323" s="3">
        <f>_xlfn.IFS(B323="c", 8, B323="ss", 10, B323="cf", 8,  B323="2b", 8, B323="3b", 6, B323="rf", 4, B323="lf", 2, B323="1b", 2, B323 ="dh", 1)</f>
        <v>2</v>
      </c>
      <c r="AC323" s="3">
        <f>(G323+N323+O323)</f>
        <v>23</v>
      </c>
      <c r="AD323" s="5">
        <f>P323/AC323</f>
        <v>0.43478260869565216</v>
      </c>
      <c r="AE323" s="5">
        <f>(N323+O323)/AC323</f>
        <v>0.13043478260869565</v>
      </c>
      <c r="AF323" s="4">
        <f>100-((AD323-AE323)*100)</f>
        <v>69.565217391304344</v>
      </c>
      <c r="AG323" s="3">
        <f>(F323-D323)*1000</f>
        <v>0</v>
      </c>
      <c r="AH323" s="3">
        <f>(((AF323+AG323)/2)*(AC323/100)*AB323)/C323</f>
        <v>0.61538461538461542</v>
      </c>
    </row>
    <row r="324" spans="1:34" x14ac:dyDescent="0.35">
      <c r="A324" s="3" t="s">
        <v>142</v>
      </c>
      <c r="B324" s="3" t="s">
        <v>28</v>
      </c>
      <c r="C324" s="3">
        <v>26</v>
      </c>
      <c r="D324" s="3">
        <v>0.111</v>
      </c>
      <c r="E324" s="3">
        <v>0.111</v>
      </c>
      <c r="F324" s="3">
        <v>0.222</v>
      </c>
      <c r="G324" s="3">
        <v>9</v>
      </c>
      <c r="H324" s="3">
        <v>1</v>
      </c>
      <c r="I324" s="3">
        <v>1</v>
      </c>
      <c r="J324" s="3">
        <v>0</v>
      </c>
      <c r="K324" s="3">
        <v>0</v>
      </c>
      <c r="L324" s="3">
        <v>0</v>
      </c>
      <c r="M324" s="3">
        <v>2</v>
      </c>
      <c r="N324" s="3">
        <v>0</v>
      </c>
      <c r="O324" s="3">
        <v>0</v>
      </c>
      <c r="P324" s="3">
        <v>3</v>
      </c>
      <c r="Q324" s="3">
        <v>0</v>
      </c>
      <c r="R324" s="3">
        <v>0</v>
      </c>
      <c r="S324" s="6">
        <f>AH324/10</f>
        <v>6.1500000000000013E-2</v>
      </c>
      <c r="T324" s="3">
        <v>40</v>
      </c>
      <c r="U324" s="4">
        <f>(S324*2)+T324</f>
        <v>40.122999999999998</v>
      </c>
      <c r="V324" s="4">
        <f>S324+T324</f>
        <v>40.061500000000002</v>
      </c>
      <c r="W324" s="3"/>
      <c r="X324" s="3"/>
      <c r="Y324" s="3"/>
      <c r="Z324" s="3"/>
      <c r="AA324" s="3"/>
      <c r="AB324" s="3">
        <f>_xlfn.IFS(B324="c", 8, B324="ss", 10, B324="cf", 8,  B324="2b", 8, B324="3b", 6, B324="rf", 4, B324="lf", 2, B324="1b", 2, B324 ="dh", 1)</f>
        <v>2</v>
      </c>
      <c r="AC324" s="3">
        <f>(G324+N324+O324)</f>
        <v>9</v>
      </c>
      <c r="AD324" s="5">
        <f>P324/AC324</f>
        <v>0.33333333333333331</v>
      </c>
      <c r="AE324" s="5">
        <f>(N324+O324)/AC324</f>
        <v>0</v>
      </c>
      <c r="AF324" s="4">
        <f>100-((AD324-AE324)*100)</f>
        <v>66.666666666666671</v>
      </c>
      <c r="AG324" s="3">
        <f>(F324-D324)*1000</f>
        <v>111</v>
      </c>
      <c r="AH324" s="3">
        <f>(((AF324+AG324)/2)*(AC324/100)*AB324)/C324</f>
        <v>0.6150000000000001</v>
      </c>
    </row>
    <row r="325" spans="1:34" x14ac:dyDescent="0.35">
      <c r="A325" s="3" t="s">
        <v>374</v>
      </c>
      <c r="B325" s="3" t="s">
        <v>20</v>
      </c>
      <c r="C325" s="3">
        <v>41</v>
      </c>
      <c r="D325" s="3">
        <v>0.111</v>
      </c>
      <c r="E325" s="3">
        <v>0.2</v>
      </c>
      <c r="F325" s="3">
        <v>0.13900000000000001</v>
      </c>
      <c r="G325" s="3">
        <v>36</v>
      </c>
      <c r="H325" s="3">
        <v>4</v>
      </c>
      <c r="I325" s="3">
        <v>1</v>
      </c>
      <c r="J325" s="3">
        <v>0</v>
      </c>
      <c r="K325" s="3">
        <v>0</v>
      </c>
      <c r="L325" s="3">
        <v>2</v>
      </c>
      <c r="M325" s="3">
        <v>3</v>
      </c>
      <c r="N325" s="3">
        <v>0</v>
      </c>
      <c r="O325" s="3">
        <v>4</v>
      </c>
      <c r="P325" s="3">
        <v>8</v>
      </c>
      <c r="Q325" s="3">
        <v>0</v>
      </c>
      <c r="R325" s="3">
        <v>0</v>
      </c>
      <c r="S325" s="6">
        <f>AH325/10</f>
        <v>5.7560975609756107E-2</v>
      </c>
      <c r="T325" s="3">
        <v>40</v>
      </c>
      <c r="U325" s="4">
        <f>(S325*2)+T325</f>
        <v>40.115121951219514</v>
      </c>
      <c r="V325" s="4">
        <f>S325+T325</f>
        <v>40.057560975609753</v>
      </c>
      <c r="W325" s="3"/>
      <c r="X325" s="3"/>
      <c r="Y325" s="3"/>
      <c r="Z325" s="3"/>
      <c r="AA325" s="3"/>
      <c r="AB325" s="3">
        <f>_xlfn.IFS(B325="c", 8, B325="ss", 10, B325="cf", 8,  B325="2b", 8, B325="3b", 6, B325="rf", 4, B325="lf", 2, B325="1b", 2, B325 ="dh", 1)</f>
        <v>1</v>
      </c>
      <c r="AC325" s="3">
        <f>(G325+N325+O325)</f>
        <v>40</v>
      </c>
      <c r="AD325" s="5">
        <f>P325/AC325</f>
        <v>0.2</v>
      </c>
      <c r="AE325" s="5">
        <f>(N325+O325)/AC325</f>
        <v>0.1</v>
      </c>
      <c r="AF325" s="4">
        <f>100-((AD325-AE325)*100)</f>
        <v>90</v>
      </c>
      <c r="AG325" s="3">
        <f>(F325-D325)*1000</f>
        <v>28.000000000000011</v>
      </c>
      <c r="AH325" s="3">
        <f>(((AF325+AG325)/2)*(AC325/100)*AB325)/C325</f>
        <v>0.57560975609756104</v>
      </c>
    </row>
    <row r="326" spans="1:34" x14ac:dyDescent="0.35">
      <c r="A326" s="3" t="s">
        <v>262</v>
      </c>
      <c r="B326" s="3" t="s">
        <v>59</v>
      </c>
      <c r="C326" s="3">
        <v>29</v>
      </c>
      <c r="D326" s="3">
        <v>0.66700000000000004</v>
      </c>
      <c r="E326" s="3">
        <v>0.75</v>
      </c>
      <c r="F326" s="3">
        <v>0.66700000000000004</v>
      </c>
      <c r="G326" s="3">
        <v>3</v>
      </c>
      <c r="H326" s="3">
        <v>2</v>
      </c>
      <c r="I326" s="3">
        <v>0</v>
      </c>
      <c r="J326" s="3">
        <v>0</v>
      </c>
      <c r="K326" s="3">
        <v>0</v>
      </c>
      <c r="L326" s="3">
        <v>2</v>
      </c>
      <c r="M326" s="3">
        <v>0</v>
      </c>
      <c r="N326" s="3">
        <v>0</v>
      </c>
      <c r="O326" s="3">
        <v>1</v>
      </c>
      <c r="P326" s="3">
        <v>1</v>
      </c>
      <c r="Q326" s="3">
        <v>1</v>
      </c>
      <c r="R326" s="3">
        <v>0</v>
      </c>
      <c r="S326" s="6">
        <f>AH326/10</f>
        <v>5.5172413793103448E-2</v>
      </c>
      <c r="T326" s="3">
        <v>40</v>
      </c>
      <c r="U326" s="4">
        <f>(S326*2)+T326</f>
        <v>40.110344827586204</v>
      </c>
      <c r="V326" s="4">
        <f>S326+T326</f>
        <v>40.055172413793102</v>
      </c>
      <c r="W326" s="3"/>
      <c r="X326" s="3"/>
      <c r="Y326" s="3"/>
      <c r="Z326" s="3"/>
      <c r="AA326" s="3"/>
      <c r="AB326" s="3">
        <f>_xlfn.IFS(B326="c", 8, B326="ss", 10, B326="cf", 8,  B326="2b", 8, B326="3b", 6, B326="rf", 4, B326="lf", 2, B326="1b", 2, B326 ="dh", 1)</f>
        <v>8</v>
      </c>
      <c r="AC326" s="3">
        <f>(G326+N326+O326)</f>
        <v>4</v>
      </c>
      <c r="AD326" s="5">
        <f>P326/AC326</f>
        <v>0.25</v>
      </c>
      <c r="AE326" s="5">
        <f>(N326+O326)/AC326</f>
        <v>0.25</v>
      </c>
      <c r="AF326" s="4">
        <f>100-((AD326-AE326)*100)</f>
        <v>100</v>
      </c>
      <c r="AG326" s="3">
        <f>(F326-D326)*1000</f>
        <v>0</v>
      </c>
      <c r="AH326" s="3">
        <f>(((AF326+AG326)/2)*(AC326/100)*AB326)/C326</f>
        <v>0.55172413793103448</v>
      </c>
    </row>
    <row r="327" spans="1:34" x14ac:dyDescent="0.35">
      <c r="A327" s="3" t="s">
        <v>161</v>
      </c>
      <c r="B327" s="3" t="s">
        <v>22</v>
      </c>
      <c r="C327" s="3">
        <v>26</v>
      </c>
      <c r="D327" s="3">
        <v>0.125</v>
      </c>
      <c r="E327" s="3">
        <v>0.125</v>
      </c>
      <c r="F327" s="3">
        <v>0.125</v>
      </c>
      <c r="G327" s="3">
        <v>8</v>
      </c>
      <c r="H327" s="3">
        <v>1</v>
      </c>
      <c r="I327" s="3">
        <v>0</v>
      </c>
      <c r="J327" s="3">
        <v>0</v>
      </c>
      <c r="K327" s="3">
        <v>0</v>
      </c>
      <c r="L327" s="3">
        <v>1</v>
      </c>
      <c r="M327" s="3">
        <v>0</v>
      </c>
      <c r="N327" s="3">
        <v>0</v>
      </c>
      <c r="O327" s="3">
        <v>0</v>
      </c>
      <c r="P327" s="3">
        <v>1</v>
      </c>
      <c r="Q327" s="3">
        <v>0</v>
      </c>
      <c r="R327" s="3">
        <v>0</v>
      </c>
      <c r="S327" s="6">
        <f>AH327/10</f>
        <v>5.3846153846153842E-2</v>
      </c>
      <c r="T327" s="3">
        <v>40</v>
      </c>
      <c r="U327" s="4">
        <f>(S327*2)+T327</f>
        <v>40.107692307692311</v>
      </c>
      <c r="V327" s="4">
        <f>S327+T327</f>
        <v>40.053846153846152</v>
      </c>
      <c r="W327" s="3"/>
      <c r="X327" s="3"/>
      <c r="Y327" s="3"/>
      <c r="Z327" s="3"/>
      <c r="AA327" s="3"/>
      <c r="AB327" s="3">
        <f>_xlfn.IFS(B327="c", 8, B327="ss", 10, B327="cf", 8,  B327="2b", 8, B327="3b", 6, B327="rf", 4, B327="lf", 2, B327="1b", 2, B327 ="dh", 1)</f>
        <v>4</v>
      </c>
      <c r="AC327" s="3">
        <f>(G327+N327+O327)</f>
        <v>8</v>
      </c>
      <c r="AD327" s="5">
        <f>P327/AC327</f>
        <v>0.125</v>
      </c>
      <c r="AE327" s="5">
        <f>(N327+O327)/AC327</f>
        <v>0</v>
      </c>
      <c r="AF327" s="4">
        <f>100-((AD327-AE327)*100)</f>
        <v>87.5</v>
      </c>
      <c r="AG327" s="3">
        <f>(F327-D327)*1000</f>
        <v>0</v>
      </c>
      <c r="AH327" s="3">
        <f>(((AF327+AG327)/2)*(AC327/100)*AB327)/C327</f>
        <v>0.53846153846153844</v>
      </c>
    </row>
    <row r="328" spans="1:34" x14ac:dyDescent="0.35">
      <c r="A328" s="3" t="s">
        <v>101</v>
      </c>
      <c r="B328" s="3" t="s">
        <v>59</v>
      </c>
      <c r="C328" s="3">
        <v>25</v>
      </c>
      <c r="D328" s="3">
        <v>0</v>
      </c>
      <c r="E328" s="3">
        <v>0</v>
      </c>
      <c r="F328" s="3">
        <v>0</v>
      </c>
      <c r="G328" s="3">
        <v>5</v>
      </c>
      <c r="H328" s="3">
        <v>0</v>
      </c>
      <c r="I328" s="3">
        <v>0</v>
      </c>
      <c r="J328" s="3">
        <v>0</v>
      </c>
      <c r="K328" s="3">
        <v>0</v>
      </c>
      <c r="L328" s="3">
        <v>1</v>
      </c>
      <c r="M328" s="3">
        <v>0</v>
      </c>
      <c r="N328" s="3">
        <v>0</v>
      </c>
      <c r="O328" s="3">
        <v>0</v>
      </c>
      <c r="P328" s="3">
        <v>2</v>
      </c>
      <c r="Q328" s="3">
        <v>0</v>
      </c>
      <c r="R328" s="3">
        <v>0</v>
      </c>
      <c r="S328" s="6">
        <f>AH328/10</f>
        <v>4.8000000000000001E-2</v>
      </c>
      <c r="T328" s="3">
        <v>40</v>
      </c>
      <c r="U328" s="4">
        <f>(S328*2)+T328</f>
        <v>40.095999999999997</v>
      </c>
      <c r="V328" s="4">
        <f>S328+T328</f>
        <v>40.048000000000002</v>
      </c>
      <c r="W328" s="3"/>
      <c r="X328" s="3"/>
      <c r="Y328" s="3"/>
      <c r="Z328" s="3"/>
      <c r="AA328" s="3"/>
      <c r="AB328" s="3">
        <f>_xlfn.IFS(B328="c", 8, B328="ss", 10, B328="cf", 8,  B328="2b", 8, B328="3b", 6, B328="rf", 4, B328="lf", 2, B328="1b", 2, B328 ="dh", 1)</f>
        <v>8</v>
      </c>
      <c r="AC328" s="3">
        <f>(G328+N328+O328)</f>
        <v>5</v>
      </c>
      <c r="AD328" s="5">
        <f>P328/AC328</f>
        <v>0.4</v>
      </c>
      <c r="AE328" s="5">
        <f>(N328+O328)/AC328</f>
        <v>0</v>
      </c>
      <c r="AF328" s="4">
        <f>100-((AD328-AE328)*100)</f>
        <v>60</v>
      </c>
      <c r="AG328" s="3">
        <f>(F328-D328)*1000</f>
        <v>0</v>
      </c>
      <c r="AH328" s="3">
        <f>(((AF328+AG328)/2)*(AC328/100)*AB328)/C328</f>
        <v>0.48</v>
      </c>
    </row>
    <row r="329" spans="1:34" x14ac:dyDescent="0.35">
      <c r="A329" s="3" t="s">
        <v>187</v>
      </c>
      <c r="B329" s="3" t="s">
        <v>47</v>
      </c>
      <c r="C329" s="3">
        <v>27</v>
      </c>
      <c r="D329" s="3">
        <v>8.3000000000000004E-2</v>
      </c>
      <c r="E329" s="3">
        <v>0.26700000000000002</v>
      </c>
      <c r="F329" s="3">
        <v>8.3000000000000004E-2</v>
      </c>
      <c r="G329" s="3">
        <v>12</v>
      </c>
      <c r="H329" s="3">
        <v>1</v>
      </c>
      <c r="I329" s="3">
        <v>0</v>
      </c>
      <c r="J329" s="3">
        <v>0</v>
      </c>
      <c r="K329" s="3">
        <v>0</v>
      </c>
      <c r="L329" s="3">
        <v>3</v>
      </c>
      <c r="M329" s="3">
        <v>0</v>
      </c>
      <c r="N329" s="3">
        <v>2</v>
      </c>
      <c r="O329" s="3">
        <v>1</v>
      </c>
      <c r="P329" s="3">
        <v>6</v>
      </c>
      <c r="Q329" s="3">
        <v>0</v>
      </c>
      <c r="R329" s="3">
        <v>0</v>
      </c>
      <c r="S329" s="6">
        <f>AH329/10</f>
        <v>4.4444444444444439E-2</v>
      </c>
      <c r="T329" s="3">
        <v>40</v>
      </c>
      <c r="U329" s="4">
        <f>(S329*2)+T329</f>
        <v>40.088888888888889</v>
      </c>
      <c r="V329" s="4">
        <f>S329+T329</f>
        <v>40.044444444444444</v>
      </c>
      <c r="W329" s="3"/>
      <c r="X329" s="3"/>
      <c r="Y329" s="3"/>
      <c r="Z329" s="3"/>
      <c r="AA329" s="3"/>
      <c r="AB329" s="3">
        <f>_xlfn.IFS(B329="c", 8, B329="ss", 10, B329="cf", 8,  B329="2b", 8, B329="3b", 6, B329="rf", 4, B329="lf", 2, B329="1b", 2, B329 ="dh", 1)</f>
        <v>2</v>
      </c>
      <c r="AC329" s="3">
        <f>(G329+N329+O329)</f>
        <v>15</v>
      </c>
      <c r="AD329" s="5">
        <f>P329/AC329</f>
        <v>0.4</v>
      </c>
      <c r="AE329" s="5">
        <f>(N329+O329)/AC329</f>
        <v>0.2</v>
      </c>
      <c r="AF329" s="4">
        <f>100-((AD329-AE329)*100)</f>
        <v>80</v>
      </c>
      <c r="AG329" s="3">
        <f>(F329-D329)*1000</f>
        <v>0</v>
      </c>
      <c r="AH329" s="3">
        <f>(((AF329+AG329)/2)*(AC329/100)*AB329)/C329</f>
        <v>0.44444444444444442</v>
      </c>
    </row>
    <row r="330" spans="1:34" x14ac:dyDescent="0.35">
      <c r="A330" s="3" t="s">
        <v>243</v>
      </c>
      <c r="B330" s="3" t="s">
        <v>18</v>
      </c>
      <c r="C330" s="3">
        <v>28</v>
      </c>
      <c r="D330" s="3">
        <v>0</v>
      </c>
      <c r="E330" s="3">
        <v>0</v>
      </c>
      <c r="F330" s="3">
        <v>0</v>
      </c>
      <c r="G330" s="3">
        <v>3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6">
        <f>AH330/10</f>
        <v>4.2857142857142858E-2</v>
      </c>
      <c r="T330" s="3">
        <v>40</v>
      </c>
      <c r="U330" s="4">
        <f>(S330*2)+T330</f>
        <v>40.085714285714289</v>
      </c>
      <c r="V330" s="4">
        <f>S330+T330</f>
        <v>40.042857142857144</v>
      </c>
      <c r="W330" s="3"/>
      <c r="X330" s="3"/>
      <c r="Y330" s="3"/>
      <c r="Z330" s="3"/>
      <c r="AA330" s="3"/>
      <c r="AB330" s="3">
        <f>_xlfn.IFS(B330="c", 8, B330="ss", 10, B330="cf", 8,  B330="2b", 8, B330="3b", 6, B330="rf", 4, B330="lf", 2, B330="1b", 2, B330 ="dh", 1)</f>
        <v>8</v>
      </c>
      <c r="AC330" s="3">
        <f>(G330+N330+O330)</f>
        <v>3</v>
      </c>
      <c r="AD330" s="5">
        <f>P330/AC330</f>
        <v>0</v>
      </c>
      <c r="AE330" s="5">
        <f>(N330+O330)/AC330</f>
        <v>0</v>
      </c>
      <c r="AF330" s="4">
        <f>100-((AD330-AE330)*100)</f>
        <v>100</v>
      </c>
      <c r="AG330" s="3">
        <f>(F330-D330)*1000</f>
        <v>0</v>
      </c>
      <c r="AH330" s="3">
        <f>(((AF330+AG330)/2)*(AC330/100)*AB330)/C330</f>
        <v>0.42857142857142855</v>
      </c>
    </row>
    <row r="331" spans="1:34" x14ac:dyDescent="0.35">
      <c r="A331" s="3" t="s">
        <v>133</v>
      </c>
      <c r="B331" s="3" t="s">
        <v>20</v>
      </c>
      <c r="C331" s="3">
        <v>26</v>
      </c>
      <c r="D331" s="3">
        <v>0</v>
      </c>
      <c r="E331" s="3">
        <v>0.222</v>
      </c>
      <c r="F331" s="3">
        <v>0</v>
      </c>
      <c r="G331" s="3">
        <v>21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6</v>
      </c>
      <c r="P331" s="3">
        <v>11</v>
      </c>
      <c r="Q331" s="3">
        <v>0</v>
      </c>
      <c r="R331" s="3">
        <v>0</v>
      </c>
      <c r="S331" s="6">
        <f>AH331/10</f>
        <v>4.230769230769231E-2</v>
      </c>
      <c r="T331" s="3">
        <v>40</v>
      </c>
      <c r="U331" s="4">
        <f>(S331*2)+T331</f>
        <v>40.084615384615383</v>
      </c>
      <c r="V331" s="4">
        <f>S331+T331</f>
        <v>40.042307692307695</v>
      </c>
      <c r="W331" s="3"/>
      <c r="X331" s="3"/>
      <c r="Y331" s="3"/>
      <c r="Z331" s="3"/>
      <c r="AA331" s="3"/>
      <c r="AB331" s="3">
        <f>_xlfn.IFS(B331="c", 8, B331="ss", 10, B331="cf", 8,  B331="2b", 8, B331="3b", 6, B331="rf", 4, B331="lf", 2, B331="1b", 2, B331 ="dh", 1)</f>
        <v>1</v>
      </c>
      <c r="AC331" s="3">
        <f>(G331+N331+O331)</f>
        <v>27</v>
      </c>
      <c r="AD331" s="5">
        <f>P331/AC331</f>
        <v>0.40740740740740738</v>
      </c>
      <c r="AE331" s="5">
        <f>(N331+O331)/AC331</f>
        <v>0.22222222222222221</v>
      </c>
      <c r="AF331" s="4">
        <f>100-((AD331-AE331)*100)</f>
        <v>81.481481481481481</v>
      </c>
      <c r="AG331" s="3">
        <f>(F331-D331)*1000</f>
        <v>0</v>
      </c>
      <c r="AH331" s="3">
        <f>(((AF331+AG331)/2)*(AC331/100)*AB331)/C331</f>
        <v>0.42307692307692307</v>
      </c>
    </row>
    <row r="332" spans="1:34" x14ac:dyDescent="0.35">
      <c r="A332" s="3" t="s">
        <v>298</v>
      </c>
      <c r="B332" s="3" t="s">
        <v>18</v>
      </c>
      <c r="C332" s="3">
        <v>30</v>
      </c>
      <c r="D332" s="3">
        <v>0.28599999999999998</v>
      </c>
      <c r="E332" s="3">
        <v>0.28599999999999998</v>
      </c>
      <c r="F332" s="3">
        <v>0.28599999999999998</v>
      </c>
      <c r="G332" s="3">
        <v>7</v>
      </c>
      <c r="H332" s="3">
        <v>2</v>
      </c>
      <c r="I332" s="3">
        <v>0</v>
      </c>
      <c r="J332" s="3">
        <v>0</v>
      </c>
      <c r="K332" s="3">
        <v>0</v>
      </c>
      <c r="L332" s="3">
        <v>2</v>
      </c>
      <c r="M332" s="3">
        <v>0</v>
      </c>
      <c r="N332" s="3">
        <v>0</v>
      </c>
      <c r="O332" s="3">
        <v>0</v>
      </c>
      <c r="P332" s="3">
        <v>4</v>
      </c>
      <c r="Q332" s="3">
        <v>0</v>
      </c>
      <c r="R332" s="3">
        <v>0</v>
      </c>
      <c r="S332" s="6">
        <f>AH332/10</f>
        <v>4.0000000000000008E-2</v>
      </c>
      <c r="T332" s="3">
        <v>40</v>
      </c>
      <c r="U332" s="4">
        <f>(S332*2)+T332</f>
        <v>40.08</v>
      </c>
      <c r="V332" s="4">
        <f>S332+T332</f>
        <v>40.04</v>
      </c>
      <c r="W332" s="3"/>
      <c r="X332" s="3"/>
      <c r="Y332" s="3"/>
      <c r="Z332" s="3"/>
      <c r="AA332" s="3"/>
      <c r="AB332" s="3">
        <f>_xlfn.IFS(B332="c", 8, B332="ss", 10, B332="cf", 8,  B332="2b", 8, B332="3b", 6, B332="rf", 4, B332="lf", 2, B332="1b", 2, B332 ="dh", 1)</f>
        <v>8</v>
      </c>
      <c r="AC332" s="3">
        <f>(G332+N332+O332)</f>
        <v>7</v>
      </c>
      <c r="AD332" s="5">
        <f>P332/AC332</f>
        <v>0.5714285714285714</v>
      </c>
      <c r="AE332" s="5">
        <f>(N332+O332)/AC332</f>
        <v>0</v>
      </c>
      <c r="AF332" s="4">
        <f>100-((AD332-AE332)*100)</f>
        <v>42.857142857142861</v>
      </c>
      <c r="AG332" s="3">
        <f>(F332-D332)*1000</f>
        <v>0</v>
      </c>
      <c r="AH332" s="3">
        <f>(((AF332+AG332)/2)*(AC332/100)*AB332)/C332</f>
        <v>0.40000000000000008</v>
      </c>
    </row>
    <row r="333" spans="1:34" x14ac:dyDescent="0.35">
      <c r="A333" s="3" t="s">
        <v>251</v>
      </c>
      <c r="B333" s="3" t="s">
        <v>47</v>
      </c>
      <c r="C333" s="3">
        <v>29</v>
      </c>
      <c r="D333" s="3">
        <v>0.11799999999999999</v>
      </c>
      <c r="E333" s="3">
        <v>0.111</v>
      </c>
      <c r="F333" s="3">
        <v>0.11799999999999999</v>
      </c>
      <c r="G333" s="3">
        <v>17</v>
      </c>
      <c r="H333" s="3">
        <v>2</v>
      </c>
      <c r="I333" s="3">
        <v>0</v>
      </c>
      <c r="J333" s="3">
        <v>0</v>
      </c>
      <c r="K333" s="3">
        <v>0</v>
      </c>
      <c r="L333" s="3">
        <v>1</v>
      </c>
      <c r="M333" s="3">
        <v>1</v>
      </c>
      <c r="N333" s="3">
        <v>0</v>
      </c>
      <c r="O333" s="3">
        <v>0</v>
      </c>
      <c r="P333" s="3">
        <v>6</v>
      </c>
      <c r="Q333" s="3">
        <v>1</v>
      </c>
      <c r="R333" s="3">
        <v>0</v>
      </c>
      <c r="S333" s="6">
        <f>AH333/10</f>
        <v>3.793103448275862E-2</v>
      </c>
      <c r="T333" s="3">
        <v>40</v>
      </c>
      <c r="U333" s="4">
        <f>(S333*2)+T333</f>
        <v>40.07586206896552</v>
      </c>
      <c r="V333" s="4">
        <f>S333+T333</f>
        <v>40.03793103448276</v>
      </c>
      <c r="W333" s="3"/>
      <c r="X333" s="3"/>
      <c r="Y333" s="3"/>
      <c r="Z333" s="3"/>
      <c r="AA333" s="3"/>
      <c r="AB333" s="3">
        <f>_xlfn.IFS(B333="c", 8, B333="ss", 10, B333="cf", 8,  B333="2b", 8, B333="3b", 6, B333="rf", 4, B333="lf", 2, B333="1b", 2, B333 ="dh", 1)</f>
        <v>2</v>
      </c>
      <c r="AC333" s="3">
        <f>(G333+N333+O333)</f>
        <v>17</v>
      </c>
      <c r="AD333" s="5">
        <f>P333/AC333</f>
        <v>0.35294117647058826</v>
      </c>
      <c r="AE333" s="5">
        <f>(N333+O333)/AC333</f>
        <v>0</v>
      </c>
      <c r="AF333" s="4">
        <f>100-((AD333-AE333)*100)</f>
        <v>64.705882352941174</v>
      </c>
      <c r="AG333" s="3">
        <f>(F333-D333)*1000</f>
        <v>0</v>
      </c>
      <c r="AH333" s="3">
        <f>(((AF333+AG333)/2)*(AC333/100)*AB333)/C333</f>
        <v>0.37931034482758619</v>
      </c>
    </row>
    <row r="334" spans="1:34" x14ac:dyDescent="0.35">
      <c r="A334" s="3" t="s">
        <v>345</v>
      </c>
      <c r="B334" s="3" t="s">
        <v>22</v>
      </c>
      <c r="C334" s="3">
        <v>33</v>
      </c>
      <c r="D334" s="3">
        <v>0.125</v>
      </c>
      <c r="E334" s="3">
        <v>0.125</v>
      </c>
      <c r="F334" s="3">
        <v>0.125</v>
      </c>
      <c r="G334" s="3">
        <v>8</v>
      </c>
      <c r="H334" s="3">
        <v>1</v>
      </c>
      <c r="I334" s="3">
        <v>0</v>
      </c>
      <c r="J334" s="3">
        <v>0</v>
      </c>
      <c r="K334" s="3">
        <v>0</v>
      </c>
      <c r="L334" s="3">
        <v>1</v>
      </c>
      <c r="M334" s="3">
        <v>0</v>
      </c>
      <c r="N334" s="3">
        <v>0</v>
      </c>
      <c r="O334" s="3">
        <v>0</v>
      </c>
      <c r="P334" s="3">
        <v>2</v>
      </c>
      <c r="Q334" s="3">
        <v>0</v>
      </c>
      <c r="R334" s="3">
        <v>0</v>
      </c>
      <c r="S334" s="6">
        <f>AH334/10</f>
        <v>3.6363636363636362E-2</v>
      </c>
      <c r="T334" s="3">
        <v>40</v>
      </c>
      <c r="U334" s="4">
        <f>(S334*2)+T334</f>
        <v>40.072727272727271</v>
      </c>
      <c r="V334" s="4">
        <f>S334+T334</f>
        <v>40.036363636363639</v>
      </c>
      <c r="W334" s="3"/>
      <c r="X334" s="3"/>
      <c r="Y334" s="3"/>
      <c r="Z334" s="3"/>
      <c r="AA334" s="3"/>
      <c r="AB334" s="3">
        <f>_xlfn.IFS(B334="c", 8, B334="ss", 10, B334="cf", 8,  B334="2b", 8, B334="3b", 6, B334="rf", 4, B334="lf", 2, B334="1b", 2, B334 ="dh", 1)</f>
        <v>4</v>
      </c>
      <c r="AC334" s="3">
        <f>(G334+N334+O334)</f>
        <v>8</v>
      </c>
      <c r="AD334" s="5">
        <f>P334/AC334</f>
        <v>0.25</v>
      </c>
      <c r="AE334" s="5">
        <f>(N334+O334)/AC334</f>
        <v>0</v>
      </c>
      <c r="AF334" s="4">
        <f>100-((AD334-AE334)*100)</f>
        <v>75</v>
      </c>
      <c r="AG334" s="3">
        <f>(F334-D334)*1000</f>
        <v>0</v>
      </c>
      <c r="AH334" s="3">
        <f>(((AF334+AG334)/2)*(AC334/100)*AB334)/C334</f>
        <v>0.36363636363636365</v>
      </c>
    </row>
    <row r="335" spans="1:34" x14ac:dyDescent="0.35">
      <c r="A335" s="3" t="s">
        <v>116</v>
      </c>
      <c r="B335" s="3" t="s">
        <v>32</v>
      </c>
      <c r="C335" s="3">
        <v>25</v>
      </c>
      <c r="D335" s="3">
        <v>0.5</v>
      </c>
      <c r="E335" s="3">
        <v>0.5</v>
      </c>
      <c r="F335" s="3">
        <v>0.5</v>
      </c>
      <c r="G335" s="3">
        <v>4</v>
      </c>
      <c r="H335" s="3">
        <v>2</v>
      </c>
      <c r="I335" s="3">
        <v>0</v>
      </c>
      <c r="J335" s="3">
        <v>0</v>
      </c>
      <c r="K335" s="3">
        <v>0</v>
      </c>
      <c r="L335" s="3">
        <v>1</v>
      </c>
      <c r="M335" s="3">
        <v>0</v>
      </c>
      <c r="N335" s="3">
        <v>0</v>
      </c>
      <c r="O335" s="3">
        <v>0</v>
      </c>
      <c r="P335" s="3">
        <v>1</v>
      </c>
      <c r="Q335" s="3">
        <v>0</v>
      </c>
      <c r="R335" s="3">
        <v>0</v>
      </c>
      <c r="S335" s="6">
        <f>AH335/10</f>
        <v>3.5999999999999997E-2</v>
      </c>
      <c r="T335" s="3">
        <v>40</v>
      </c>
      <c r="U335" s="4">
        <f>(S335*2)+T335</f>
        <v>40.072000000000003</v>
      </c>
      <c r="V335" s="4">
        <f>S335+T335</f>
        <v>40.036000000000001</v>
      </c>
      <c r="W335" s="3"/>
      <c r="X335" s="3"/>
      <c r="Y335" s="3"/>
      <c r="Z335" s="3"/>
      <c r="AA335" s="3"/>
      <c r="AB335" s="3">
        <f>_xlfn.IFS(B335="c", 8, B335="ss", 10, B335="cf", 8,  B335="2b", 8, B335="3b", 6, B335="rf", 4, B335="lf", 2, B335="1b", 2, B335 ="dh", 1)</f>
        <v>6</v>
      </c>
      <c r="AC335" s="3">
        <f>(G335+N335+O335)</f>
        <v>4</v>
      </c>
      <c r="AD335" s="5">
        <f>P335/AC335</f>
        <v>0.25</v>
      </c>
      <c r="AE335" s="5">
        <f>(N335+O335)/AC335</f>
        <v>0</v>
      </c>
      <c r="AF335" s="4">
        <f>100-((AD335-AE335)*100)</f>
        <v>75</v>
      </c>
      <c r="AG335" s="3">
        <f>(F335-D335)*1000</f>
        <v>0</v>
      </c>
      <c r="AH335" s="3">
        <f>(((AF335+AG335)/2)*(AC335/100)*AB335)/C335</f>
        <v>0.36</v>
      </c>
    </row>
    <row r="336" spans="1:34" x14ac:dyDescent="0.35">
      <c r="A336" s="3" t="s">
        <v>210</v>
      </c>
      <c r="B336" s="3" t="s">
        <v>28</v>
      </c>
      <c r="C336" s="3">
        <v>28</v>
      </c>
      <c r="D336" s="3">
        <v>0.17599999999999999</v>
      </c>
      <c r="E336" s="3">
        <v>0.17599999999999999</v>
      </c>
      <c r="F336" s="3">
        <v>0.17599999999999999</v>
      </c>
      <c r="G336" s="3">
        <v>17</v>
      </c>
      <c r="H336" s="3">
        <v>3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8</v>
      </c>
      <c r="Q336" s="3">
        <v>0</v>
      </c>
      <c r="R336" s="3">
        <v>0</v>
      </c>
      <c r="S336" s="6">
        <f>AH336/10</f>
        <v>3.2142857142857154E-2</v>
      </c>
      <c r="T336" s="3">
        <v>40</v>
      </c>
      <c r="U336" s="4">
        <f>(S336*2)+T336</f>
        <v>40.064285714285717</v>
      </c>
      <c r="V336" s="4">
        <f>S336+T336</f>
        <v>40.032142857142858</v>
      </c>
      <c r="W336" s="3"/>
      <c r="X336" s="3"/>
      <c r="Y336" s="3"/>
      <c r="Z336" s="3"/>
      <c r="AA336" s="3"/>
      <c r="AB336" s="3">
        <f>_xlfn.IFS(B336="c", 8, B336="ss", 10, B336="cf", 8,  B336="2b", 8, B336="3b", 6, B336="rf", 4, B336="lf", 2, B336="1b", 2, B336 ="dh", 1)</f>
        <v>2</v>
      </c>
      <c r="AC336" s="3">
        <f>(G336+N336+O336)</f>
        <v>17</v>
      </c>
      <c r="AD336" s="5">
        <f>P336/AC336</f>
        <v>0.47058823529411764</v>
      </c>
      <c r="AE336" s="5">
        <f>(N336+O336)/AC336</f>
        <v>0</v>
      </c>
      <c r="AF336" s="4">
        <f>100-((AD336-AE336)*100)</f>
        <v>52.941176470588239</v>
      </c>
      <c r="AG336" s="3">
        <f>(F336-D336)*1000</f>
        <v>0</v>
      </c>
      <c r="AH336" s="3">
        <f>(((AF336+AG336)/2)*(AC336/100)*AB336)/C336</f>
        <v>0.32142857142857151</v>
      </c>
    </row>
    <row r="337" spans="1:34" x14ac:dyDescent="0.35">
      <c r="A337" s="3" t="s">
        <v>303</v>
      </c>
      <c r="B337" s="3" t="s">
        <v>28</v>
      </c>
      <c r="C337" s="3">
        <v>30</v>
      </c>
      <c r="D337" s="3">
        <v>9.0999999999999998E-2</v>
      </c>
      <c r="E337" s="3">
        <v>9.0999999999999998E-2</v>
      </c>
      <c r="F337" s="3">
        <v>9.0999999999999998E-2</v>
      </c>
      <c r="G337" s="3">
        <v>11</v>
      </c>
      <c r="H337" s="3">
        <v>1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2</v>
      </c>
      <c r="Q337" s="3">
        <v>0</v>
      </c>
      <c r="R337" s="3">
        <v>0</v>
      </c>
      <c r="S337" s="6">
        <f>AH337/10</f>
        <v>0.03</v>
      </c>
      <c r="T337" s="3">
        <v>40</v>
      </c>
      <c r="U337" s="4">
        <f>(S337*2)+T337</f>
        <v>40.06</v>
      </c>
      <c r="V337" s="4">
        <f>S337+T337</f>
        <v>40.03</v>
      </c>
      <c r="W337" s="3"/>
      <c r="X337" s="3"/>
      <c r="Y337" s="3"/>
      <c r="Z337" s="3"/>
      <c r="AA337" s="3"/>
      <c r="AB337" s="3">
        <f>_xlfn.IFS(B337="c", 8, B337="ss", 10, B337="cf", 8,  B337="2b", 8, B337="3b", 6, B337="rf", 4, B337="lf", 2, B337="1b", 2, B337 ="dh", 1)</f>
        <v>2</v>
      </c>
      <c r="AC337" s="3">
        <f>(G337+N337+O337)</f>
        <v>11</v>
      </c>
      <c r="AD337" s="5">
        <f>P337/AC337</f>
        <v>0.18181818181818182</v>
      </c>
      <c r="AE337" s="5">
        <f>(N337+O337)/AC337</f>
        <v>0</v>
      </c>
      <c r="AF337" s="4">
        <f>100-((AD337-AE337)*100)</f>
        <v>81.818181818181813</v>
      </c>
      <c r="AG337" s="3">
        <f>(F337-D337)*1000</f>
        <v>0</v>
      </c>
      <c r="AH337" s="3">
        <f>(((AF337+AG337)/2)*(AC337/100)*AB337)/C337</f>
        <v>0.3</v>
      </c>
    </row>
    <row r="338" spans="1:34" x14ac:dyDescent="0.35">
      <c r="A338" s="3" t="s">
        <v>212</v>
      </c>
      <c r="B338" s="3" t="s">
        <v>18</v>
      </c>
      <c r="C338" s="3">
        <v>28</v>
      </c>
      <c r="D338" s="3">
        <v>0</v>
      </c>
      <c r="E338" s="3">
        <v>0.5</v>
      </c>
      <c r="F338" s="3">
        <v>0</v>
      </c>
      <c r="G338" s="3">
        <v>1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1</v>
      </c>
      <c r="O338" s="3">
        <v>0</v>
      </c>
      <c r="P338" s="3">
        <v>1</v>
      </c>
      <c r="Q338" s="3">
        <v>0</v>
      </c>
      <c r="R338" s="3">
        <v>0</v>
      </c>
      <c r="S338" s="6">
        <f>AH338/10</f>
        <v>2.8571428571428571E-2</v>
      </c>
      <c r="T338" s="3">
        <v>40</v>
      </c>
      <c r="U338" s="4">
        <f>(S338*2)+T338</f>
        <v>40.057142857142857</v>
      </c>
      <c r="V338" s="4">
        <f>S338+T338</f>
        <v>40.028571428571432</v>
      </c>
      <c r="W338" s="3"/>
      <c r="X338" s="3"/>
      <c r="Y338" s="3"/>
      <c r="Z338" s="3"/>
      <c r="AA338" s="3"/>
      <c r="AB338" s="3">
        <f>_xlfn.IFS(B338="c", 8, B338="ss", 10, B338="cf", 8,  B338="2b", 8, B338="3b", 6, B338="rf", 4, B338="lf", 2, B338="1b", 2, B338 ="dh", 1)</f>
        <v>8</v>
      </c>
      <c r="AC338" s="3">
        <f>(G338+N338+O338)</f>
        <v>2</v>
      </c>
      <c r="AD338" s="5">
        <f>P338/AC338</f>
        <v>0.5</v>
      </c>
      <c r="AE338" s="5">
        <f>(N338+O338)/AC338</f>
        <v>0.5</v>
      </c>
      <c r="AF338" s="4">
        <f>100-((AD338-AE338)*100)</f>
        <v>100</v>
      </c>
      <c r="AG338" s="3">
        <f>(F338-D338)*1000</f>
        <v>0</v>
      </c>
      <c r="AH338" s="3">
        <f>(((AF338+AG338)/2)*(AC338/100)*AB338)/C338</f>
        <v>0.2857142857142857</v>
      </c>
    </row>
    <row r="339" spans="1:34" x14ac:dyDescent="0.35">
      <c r="A339" s="3" t="s">
        <v>190</v>
      </c>
      <c r="B339" s="3" t="s">
        <v>28</v>
      </c>
      <c r="C339" s="3">
        <v>27</v>
      </c>
      <c r="D339" s="3">
        <v>0.25</v>
      </c>
      <c r="E339" s="3">
        <v>0.25</v>
      </c>
      <c r="F339" s="3">
        <v>0.25</v>
      </c>
      <c r="G339" s="3">
        <v>8</v>
      </c>
      <c r="H339" s="3">
        <v>2</v>
      </c>
      <c r="I339" s="3">
        <v>0</v>
      </c>
      <c r="J339" s="3">
        <v>0</v>
      </c>
      <c r="K339" s="3">
        <v>0</v>
      </c>
      <c r="L339" s="3">
        <v>0</v>
      </c>
      <c r="M339" s="3">
        <v>1</v>
      </c>
      <c r="N339" s="3">
        <v>0</v>
      </c>
      <c r="O339" s="3">
        <v>0</v>
      </c>
      <c r="P339" s="3">
        <v>1</v>
      </c>
      <c r="Q339" s="3">
        <v>0</v>
      </c>
      <c r="R339" s="3">
        <v>0</v>
      </c>
      <c r="S339" s="6">
        <f>AH339/10</f>
        <v>2.5925925925925925E-2</v>
      </c>
      <c r="T339" s="3">
        <v>40</v>
      </c>
      <c r="U339" s="4">
        <f>(S339*2)+T339</f>
        <v>40.05185185185185</v>
      </c>
      <c r="V339" s="4">
        <f>S339+T339</f>
        <v>40.025925925925925</v>
      </c>
      <c r="W339" s="3"/>
      <c r="X339" s="3"/>
      <c r="Y339" s="3"/>
      <c r="Z339" s="3"/>
      <c r="AA339" s="3"/>
      <c r="AB339" s="3">
        <f>_xlfn.IFS(B339="c", 8, B339="ss", 10, B339="cf", 8,  B339="2b", 8, B339="3b", 6, B339="rf", 4, B339="lf", 2, B339="1b", 2, B339 ="dh", 1)</f>
        <v>2</v>
      </c>
      <c r="AC339" s="3">
        <f>(G339+N339+O339)</f>
        <v>8</v>
      </c>
      <c r="AD339" s="5">
        <f>P339/AC339</f>
        <v>0.125</v>
      </c>
      <c r="AE339" s="5">
        <f>(N339+O339)/AC339</f>
        <v>0</v>
      </c>
      <c r="AF339" s="4">
        <f>100-((AD339-AE339)*100)</f>
        <v>87.5</v>
      </c>
      <c r="AG339" s="3">
        <f>(F339-D339)*1000</f>
        <v>0</v>
      </c>
      <c r="AH339" s="3">
        <f>(((AF339+AG339)/2)*(AC339/100)*AB339)/C339</f>
        <v>0.25925925925925924</v>
      </c>
    </row>
    <row r="340" spans="1:34" x14ac:dyDescent="0.35">
      <c r="A340" s="3" t="s">
        <v>209</v>
      </c>
      <c r="B340" s="3" t="s">
        <v>32</v>
      </c>
      <c r="C340" s="3">
        <v>28</v>
      </c>
      <c r="D340" s="3">
        <v>0</v>
      </c>
      <c r="E340" s="3">
        <v>0</v>
      </c>
      <c r="F340" s="3">
        <v>0</v>
      </c>
      <c r="G340" s="3">
        <v>4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2</v>
      </c>
      <c r="Q340" s="3">
        <v>0</v>
      </c>
      <c r="R340" s="3">
        <v>0</v>
      </c>
      <c r="S340" s="6">
        <f>AH340/10</f>
        <v>2.1428571428571429E-2</v>
      </c>
      <c r="T340" s="3">
        <v>40</v>
      </c>
      <c r="U340" s="4">
        <f>(S340*2)+T340</f>
        <v>40.042857142857144</v>
      </c>
      <c r="V340" s="4">
        <f>S340+T340</f>
        <v>40.021428571428572</v>
      </c>
      <c r="W340" s="3"/>
      <c r="X340" s="3"/>
      <c r="Y340" s="3"/>
      <c r="Z340" s="3"/>
      <c r="AA340" s="3"/>
      <c r="AB340" s="3">
        <f>_xlfn.IFS(B340="c", 8, B340="ss", 10, B340="cf", 8,  B340="2b", 8, B340="3b", 6, B340="rf", 4, B340="lf", 2, B340="1b", 2, B340 ="dh", 1)</f>
        <v>6</v>
      </c>
      <c r="AC340" s="3">
        <f>(G340+N340+O340)</f>
        <v>4</v>
      </c>
      <c r="AD340" s="5">
        <f>P340/AC340</f>
        <v>0.5</v>
      </c>
      <c r="AE340" s="5">
        <f>(N340+O340)/AC340</f>
        <v>0</v>
      </c>
      <c r="AF340" s="4">
        <f>100-((AD340-AE340)*100)</f>
        <v>50</v>
      </c>
      <c r="AG340" s="3">
        <f>(F340-D340)*1000</f>
        <v>0</v>
      </c>
      <c r="AH340" s="3">
        <f>(((AF340+AG340)/2)*(AC340/100)*AB340)/C340</f>
        <v>0.21428571428571427</v>
      </c>
    </row>
    <row r="341" spans="1:34" x14ac:dyDescent="0.35">
      <c r="A341" s="3" t="s">
        <v>104</v>
      </c>
      <c r="B341" s="3" t="s">
        <v>47</v>
      </c>
      <c r="C341" s="3">
        <v>25</v>
      </c>
      <c r="D341" s="3">
        <v>0.16700000000000001</v>
      </c>
      <c r="E341" s="3">
        <v>0.16700000000000001</v>
      </c>
      <c r="F341" s="3">
        <v>0.16700000000000001</v>
      </c>
      <c r="G341" s="3">
        <v>6</v>
      </c>
      <c r="H341" s="3">
        <v>1</v>
      </c>
      <c r="I341" s="3">
        <v>0</v>
      </c>
      <c r="J341" s="3">
        <v>0</v>
      </c>
      <c r="K341" s="3">
        <v>0</v>
      </c>
      <c r="L341" s="3">
        <v>0</v>
      </c>
      <c r="M341" s="3">
        <v>1</v>
      </c>
      <c r="N341" s="3">
        <v>0</v>
      </c>
      <c r="O341" s="3">
        <v>0</v>
      </c>
      <c r="P341" s="3">
        <v>1</v>
      </c>
      <c r="Q341" s="3">
        <v>0</v>
      </c>
      <c r="R341" s="3">
        <v>0</v>
      </c>
      <c r="S341" s="6">
        <f>AH341/10</f>
        <v>0.02</v>
      </c>
      <c r="T341" s="3">
        <v>40</v>
      </c>
      <c r="U341" s="4">
        <f>(S341*2)+T341</f>
        <v>40.04</v>
      </c>
      <c r="V341" s="4">
        <f>S341+T341</f>
        <v>40.020000000000003</v>
      </c>
      <c r="W341" s="3"/>
      <c r="X341" s="3"/>
      <c r="Y341" s="3"/>
      <c r="Z341" s="3"/>
      <c r="AA341" s="3"/>
      <c r="AB341" s="3">
        <f>_xlfn.IFS(B341="c", 8, B341="ss", 10, B341="cf", 8,  B341="2b", 8, B341="3b", 6, B341="rf", 4, B341="lf", 2, B341="1b", 2, B341 ="dh", 1)</f>
        <v>2</v>
      </c>
      <c r="AC341" s="3">
        <f>(G341+N341+O341)</f>
        <v>6</v>
      </c>
      <c r="AD341" s="5">
        <f>P341/AC341</f>
        <v>0.16666666666666666</v>
      </c>
      <c r="AE341" s="5">
        <f>(N341+O341)/AC341</f>
        <v>0</v>
      </c>
      <c r="AF341" s="4">
        <f>100-((AD341-AE341)*100)</f>
        <v>83.333333333333343</v>
      </c>
      <c r="AG341" s="3">
        <f>(F341-D341)*1000</f>
        <v>0</v>
      </c>
      <c r="AH341" s="3">
        <f>(((AF341+AG341)/2)*(AC341/100)*AB341)/C341</f>
        <v>0.2</v>
      </c>
    </row>
    <row r="342" spans="1:34" x14ac:dyDescent="0.35">
      <c r="A342" s="3" t="s">
        <v>331</v>
      </c>
      <c r="B342" s="3" t="s">
        <v>28</v>
      </c>
      <c r="C342" s="3">
        <v>32</v>
      </c>
      <c r="D342" s="3">
        <v>0.111</v>
      </c>
      <c r="E342" s="3">
        <v>0.111</v>
      </c>
      <c r="F342" s="3">
        <v>0.111</v>
      </c>
      <c r="G342" s="3">
        <v>9</v>
      </c>
      <c r="H342" s="3">
        <v>1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3</v>
      </c>
      <c r="Q342" s="3">
        <v>0</v>
      </c>
      <c r="R342" s="3">
        <v>0</v>
      </c>
      <c r="S342" s="6">
        <f>AH342/10</f>
        <v>1.8749999999999999E-2</v>
      </c>
      <c r="T342" s="3">
        <v>40</v>
      </c>
      <c r="U342" s="4">
        <f>(S342*2)+T342</f>
        <v>40.037500000000001</v>
      </c>
      <c r="V342" s="4">
        <f>S342+T342</f>
        <v>40.018749999999997</v>
      </c>
      <c r="W342" s="3"/>
      <c r="X342" s="3"/>
      <c r="Y342" s="3"/>
      <c r="Z342" s="3"/>
      <c r="AA342" s="3"/>
      <c r="AB342" s="3">
        <f>_xlfn.IFS(B342="c", 8, B342="ss", 10, B342="cf", 8,  B342="2b", 8, B342="3b", 6, B342="rf", 4, B342="lf", 2, B342="1b", 2, B342 ="dh", 1)</f>
        <v>2</v>
      </c>
      <c r="AC342" s="3">
        <f>(G342+N342+O342)</f>
        <v>9</v>
      </c>
      <c r="AD342" s="5">
        <f>P342/AC342</f>
        <v>0.33333333333333331</v>
      </c>
      <c r="AE342" s="5">
        <f>(N342+O342)/AC342</f>
        <v>0</v>
      </c>
      <c r="AF342" s="4">
        <f>100-((AD342-AE342)*100)</f>
        <v>66.666666666666671</v>
      </c>
      <c r="AG342" s="3">
        <f>(F342-D342)*1000</f>
        <v>0</v>
      </c>
      <c r="AH342" s="3">
        <f>(((AF342+AG342)/2)*(AC342/100)*AB342)/C342</f>
        <v>0.1875</v>
      </c>
    </row>
    <row r="343" spans="1:34" x14ac:dyDescent="0.35">
      <c r="A343" s="3" t="s">
        <v>152</v>
      </c>
      <c r="B343" s="3" t="s">
        <v>30</v>
      </c>
      <c r="C343" s="3">
        <v>26</v>
      </c>
      <c r="D343" s="3">
        <v>0.16700000000000001</v>
      </c>
      <c r="E343" s="3">
        <v>0.16700000000000001</v>
      </c>
      <c r="F343" s="3">
        <v>0.16700000000000001</v>
      </c>
      <c r="G343" s="3">
        <v>6</v>
      </c>
      <c r="H343" s="3">
        <v>1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5</v>
      </c>
      <c r="Q343" s="3">
        <v>0</v>
      </c>
      <c r="R343" s="3">
        <v>0</v>
      </c>
      <c r="S343" s="6">
        <f>AH343/10</f>
        <v>1.5384615384615377E-2</v>
      </c>
      <c r="T343" s="3">
        <v>40</v>
      </c>
      <c r="U343" s="4">
        <f>(S343*2)+T343</f>
        <v>40.030769230769231</v>
      </c>
      <c r="V343" s="4">
        <f>S343+T343</f>
        <v>40.015384615384619</v>
      </c>
      <c r="W343" s="3"/>
      <c r="X343" s="3"/>
      <c r="Y343" s="3"/>
      <c r="Z343" s="3"/>
      <c r="AA343" s="3"/>
      <c r="AB343" s="3">
        <f>_xlfn.IFS(B343="c", 8, B343="ss", 10, B343="cf", 8,  B343="2b", 8, B343="3b", 6, B343="rf", 4, B343="lf", 2, B343="1b", 2, B343 ="dh", 1)</f>
        <v>8</v>
      </c>
      <c r="AC343" s="3">
        <f>(G343+N343+O343)</f>
        <v>6</v>
      </c>
      <c r="AD343" s="5">
        <f>P343/AC343</f>
        <v>0.83333333333333337</v>
      </c>
      <c r="AE343" s="5">
        <f>(N343+O343)/AC343</f>
        <v>0</v>
      </c>
      <c r="AF343" s="4">
        <f>100-((AD343-AE343)*100)</f>
        <v>16.666666666666657</v>
      </c>
      <c r="AG343" s="3">
        <f>(F343-D343)*1000</f>
        <v>0</v>
      </c>
      <c r="AH343" s="3">
        <f>(((AF343+AG343)/2)*(AC343/100)*AB343)/C343</f>
        <v>0.15384615384615377</v>
      </c>
    </row>
    <row r="344" spans="1:34" x14ac:dyDescent="0.35">
      <c r="A344" s="3" t="s">
        <v>218</v>
      </c>
      <c r="B344" s="3" t="s">
        <v>59</v>
      </c>
      <c r="C344" s="3">
        <v>28</v>
      </c>
      <c r="D344" s="3">
        <v>0</v>
      </c>
      <c r="E344" s="3">
        <v>0</v>
      </c>
      <c r="F344" s="3">
        <v>0</v>
      </c>
      <c r="G344" s="3">
        <v>2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1</v>
      </c>
      <c r="Q344" s="3">
        <v>1</v>
      </c>
      <c r="R344" s="3">
        <v>0</v>
      </c>
      <c r="S344" s="6">
        <f>AH344/10</f>
        <v>1.4285714285714285E-2</v>
      </c>
      <c r="T344" s="3">
        <v>40</v>
      </c>
      <c r="U344" s="4">
        <f>(S344*2)+T344</f>
        <v>40.028571428571432</v>
      </c>
      <c r="V344" s="4">
        <f>S344+T344</f>
        <v>40.014285714285712</v>
      </c>
      <c r="W344" s="3"/>
      <c r="X344" s="3"/>
      <c r="Y344" s="3"/>
      <c r="Z344" s="3"/>
      <c r="AA344" s="3"/>
      <c r="AB344" s="3">
        <f>_xlfn.IFS(B344="c", 8, B344="ss", 10, B344="cf", 8,  B344="2b", 8, B344="3b", 6, B344="rf", 4, B344="lf", 2, B344="1b", 2, B344 ="dh", 1)</f>
        <v>8</v>
      </c>
      <c r="AC344" s="3">
        <f>(G344+N344+O344)</f>
        <v>2</v>
      </c>
      <c r="AD344" s="5">
        <f>P344/AC344</f>
        <v>0.5</v>
      </c>
      <c r="AE344" s="5">
        <f>(N344+O344)/AC344</f>
        <v>0</v>
      </c>
      <c r="AF344" s="4">
        <f>100-((AD344-AE344)*100)</f>
        <v>50</v>
      </c>
      <c r="AG344" s="3">
        <f>(F344-D344)*1000</f>
        <v>0</v>
      </c>
      <c r="AH344" s="3">
        <f>(((AF344+AG344)/2)*(AC344/100)*AB344)/C344</f>
        <v>0.14285714285714285</v>
      </c>
    </row>
    <row r="345" spans="1:34" x14ac:dyDescent="0.35">
      <c r="A345" s="3" t="s">
        <v>246</v>
      </c>
      <c r="B345" s="3" t="s">
        <v>30</v>
      </c>
      <c r="C345" s="3">
        <v>28</v>
      </c>
      <c r="D345" s="3">
        <v>0</v>
      </c>
      <c r="E345" s="3">
        <v>0</v>
      </c>
      <c r="F345" s="3">
        <v>0</v>
      </c>
      <c r="G345" s="3">
        <v>1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6">
        <f>AH345/10</f>
        <v>1.4285714285714285E-2</v>
      </c>
      <c r="T345" s="3">
        <v>40</v>
      </c>
      <c r="U345" s="4">
        <f>(S345*2)+T345</f>
        <v>40.028571428571432</v>
      </c>
      <c r="V345" s="4">
        <f>S345+T345</f>
        <v>40.014285714285712</v>
      </c>
      <c r="W345" s="3"/>
      <c r="X345" s="3"/>
      <c r="Y345" s="3"/>
      <c r="Z345" s="3"/>
      <c r="AA345" s="3"/>
      <c r="AB345" s="3">
        <f>_xlfn.IFS(B345="c", 8, B345="ss", 10, B345="cf", 8,  B345="2b", 8, B345="3b", 6, B345="rf", 4, B345="lf", 2, B345="1b", 2, B345 ="dh", 1)</f>
        <v>8</v>
      </c>
      <c r="AC345" s="3">
        <f>(G345+N345+O345)</f>
        <v>1</v>
      </c>
      <c r="AD345" s="5">
        <f>P345/AC345</f>
        <v>0</v>
      </c>
      <c r="AE345" s="5">
        <f>(N345+O345)/AC345</f>
        <v>0</v>
      </c>
      <c r="AF345" s="4">
        <f>100-((AD345-AE345)*100)</f>
        <v>100</v>
      </c>
      <c r="AG345" s="3">
        <f>(F345-D345)*1000</f>
        <v>0</v>
      </c>
      <c r="AH345" s="3">
        <f>(((AF345+AG345)/2)*(AC345/100)*AB345)/C345</f>
        <v>0.14285714285714285</v>
      </c>
    </row>
    <row r="346" spans="1:34" x14ac:dyDescent="0.35">
      <c r="A346" s="3" t="s">
        <v>300</v>
      </c>
      <c r="B346" s="3" t="s">
        <v>18</v>
      </c>
      <c r="C346" s="3">
        <v>30</v>
      </c>
      <c r="D346" s="3">
        <v>0</v>
      </c>
      <c r="E346" s="3">
        <v>0</v>
      </c>
      <c r="F346" s="3">
        <v>0</v>
      </c>
      <c r="G346" s="3">
        <v>1</v>
      </c>
      <c r="H346" s="3">
        <v>0</v>
      </c>
      <c r="I346" s="3">
        <v>0</v>
      </c>
      <c r="J346" s="3">
        <v>0</v>
      </c>
      <c r="K346" s="3">
        <v>0</v>
      </c>
      <c r="L346" s="3">
        <v>1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6">
        <f>AH346/10</f>
        <v>1.3333333333333332E-2</v>
      </c>
      <c r="T346" s="3">
        <v>40</v>
      </c>
      <c r="U346" s="4">
        <f>(S346*2)+T346</f>
        <v>40.026666666666664</v>
      </c>
      <c r="V346" s="4">
        <f>S346+T346</f>
        <v>40.013333333333335</v>
      </c>
      <c r="W346" s="3"/>
      <c r="X346" s="3"/>
      <c r="Y346" s="3"/>
      <c r="Z346" s="3"/>
      <c r="AA346" s="3"/>
      <c r="AB346" s="3">
        <f>_xlfn.IFS(B346="c", 8, B346="ss", 10, B346="cf", 8,  B346="2b", 8, B346="3b", 6, B346="rf", 4, B346="lf", 2, B346="1b", 2, B346 ="dh", 1)</f>
        <v>8</v>
      </c>
      <c r="AC346" s="3">
        <f>(G346+N346+O346)</f>
        <v>1</v>
      </c>
      <c r="AD346" s="5">
        <f>P346/AC346</f>
        <v>0</v>
      </c>
      <c r="AE346" s="5">
        <f>(N346+O346)/AC346</f>
        <v>0</v>
      </c>
      <c r="AF346" s="4">
        <f>100-((AD346-AE346)*100)</f>
        <v>100</v>
      </c>
      <c r="AG346" s="3">
        <f>(F346-D346)*1000</f>
        <v>0</v>
      </c>
      <c r="AH346" s="3">
        <f>(((AF346+AG346)/2)*(AC346/100)*AB346)/C346</f>
        <v>0.13333333333333333</v>
      </c>
    </row>
    <row r="347" spans="1:34" x14ac:dyDescent="0.35">
      <c r="A347" s="3" t="s">
        <v>332</v>
      </c>
      <c r="B347" s="3" t="s">
        <v>18</v>
      </c>
      <c r="C347" s="3">
        <v>32</v>
      </c>
      <c r="D347" s="3">
        <v>0</v>
      </c>
      <c r="E347" s="3">
        <v>0</v>
      </c>
      <c r="F347" s="3">
        <v>0</v>
      </c>
      <c r="G347" s="3">
        <v>4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3</v>
      </c>
      <c r="Q347" s="3">
        <v>0</v>
      </c>
      <c r="R347" s="3">
        <v>0</v>
      </c>
      <c r="S347" s="6">
        <f>AH347/10</f>
        <v>1.2500000000000001E-2</v>
      </c>
      <c r="T347" s="3">
        <v>40</v>
      </c>
      <c r="U347" s="4">
        <f>(S347*2)+T347</f>
        <v>40.024999999999999</v>
      </c>
      <c r="V347" s="4">
        <f>S347+T347</f>
        <v>40.012500000000003</v>
      </c>
      <c r="W347" s="3"/>
      <c r="X347" s="3"/>
      <c r="Y347" s="3"/>
      <c r="Z347" s="3"/>
      <c r="AA347" s="3"/>
      <c r="AB347" s="3">
        <f>_xlfn.IFS(B347="c", 8, B347="ss", 10, B347="cf", 8,  B347="2b", 8, B347="3b", 6, B347="rf", 4, B347="lf", 2, B347="1b", 2, B347 ="dh", 1)</f>
        <v>8</v>
      </c>
      <c r="AC347" s="3">
        <f>(G347+N347+O347)</f>
        <v>4</v>
      </c>
      <c r="AD347" s="5">
        <f>P347/AC347</f>
        <v>0.75</v>
      </c>
      <c r="AE347" s="5">
        <f>(N347+O347)/AC347</f>
        <v>0</v>
      </c>
      <c r="AF347" s="4">
        <f>100-((AD347-AE347)*100)</f>
        <v>25</v>
      </c>
      <c r="AG347" s="3">
        <f>(F347-D347)*1000</f>
        <v>0</v>
      </c>
      <c r="AH347" s="3">
        <f>(((AF347+AG347)/2)*(AC347/100)*AB347)/C347</f>
        <v>0.125</v>
      </c>
    </row>
    <row r="348" spans="1:34" x14ac:dyDescent="0.35">
      <c r="A348" s="3" t="s">
        <v>338</v>
      </c>
      <c r="B348" s="3" t="s">
        <v>18</v>
      </c>
      <c r="C348" s="3">
        <v>32</v>
      </c>
      <c r="D348" s="3">
        <v>0</v>
      </c>
      <c r="E348" s="3">
        <v>0</v>
      </c>
      <c r="F348" s="3">
        <v>0</v>
      </c>
      <c r="G348" s="3">
        <v>1</v>
      </c>
      <c r="H348" s="3">
        <v>0</v>
      </c>
      <c r="I348" s="3">
        <v>0</v>
      </c>
      <c r="J348" s="3">
        <v>0</v>
      </c>
      <c r="K348" s="3">
        <v>0</v>
      </c>
      <c r="L348" s="3">
        <v>2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6">
        <f>AH348/10</f>
        <v>1.2500000000000001E-2</v>
      </c>
      <c r="T348" s="3">
        <v>40</v>
      </c>
      <c r="U348" s="4">
        <f>(S348*2)+T348</f>
        <v>40.024999999999999</v>
      </c>
      <c r="V348" s="4">
        <f>S348+T348</f>
        <v>40.012500000000003</v>
      </c>
      <c r="W348" s="3"/>
      <c r="X348" s="3"/>
      <c r="Y348" s="3"/>
      <c r="Z348" s="3"/>
      <c r="AA348" s="3"/>
      <c r="AB348" s="3">
        <f>_xlfn.IFS(B348="c", 8, B348="ss", 10, B348="cf", 8,  B348="2b", 8, B348="3b", 6, B348="rf", 4, B348="lf", 2, B348="1b", 2, B348 ="dh", 1)</f>
        <v>8</v>
      </c>
      <c r="AC348" s="3">
        <f>(G348+N348+O348)</f>
        <v>1</v>
      </c>
      <c r="AD348" s="5">
        <f>P348/AC348</f>
        <v>0</v>
      </c>
      <c r="AE348" s="5">
        <f>(N348+O348)/AC348</f>
        <v>0</v>
      </c>
      <c r="AF348" s="4">
        <f>100-((AD348-AE348)*100)</f>
        <v>100</v>
      </c>
      <c r="AG348" s="3">
        <f>(F348-D348)*1000</f>
        <v>0</v>
      </c>
      <c r="AH348" s="3">
        <f>(((AF348+AG348)/2)*(AC348/100)*AB348)/C348</f>
        <v>0.125</v>
      </c>
    </row>
    <row r="349" spans="1:34" x14ac:dyDescent="0.35">
      <c r="A349" s="3" t="s">
        <v>346</v>
      </c>
      <c r="B349" s="3" t="s">
        <v>20</v>
      </c>
      <c r="C349" s="3">
        <v>33</v>
      </c>
      <c r="D349" s="3">
        <v>0.111</v>
      </c>
      <c r="E349" s="3">
        <v>0.111</v>
      </c>
      <c r="F349" s="3">
        <v>0.111</v>
      </c>
      <c r="G349" s="3">
        <v>9</v>
      </c>
      <c r="H349" s="3">
        <v>1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1</v>
      </c>
      <c r="Q349" s="3">
        <v>0</v>
      </c>
      <c r="R349" s="3">
        <v>0</v>
      </c>
      <c r="S349" s="6">
        <f>AH349/10</f>
        <v>1.2121212121212119E-2</v>
      </c>
      <c r="T349" s="3">
        <v>40</v>
      </c>
      <c r="U349" s="4">
        <f>(S349*2)+T349</f>
        <v>40.024242424242424</v>
      </c>
      <c r="V349" s="4">
        <f>S349+T349</f>
        <v>40.012121212121215</v>
      </c>
      <c r="W349" s="3"/>
      <c r="X349" s="3"/>
      <c r="Y349" s="3"/>
      <c r="Z349" s="3"/>
      <c r="AA349" s="3"/>
      <c r="AB349" s="3">
        <f>_xlfn.IFS(B349="c", 8, B349="ss", 10, B349="cf", 8,  B349="2b", 8, B349="3b", 6, B349="rf", 4, B349="lf", 2, B349="1b", 2, B349 ="dh", 1)</f>
        <v>1</v>
      </c>
      <c r="AC349" s="3">
        <f>(G349+N349+O349)</f>
        <v>9</v>
      </c>
      <c r="AD349" s="5">
        <f>P349/AC349</f>
        <v>0.1111111111111111</v>
      </c>
      <c r="AE349" s="5">
        <f>(N349+O349)/AC349</f>
        <v>0</v>
      </c>
      <c r="AF349" s="4">
        <f>100-((AD349-AE349)*100)</f>
        <v>88.888888888888886</v>
      </c>
      <c r="AG349" s="3">
        <f>(F349-D349)*1000</f>
        <v>0</v>
      </c>
      <c r="AH349" s="3">
        <f>(((AF349+AG349)/2)*(AC349/100)*AB349)/C349</f>
        <v>0.1212121212121212</v>
      </c>
    </row>
    <row r="350" spans="1:34" x14ac:dyDescent="0.35">
      <c r="A350" s="3" t="s">
        <v>188</v>
      </c>
      <c r="B350" s="3" t="s">
        <v>22</v>
      </c>
      <c r="C350" s="3">
        <v>27</v>
      </c>
      <c r="D350" s="3">
        <v>0</v>
      </c>
      <c r="E350" s="3">
        <v>0</v>
      </c>
      <c r="F350" s="3">
        <v>0</v>
      </c>
      <c r="G350" s="3">
        <v>2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2</v>
      </c>
      <c r="Q350" s="3">
        <v>1</v>
      </c>
      <c r="R350" s="3">
        <v>0</v>
      </c>
      <c r="S350" s="6">
        <f>AH350/10</f>
        <v>0</v>
      </c>
      <c r="T350" s="3">
        <v>40</v>
      </c>
      <c r="U350" s="4">
        <f>(S350*2)+T350</f>
        <v>40</v>
      </c>
      <c r="V350" s="4">
        <f>S350+T350</f>
        <v>40</v>
      </c>
      <c r="W350" s="3"/>
      <c r="X350" s="3"/>
      <c r="Y350" s="3"/>
      <c r="Z350" s="3"/>
      <c r="AA350" s="3"/>
      <c r="AB350" s="3">
        <f>_xlfn.IFS(B350="c", 8, B350="ss", 10, B350="cf", 8,  B350="2b", 8, B350="3b", 6, B350="rf", 4, B350="lf", 2, B350="1b", 2, B350 ="dh", 1)</f>
        <v>4</v>
      </c>
      <c r="AC350" s="3">
        <f>(G350+N350+O350)</f>
        <v>2</v>
      </c>
      <c r="AD350" s="5">
        <f>P350/AC350</f>
        <v>1</v>
      </c>
      <c r="AE350" s="5">
        <f>(N350+O350)/AC350</f>
        <v>0</v>
      </c>
      <c r="AF350" s="4">
        <f>100-((AD350-AE350)*100)</f>
        <v>0</v>
      </c>
      <c r="AG350" s="3">
        <f>(F350-D350)*1000</f>
        <v>0</v>
      </c>
      <c r="AH350" s="3">
        <f>(((AF350+AG350)/2)*(AC350/100)*AB350)/C350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DBAAC-2115-42D9-B3FA-77CE400B3BFB}">
  <dimension ref="A1:AF538"/>
  <sheetViews>
    <sheetView tabSelected="1" topLeftCell="A26" workbookViewId="0">
      <selection activeCell="W43" sqref="W43"/>
    </sheetView>
  </sheetViews>
  <sheetFormatPr defaultRowHeight="14.5" x14ac:dyDescent="0.35"/>
  <cols>
    <col min="1" max="1" width="21.6328125" bestFit="1" customWidth="1"/>
    <col min="2" max="2" width="3.1796875" bestFit="1" customWidth="1"/>
    <col min="3" max="4" width="5.36328125" bestFit="1" customWidth="1"/>
    <col min="5" max="8" width="2.81640625" style="7" bestFit="1" customWidth="1"/>
    <col min="9" max="9" width="3" style="7" bestFit="1" customWidth="1"/>
    <col min="10" max="10" width="3.1796875" style="7" bestFit="1" customWidth="1"/>
    <col min="11" max="11" width="4.36328125" style="7" bestFit="1" customWidth="1"/>
    <col min="12" max="12" width="3.90625" style="7" bestFit="1" customWidth="1"/>
    <col min="13" max="13" width="1.81640625" style="7" bestFit="1" customWidth="1"/>
    <col min="14" max="15" width="3.81640625" style="7" bestFit="1" customWidth="1"/>
    <col min="16" max="16" width="2.90625" style="7" bestFit="1" customWidth="1"/>
    <col min="17" max="17" width="3.1796875" style="7" bestFit="1" customWidth="1"/>
    <col min="18" max="18" width="4.1796875" style="7" bestFit="1" customWidth="1"/>
    <col min="19" max="19" width="3" style="7" bestFit="1" customWidth="1"/>
    <col min="20" max="20" width="3.1796875" style="7" bestFit="1" customWidth="1"/>
    <col min="21" max="21" width="3.81640625" style="7" bestFit="1" customWidth="1"/>
    <col min="22" max="22" width="7.7265625" customWidth="1"/>
    <col min="23" max="23" width="5.36328125" style="7" bestFit="1" customWidth="1"/>
    <col min="24" max="24" width="7.1796875" bestFit="1" customWidth="1"/>
    <col min="25" max="25" width="5.6328125" bestFit="1" customWidth="1"/>
    <col min="26" max="26" width="6.36328125" bestFit="1" customWidth="1"/>
    <col min="27" max="29" width="5.36328125" style="8" bestFit="1" customWidth="1"/>
    <col min="30" max="30" width="8.54296875" style="2" bestFit="1" customWidth="1"/>
    <col min="31" max="31" width="6" bestFit="1" customWidth="1"/>
    <col min="32" max="32" width="9.90625" bestFit="1" customWidth="1"/>
  </cols>
  <sheetData>
    <row r="1" spans="1:32" x14ac:dyDescent="0.35">
      <c r="A1" s="2" t="s">
        <v>375</v>
      </c>
      <c r="B1" s="2" t="s">
        <v>0</v>
      </c>
      <c r="C1" s="2" t="s">
        <v>1</v>
      </c>
      <c r="D1" s="2" t="s">
        <v>376</v>
      </c>
      <c r="E1" s="7" t="s">
        <v>377</v>
      </c>
      <c r="F1" s="7" t="s">
        <v>378</v>
      </c>
      <c r="G1" s="7" t="s">
        <v>379</v>
      </c>
      <c r="H1" s="7" t="s">
        <v>380</v>
      </c>
      <c r="I1" s="7" t="s">
        <v>381</v>
      </c>
      <c r="J1" s="7" t="s">
        <v>382</v>
      </c>
      <c r="K1" s="7" t="s">
        <v>383</v>
      </c>
      <c r="L1" s="7" t="s">
        <v>384</v>
      </c>
      <c r="N1" s="7" t="s">
        <v>6</v>
      </c>
      <c r="O1" s="7" t="s">
        <v>10</v>
      </c>
      <c r="P1" s="7" t="s">
        <v>385</v>
      </c>
      <c r="Q1" s="7" t="s">
        <v>9</v>
      </c>
      <c r="R1" s="7" t="s">
        <v>12</v>
      </c>
      <c r="S1" s="7" t="s">
        <v>13</v>
      </c>
      <c r="T1" s="7" t="s">
        <v>386</v>
      </c>
      <c r="U1" s="7" t="s">
        <v>14</v>
      </c>
      <c r="V1" s="2" t="s">
        <v>927</v>
      </c>
      <c r="W1" s="7" t="s">
        <v>928</v>
      </c>
      <c r="X1" s="2" t="s">
        <v>941</v>
      </c>
      <c r="Y1" s="2" t="s">
        <v>929</v>
      </c>
      <c r="Z1" s="2" t="s">
        <v>944</v>
      </c>
      <c r="AA1" s="2" t="s">
        <v>935</v>
      </c>
      <c r="AB1" s="2" t="s">
        <v>936</v>
      </c>
      <c r="AC1" s="2" t="s">
        <v>945</v>
      </c>
      <c r="AD1" s="2" t="s">
        <v>946</v>
      </c>
      <c r="AE1" s="2" t="s">
        <v>947</v>
      </c>
      <c r="AF1" t="s">
        <v>948</v>
      </c>
    </row>
    <row r="2" spans="1:32" x14ac:dyDescent="0.35">
      <c r="A2" s="2" t="s">
        <v>387</v>
      </c>
      <c r="B2" s="2" t="s">
        <v>388</v>
      </c>
      <c r="C2" s="2">
        <v>20</v>
      </c>
      <c r="D2" s="2">
        <v>13.85</v>
      </c>
      <c r="E2" s="7">
        <v>0</v>
      </c>
      <c r="F2" s="7">
        <v>3</v>
      </c>
      <c r="G2" s="7">
        <v>0</v>
      </c>
      <c r="H2" s="7">
        <v>4</v>
      </c>
      <c r="I2" s="7">
        <v>4</v>
      </c>
      <c r="J2" s="7">
        <v>0</v>
      </c>
      <c r="K2" s="7">
        <v>0</v>
      </c>
      <c r="L2" s="7">
        <v>13</v>
      </c>
      <c r="N2" s="7">
        <v>23</v>
      </c>
      <c r="O2" s="7">
        <v>20</v>
      </c>
      <c r="P2" s="7">
        <v>20</v>
      </c>
      <c r="Q2" s="7">
        <v>6</v>
      </c>
      <c r="R2" s="7">
        <v>2</v>
      </c>
      <c r="S2" s="7">
        <v>6</v>
      </c>
      <c r="T2" s="7">
        <v>0</v>
      </c>
      <c r="U2" s="7">
        <v>12</v>
      </c>
      <c r="V2" s="2">
        <f t="shared" ref="V2:V65" si="0">(AF2*2)/10</f>
        <v>4.4574522949974211</v>
      </c>
      <c r="W2" s="7">
        <v>50</v>
      </c>
      <c r="X2" s="2">
        <f>V2+W2</f>
        <v>54.457452294997424</v>
      </c>
      <c r="Y2" s="2"/>
      <c r="Z2" s="2">
        <f>((L2*3)+M2)+(R2+S2)+N2</f>
        <v>70</v>
      </c>
      <c r="AA2" s="1">
        <f>(U2/Z2)*100</f>
        <v>17.142857142857142</v>
      </c>
      <c r="AB2" s="1">
        <f>((R2+S2)/Z2)*100</f>
        <v>11.428571428571429</v>
      </c>
      <c r="AC2" s="1">
        <f>(Q2/Z2)*100</f>
        <v>8.5714285714285712</v>
      </c>
      <c r="AD2" s="2">
        <f>(Z2/C2)</f>
        <v>3.5</v>
      </c>
      <c r="AE2" s="2">
        <f>AA2-AB2</f>
        <v>5.7142857142857135</v>
      </c>
      <c r="AF2" s="2">
        <f t="shared" ref="AF2:AF10" si="1">(AD2+AE2)/(D2/(1+AC2))*AD2</f>
        <v>22.287261474987105</v>
      </c>
    </row>
    <row r="3" spans="1:32" x14ac:dyDescent="0.35">
      <c r="A3" s="2" t="s">
        <v>389</v>
      </c>
      <c r="B3" s="2" t="s">
        <v>390</v>
      </c>
      <c r="C3" s="2">
        <v>21</v>
      </c>
      <c r="D3" s="2">
        <v>1.17</v>
      </c>
      <c r="E3" s="7">
        <v>1</v>
      </c>
      <c r="F3" s="7">
        <v>0</v>
      </c>
      <c r="G3" s="7">
        <v>0</v>
      </c>
      <c r="H3" s="7">
        <v>7</v>
      </c>
      <c r="I3" s="7">
        <v>0</v>
      </c>
      <c r="J3" s="7">
        <v>0</v>
      </c>
      <c r="K3" s="7">
        <v>0</v>
      </c>
      <c r="L3" s="7">
        <v>7</v>
      </c>
      <c r="M3" s="7">
        <v>2</v>
      </c>
      <c r="N3" s="7">
        <v>4</v>
      </c>
      <c r="O3" s="7">
        <v>1</v>
      </c>
      <c r="P3" s="7">
        <v>1</v>
      </c>
      <c r="Q3" s="7">
        <v>0</v>
      </c>
      <c r="R3" s="7">
        <v>3</v>
      </c>
      <c r="S3" s="7">
        <v>3</v>
      </c>
      <c r="T3" s="7">
        <v>1</v>
      </c>
      <c r="U3" s="7">
        <v>9</v>
      </c>
      <c r="V3" s="2">
        <f t="shared" si="0"/>
        <v>2.8641200069771484</v>
      </c>
      <c r="W3" s="7">
        <v>50</v>
      </c>
      <c r="X3" s="2">
        <f t="shared" ref="X3:X66" si="2">V3+W3</f>
        <v>52.864120006977146</v>
      </c>
      <c r="Y3" s="2"/>
      <c r="Z3" s="2">
        <f t="shared" ref="Z3:Z66" si="3">((L3*3)+M3)+(R3+S3)+N3</f>
        <v>33</v>
      </c>
      <c r="AA3" s="1">
        <f t="shared" ref="AA3:AA66" si="4">(U3/Z3)*100</f>
        <v>27.27272727272727</v>
      </c>
      <c r="AB3" s="1">
        <f t="shared" ref="AB3:AB66" si="5">((R3+S3)/Z3)*100</f>
        <v>18.181818181818183</v>
      </c>
      <c r="AC3" s="1">
        <f t="shared" ref="AC3:AC66" si="6">(Q3/Z3)*100</f>
        <v>0</v>
      </c>
      <c r="AD3" s="2">
        <f t="shared" ref="AD3:AD66" si="7">(Z3/C3)</f>
        <v>1.5714285714285714</v>
      </c>
      <c r="AE3" s="2">
        <f t="shared" ref="AE3:AE66" si="8">AA3-AB3</f>
        <v>9.0909090909090864</v>
      </c>
      <c r="AF3" s="2">
        <f t="shared" si="1"/>
        <v>14.320600034885743</v>
      </c>
    </row>
    <row r="4" spans="1:32" x14ac:dyDescent="0.35">
      <c r="A4" s="2" t="s">
        <v>391</v>
      </c>
      <c r="B4" s="2" t="s">
        <v>388</v>
      </c>
      <c r="C4" s="2">
        <v>21</v>
      </c>
      <c r="D4" s="2">
        <v>3.21</v>
      </c>
      <c r="E4" s="7">
        <v>1</v>
      </c>
      <c r="F4" s="7">
        <v>0</v>
      </c>
      <c r="G4" s="7">
        <v>0</v>
      </c>
      <c r="H4" s="7">
        <v>3</v>
      </c>
      <c r="I4" s="7">
        <v>3</v>
      </c>
      <c r="J4" s="7">
        <v>0</v>
      </c>
      <c r="K4" s="7">
        <v>0</v>
      </c>
      <c r="L4" s="7">
        <v>14</v>
      </c>
      <c r="N4" s="7">
        <v>13</v>
      </c>
      <c r="O4" s="7">
        <v>5</v>
      </c>
      <c r="P4" s="7">
        <v>5</v>
      </c>
      <c r="Q4" s="7">
        <v>0</v>
      </c>
      <c r="R4" s="7">
        <v>0</v>
      </c>
      <c r="S4" s="7">
        <v>7</v>
      </c>
      <c r="T4" s="7">
        <v>0</v>
      </c>
      <c r="U4" s="7">
        <v>16</v>
      </c>
      <c r="V4" s="2">
        <f t="shared" si="0"/>
        <v>3.2133144015654032</v>
      </c>
      <c r="W4" s="7">
        <v>60</v>
      </c>
      <c r="X4" s="2">
        <f t="shared" si="2"/>
        <v>63.213314401565405</v>
      </c>
      <c r="Y4" s="2"/>
      <c r="Z4" s="2">
        <f t="shared" si="3"/>
        <v>62</v>
      </c>
      <c r="AA4" s="1">
        <f t="shared" si="4"/>
        <v>25.806451612903224</v>
      </c>
      <c r="AB4" s="1">
        <f t="shared" si="5"/>
        <v>11.29032258064516</v>
      </c>
      <c r="AC4" s="1">
        <f t="shared" si="6"/>
        <v>0</v>
      </c>
      <c r="AD4" s="2">
        <f t="shared" si="7"/>
        <v>2.9523809523809526</v>
      </c>
      <c r="AE4" s="2">
        <f t="shared" si="8"/>
        <v>14.516129032258064</v>
      </c>
      <c r="AF4" s="2">
        <f t="shared" si="1"/>
        <v>16.066572007827016</v>
      </c>
    </row>
    <row r="5" spans="1:32" x14ac:dyDescent="0.35">
      <c r="A5" s="2" t="s">
        <v>392</v>
      </c>
      <c r="B5" s="2" t="s">
        <v>388</v>
      </c>
      <c r="C5" s="2">
        <v>22</v>
      </c>
      <c r="D5" s="2">
        <v>4.57</v>
      </c>
      <c r="E5" s="7">
        <v>0</v>
      </c>
      <c r="F5" s="7">
        <v>3</v>
      </c>
      <c r="G5" s="7">
        <v>0</v>
      </c>
      <c r="H5" s="7">
        <v>13</v>
      </c>
      <c r="I5" s="7">
        <v>8</v>
      </c>
      <c r="J5" s="7">
        <v>0</v>
      </c>
      <c r="K5" s="7">
        <v>0</v>
      </c>
      <c r="L5" s="7">
        <v>43</v>
      </c>
      <c r="M5" s="7">
        <v>1</v>
      </c>
      <c r="N5" s="7">
        <v>41</v>
      </c>
      <c r="O5" s="7">
        <v>25</v>
      </c>
      <c r="P5" s="7">
        <v>22</v>
      </c>
      <c r="Q5" s="7">
        <v>5</v>
      </c>
      <c r="R5" s="7">
        <v>0</v>
      </c>
      <c r="S5" s="7">
        <v>16</v>
      </c>
      <c r="T5" s="7">
        <v>0</v>
      </c>
      <c r="U5" s="7">
        <v>67</v>
      </c>
      <c r="V5" s="2">
        <f t="shared" si="0"/>
        <v>48.887733511763741</v>
      </c>
      <c r="W5" s="7">
        <v>60</v>
      </c>
      <c r="X5" s="2">
        <f t="shared" si="2"/>
        <v>108.88773351176374</v>
      </c>
      <c r="Y5" s="2"/>
      <c r="Z5" s="2">
        <f t="shared" si="3"/>
        <v>187</v>
      </c>
      <c r="AA5" s="1">
        <f t="shared" si="4"/>
        <v>35.828877005347593</v>
      </c>
      <c r="AB5" s="1">
        <f t="shared" si="5"/>
        <v>8.5561497326203195</v>
      </c>
      <c r="AC5" s="1">
        <f t="shared" si="6"/>
        <v>2.6737967914438503</v>
      </c>
      <c r="AD5" s="2">
        <f t="shared" si="7"/>
        <v>8.5</v>
      </c>
      <c r="AE5" s="2">
        <f t="shared" si="8"/>
        <v>27.272727272727273</v>
      </c>
      <c r="AF5" s="2">
        <f t="shared" si="1"/>
        <v>244.43866755881871</v>
      </c>
    </row>
    <row r="6" spans="1:32" x14ac:dyDescent="0.35">
      <c r="A6" s="2" t="s">
        <v>393</v>
      </c>
      <c r="B6" s="2" t="s">
        <v>388</v>
      </c>
      <c r="C6" s="2">
        <v>22</v>
      </c>
      <c r="D6" s="2">
        <v>4.0199999999999996</v>
      </c>
      <c r="E6" s="7">
        <v>4</v>
      </c>
      <c r="F6" s="7">
        <v>1</v>
      </c>
      <c r="G6" s="7">
        <v>1</v>
      </c>
      <c r="H6" s="7">
        <v>7</v>
      </c>
      <c r="I6" s="7">
        <v>4</v>
      </c>
      <c r="J6" s="7">
        <v>0</v>
      </c>
      <c r="K6" s="7">
        <v>0</v>
      </c>
      <c r="L6" s="7">
        <v>31</v>
      </c>
      <c r="M6" s="7">
        <v>1</v>
      </c>
      <c r="N6" s="7">
        <v>25</v>
      </c>
      <c r="O6" s="7">
        <v>14</v>
      </c>
      <c r="P6" s="7">
        <v>14</v>
      </c>
      <c r="Q6" s="7">
        <v>2</v>
      </c>
      <c r="R6" s="7">
        <v>3</v>
      </c>
      <c r="S6" s="7">
        <v>4</v>
      </c>
      <c r="T6" s="7">
        <v>0</v>
      </c>
      <c r="U6" s="7">
        <v>31</v>
      </c>
      <c r="V6" s="2">
        <f t="shared" si="0"/>
        <v>18.264619445080772</v>
      </c>
      <c r="W6" s="7">
        <v>50</v>
      </c>
      <c r="X6" s="2">
        <f t="shared" si="2"/>
        <v>68.264619445080768</v>
      </c>
      <c r="Y6" s="2"/>
      <c r="Z6" s="2">
        <f t="shared" si="3"/>
        <v>126</v>
      </c>
      <c r="AA6" s="1">
        <f t="shared" si="4"/>
        <v>24.603174603174601</v>
      </c>
      <c r="AB6" s="1">
        <f t="shared" si="5"/>
        <v>5.5555555555555554</v>
      </c>
      <c r="AC6" s="1">
        <f t="shared" si="6"/>
        <v>1.5873015873015872</v>
      </c>
      <c r="AD6" s="2">
        <f t="shared" si="7"/>
        <v>5.7272727272727275</v>
      </c>
      <c r="AE6" s="2">
        <f t="shared" si="8"/>
        <v>19.047619047619044</v>
      </c>
      <c r="AF6" s="2">
        <f t="shared" si="1"/>
        <v>91.323097225403856</v>
      </c>
    </row>
    <row r="7" spans="1:32" x14ac:dyDescent="0.35">
      <c r="A7" s="2" t="s">
        <v>394</v>
      </c>
      <c r="B7" s="2" t="s">
        <v>390</v>
      </c>
      <c r="C7" s="2">
        <v>22</v>
      </c>
      <c r="D7" s="2">
        <v>7.06</v>
      </c>
      <c r="E7" s="7">
        <v>1</v>
      </c>
      <c r="F7" s="7">
        <v>5</v>
      </c>
      <c r="G7" s="7">
        <v>0</v>
      </c>
      <c r="H7" s="7">
        <v>43</v>
      </c>
      <c r="I7" s="7">
        <v>0</v>
      </c>
      <c r="J7" s="7">
        <v>0</v>
      </c>
      <c r="K7" s="7">
        <v>0</v>
      </c>
      <c r="L7" s="7">
        <v>58</v>
      </c>
      <c r="M7" s="7">
        <v>2</v>
      </c>
      <c r="N7" s="7">
        <v>76</v>
      </c>
      <c r="O7" s="7">
        <v>49</v>
      </c>
      <c r="P7" s="7">
        <v>46</v>
      </c>
      <c r="Q7" s="7">
        <v>13</v>
      </c>
      <c r="R7" s="7">
        <v>6</v>
      </c>
      <c r="S7" s="7">
        <v>23</v>
      </c>
      <c r="T7" s="7">
        <v>1</v>
      </c>
      <c r="U7" s="7">
        <v>43</v>
      </c>
      <c r="V7" s="2">
        <f>(AF7*2)/10</f>
        <v>36.145441856276015</v>
      </c>
      <c r="W7" s="7">
        <v>50</v>
      </c>
      <c r="X7" s="2">
        <f t="shared" si="2"/>
        <v>86.145441856276022</v>
      </c>
      <c r="Y7" s="2"/>
      <c r="Z7" s="2">
        <f t="shared" si="3"/>
        <v>281</v>
      </c>
      <c r="AA7" s="1">
        <f t="shared" si="4"/>
        <v>15.302491103202847</v>
      </c>
      <c r="AB7" s="1">
        <f t="shared" si="5"/>
        <v>10.320284697508896</v>
      </c>
      <c r="AC7" s="1">
        <f t="shared" si="6"/>
        <v>4.6263345195729535</v>
      </c>
      <c r="AD7" s="2">
        <f t="shared" si="7"/>
        <v>12.772727272727273</v>
      </c>
      <c r="AE7" s="2">
        <f t="shared" si="8"/>
        <v>4.982206405693951</v>
      </c>
      <c r="AF7" s="2">
        <f t="shared" si="1"/>
        <v>180.72720928138008</v>
      </c>
    </row>
    <row r="8" spans="1:32" x14ac:dyDescent="0.35">
      <c r="A8" s="2" t="s">
        <v>395</v>
      </c>
      <c r="B8" s="2" t="s">
        <v>390</v>
      </c>
      <c r="C8" s="2">
        <v>22</v>
      </c>
      <c r="D8" s="2">
        <v>16.2</v>
      </c>
      <c r="E8" s="7">
        <v>0</v>
      </c>
      <c r="F8" s="7">
        <v>1</v>
      </c>
      <c r="G8" s="7">
        <v>0</v>
      </c>
      <c r="H8" s="7">
        <v>1</v>
      </c>
      <c r="I8" s="7">
        <v>0</v>
      </c>
      <c r="J8" s="7">
        <v>0</v>
      </c>
      <c r="K8" s="7">
        <v>0</v>
      </c>
      <c r="L8" s="7">
        <v>1</v>
      </c>
      <c r="M8" s="7">
        <v>2</v>
      </c>
      <c r="N8" s="7">
        <v>3</v>
      </c>
      <c r="O8" s="7">
        <v>4</v>
      </c>
      <c r="P8" s="7">
        <v>3</v>
      </c>
      <c r="Q8" s="7">
        <v>1</v>
      </c>
      <c r="R8" s="7">
        <v>0</v>
      </c>
      <c r="S8" s="7">
        <v>1</v>
      </c>
      <c r="T8" s="7">
        <v>0</v>
      </c>
      <c r="U8" s="7">
        <v>1</v>
      </c>
      <c r="V8" s="2">
        <f t="shared" ref="V8:V71" si="9">(AF8*2)/10</f>
        <v>2.5022956841138661E-2</v>
      </c>
      <c r="W8" s="7">
        <v>50</v>
      </c>
      <c r="X8" s="2">
        <f t="shared" si="2"/>
        <v>50.025022956841141</v>
      </c>
      <c r="Y8" s="2"/>
      <c r="Z8" s="2">
        <f t="shared" si="3"/>
        <v>9</v>
      </c>
      <c r="AA8" s="1">
        <f t="shared" si="4"/>
        <v>11.111111111111111</v>
      </c>
      <c r="AB8" s="1">
        <f t="shared" si="5"/>
        <v>11.111111111111111</v>
      </c>
      <c r="AC8" s="1">
        <f t="shared" si="6"/>
        <v>11.111111111111111</v>
      </c>
      <c r="AD8" s="2">
        <f t="shared" si="7"/>
        <v>0.40909090909090912</v>
      </c>
      <c r="AE8" s="2">
        <f t="shared" si="8"/>
        <v>0</v>
      </c>
      <c r="AF8" s="2">
        <f t="shared" si="1"/>
        <v>0.1251147842056933</v>
      </c>
    </row>
    <row r="9" spans="1:32" x14ac:dyDescent="0.35">
      <c r="A9" s="2" t="s">
        <v>396</v>
      </c>
      <c r="B9" s="2" t="s">
        <v>390</v>
      </c>
      <c r="C9" s="2">
        <v>22</v>
      </c>
      <c r="D9" s="2">
        <v>7.36</v>
      </c>
      <c r="E9" s="7">
        <v>1</v>
      </c>
      <c r="F9" s="7">
        <v>1</v>
      </c>
      <c r="G9" s="7">
        <v>1</v>
      </c>
      <c r="H9" s="7">
        <v>14</v>
      </c>
      <c r="I9" s="7">
        <v>0</v>
      </c>
      <c r="J9" s="7">
        <v>0</v>
      </c>
      <c r="K9" s="7">
        <v>0</v>
      </c>
      <c r="L9" s="7">
        <v>14</v>
      </c>
      <c r="M9" s="7">
        <v>2</v>
      </c>
      <c r="N9" s="7">
        <v>24</v>
      </c>
      <c r="O9" s="7">
        <v>15</v>
      </c>
      <c r="P9" s="7">
        <v>12</v>
      </c>
      <c r="Q9" s="7">
        <v>4</v>
      </c>
      <c r="R9" s="7">
        <v>0</v>
      </c>
      <c r="S9" s="7">
        <v>5</v>
      </c>
      <c r="T9" s="7">
        <v>1</v>
      </c>
      <c r="U9" s="7">
        <v>16</v>
      </c>
      <c r="V9" s="2">
        <f t="shared" si="9"/>
        <v>10.742214995397696</v>
      </c>
      <c r="W9" s="7">
        <v>50</v>
      </c>
      <c r="X9" s="2">
        <f t="shared" si="2"/>
        <v>60.742214995397696</v>
      </c>
      <c r="Y9" s="2"/>
      <c r="Z9" s="2">
        <f t="shared" si="3"/>
        <v>73</v>
      </c>
      <c r="AA9" s="1">
        <f t="shared" si="4"/>
        <v>21.917808219178081</v>
      </c>
      <c r="AB9" s="1">
        <f t="shared" si="5"/>
        <v>6.8493150684931505</v>
      </c>
      <c r="AC9" s="1">
        <f t="shared" si="6"/>
        <v>5.4794520547945202</v>
      </c>
      <c r="AD9" s="2">
        <f t="shared" si="7"/>
        <v>3.3181818181818183</v>
      </c>
      <c r="AE9" s="2">
        <f t="shared" si="8"/>
        <v>15.06849315068493</v>
      </c>
      <c r="AF9" s="2">
        <f t="shared" si="1"/>
        <v>53.711074976988478</v>
      </c>
    </row>
    <row r="10" spans="1:32" x14ac:dyDescent="0.35">
      <c r="A10" s="2" t="s">
        <v>397</v>
      </c>
      <c r="B10" s="2" t="s">
        <v>390</v>
      </c>
      <c r="C10" s="2">
        <v>22</v>
      </c>
      <c r="D10" s="2">
        <v>8.7899999999999991</v>
      </c>
      <c r="E10" s="7">
        <v>0</v>
      </c>
      <c r="F10" s="7">
        <v>0</v>
      </c>
      <c r="G10" s="7">
        <v>0</v>
      </c>
      <c r="H10" s="7">
        <v>9</v>
      </c>
      <c r="I10" s="7">
        <v>0</v>
      </c>
      <c r="J10" s="7">
        <v>0</v>
      </c>
      <c r="K10" s="7">
        <v>0</v>
      </c>
      <c r="L10" s="7">
        <v>14</v>
      </c>
      <c r="M10" s="7">
        <v>1</v>
      </c>
      <c r="N10" s="7">
        <v>27</v>
      </c>
      <c r="O10" s="7">
        <v>15</v>
      </c>
      <c r="P10" s="7">
        <v>14</v>
      </c>
      <c r="Q10" s="7">
        <v>2</v>
      </c>
      <c r="R10" s="7">
        <v>1</v>
      </c>
      <c r="S10" s="7">
        <v>8</v>
      </c>
      <c r="T10" s="7">
        <v>0</v>
      </c>
      <c r="U10" s="7">
        <v>10</v>
      </c>
      <c r="V10" s="2">
        <f t="shared" si="9"/>
        <v>1.4014150308466868</v>
      </c>
      <c r="W10" s="7">
        <v>50</v>
      </c>
      <c r="X10" s="2">
        <f t="shared" si="2"/>
        <v>51.401415030846685</v>
      </c>
      <c r="Y10" s="2"/>
      <c r="Z10" s="2">
        <f t="shared" si="3"/>
        <v>79</v>
      </c>
      <c r="AA10" s="1">
        <f t="shared" si="4"/>
        <v>12.658227848101266</v>
      </c>
      <c r="AB10" s="1">
        <f t="shared" si="5"/>
        <v>11.39240506329114</v>
      </c>
      <c r="AC10" s="1">
        <f t="shared" si="6"/>
        <v>2.5316455696202533</v>
      </c>
      <c r="AD10" s="2">
        <f t="shared" si="7"/>
        <v>3.5909090909090908</v>
      </c>
      <c r="AE10" s="2">
        <f t="shared" si="8"/>
        <v>1.2658227848101262</v>
      </c>
      <c r="AF10" s="2">
        <f t="shared" si="1"/>
        <v>7.0070751542334344</v>
      </c>
    </row>
    <row r="11" spans="1:32" x14ac:dyDescent="0.35">
      <c r="A11" s="2" t="s">
        <v>398</v>
      </c>
      <c r="B11" s="2" t="s">
        <v>390</v>
      </c>
      <c r="C11" s="2">
        <v>22</v>
      </c>
      <c r="D11" s="2">
        <v>1.35</v>
      </c>
      <c r="E11" s="7">
        <v>1</v>
      </c>
      <c r="F11" s="7">
        <v>0</v>
      </c>
      <c r="G11" s="7">
        <v>0</v>
      </c>
      <c r="H11" s="7">
        <v>3</v>
      </c>
      <c r="I11" s="7">
        <v>0</v>
      </c>
      <c r="J11" s="7">
        <v>0</v>
      </c>
      <c r="K11" s="7">
        <v>0</v>
      </c>
      <c r="L11" s="7">
        <v>6</v>
      </c>
      <c r="M11" s="7">
        <v>2</v>
      </c>
      <c r="N11" s="7">
        <v>3</v>
      </c>
      <c r="O11" s="7">
        <v>1</v>
      </c>
      <c r="P11" s="7">
        <v>1</v>
      </c>
      <c r="Q11" s="7">
        <v>1</v>
      </c>
      <c r="R11" s="7">
        <v>0</v>
      </c>
      <c r="S11" s="7">
        <v>3</v>
      </c>
      <c r="T11" s="7">
        <v>0</v>
      </c>
      <c r="U11" s="7">
        <v>8</v>
      </c>
      <c r="V11" s="2">
        <f t="shared" si="9"/>
        <v>17.319771137952962</v>
      </c>
      <c r="W11" s="7">
        <v>50</v>
      </c>
      <c r="X11" s="2">
        <f t="shared" si="2"/>
        <v>67.319771137952955</v>
      </c>
      <c r="Y11" s="2"/>
      <c r="Z11" s="2">
        <f t="shared" si="3"/>
        <v>26</v>
      </c>
      <c r="AA11" s="1">
        <f t="shared" si="4"/>
        <v>30.76923076923077</v>
      </c>
      <c r="AB11" s="1">
        <f t="shared" si="5"/>
        <v>11.538461538461538</v>
      </c>
      <c r="AC11" s="1">
        <f t="shared" si="6"/>
        <v>3.8461538461538463</v>
      </c>
      <c r="AD11" s="2">
        <f t="shared" si="7"/>
        <v>1.1818181818181819</v>
      </c>
      <c r="AE11" s="2">
        <f t="shared" si="8"/>
        <v>19.230769230769234</v>
      </c>
      <c r="AF11" s="2">
        <f>(AD11+AE11)/(D11/(1+AC11))*AD11</f>
        <v>86.598855689764804</v>
      </c>
    </row>
    <row r="12" spans="1:32" x14ac:dyDescent="0.35">
      <c r="A12" s="2" t="s">
        <v>399</v>
      </c>
      <c r="B12" s="2" t="s">
        <v>388</v>
      </c>
      <c r="C12" s="2">
        <v>22</v>
      </c>
      <c r="D12" s="2">
        <v>3.14</v>
      </c>
      <c r="E12" s="7">
        <v>4</v>
      </c>
      <c r="F12" s="7">
        <v>3</v>
      </c>
      <c r="G12" s="7">
        <v>0</v>
      </c>
      <c r="H12" s="7">
        <v>10</v>
      </c>
      <c r="I12" s="7">
        <v>9</v>
      </c>
      <c r="J12" s="7">
        <v>0</v>
      </c>
      <c r="K12" s="7">
        <v>0</v>
      </c>
      <c r="L12" s="7">
        <v>48</v>
      </c>
      <c r="M12" s="7">
        <v>2</v>
      </c>
      <c r="N12" s="7">
        <v>38</v>
      </c>
      <c r="O12" s="7">
        <v>18</v>
      </c>
      <c r="P12" s="7">
        <v>17</v>
      </c>
      <c r="Q12" s="7">
        <v>8</v>
      </c>
      <c r="R12" s="7">
        <v>1</v>
      </c>
      <c r="S12" s="7">
        <v>18</v>
      </c>
      <c r="T12" s="7">
        <v>0</v>
      </c>
      <c r="U12" s="7">
        <v>43</v>
      </c>
      <c r="V12" s="2">
        <f t="shared" si="9"/>
        <v>61.126469670736185</v>
      </c>
      <c r="W12" s="7">
        <v>50</v>
      </c>
      <c r="X12" s="2">
        <f t="shared" si="2"/>
        <v>111.12646967073618</v>
      </c>
      <c r="Y12" s="2"/>
      <c r="Z12" s="2">
        <f t="shared" si="3"/>
        <v>203</v>
      </c>
      <c r="AA12" s="1">
        <f t="shared" si="4"/>
        <v>21.182266009852217</v>
      </c>
      <c r="AB12" s="1">
        <f t="shared" si="5"/>
        <v>9.3596059113300498</v>
      </c>
      <c r="AC12" s="1">
        <f t="shared" si="6"/>
        <v>3.9408866995073892</v>
      </c>
      <c r="AD12" s="2">
        <f t="shared" si="7"/>
        <v>9.2272727272727266</v>
      </c>
      <c r="AE12" s="2">
        <f t="shared" si="8"/>
        <v>11.822660098522167</v>
      </c>
      <c r="AF12" s="2">
        <f t="shared" ref="AF12:AF75" si="10">(AD12+AE12)/(D12/(1+AC12))*AD12</f>
        <v>305.63234835368092</v>
      </c>
    </row>
    <row r="13" spans="1:32" x14ac:dyDescent="0.35">
      <c r="A13" s="2" t="s">
        <v>400</v>
      </c>
      <c r="B13" s="2" t="s">
        <v>388</v>
      </c>
      <c r="C13" s="2">
        <v>22</v>
      </c>
      <c r="D13" s="2">
        <v>19.5</v>
      </c>
      <c r="E13" s="7">
        <v>0</v>
      </c>
      <c r="F13" s="7">
        <v>3</v>
      </c>
      <c r="G13" s="7">
        <v>0</v>
      </c>
      <c r="H13" s="7">
        <v>3</v>
      </c>
      <c r="I13" s="7">
        <v>2</v>
      </c>
      <c r="J13" s="7">
        <v>0</v>
      </c>
      <c r="K13" s="7">
        <v>0</v>
      </c>
      <c r="L13" s="7">
        <v>6</v>
      </c>
      <c r="N13" s="7">
        <v>14</v>
      </c>
      <c r="O13" s="7">
        <v>14</v>
      </c>
      <c r="P13" s="7">
        <v>13</v>
      </c>
      <c r="Q13" s="7">
        <v>3</v>
      </c>
      <c r="R13" s="7">
        <v>1</v>
      </c>
      <c r="S13" s="7">
        <v>8</v>
      </c>
      <c r="T13" s="7">
        <v>0</v>
      </c>
      <c r="U13" s="7">
        <v>7</v>
      </c>
      <c r="V13" s="2">
        <f t="shared" si="9"/>
        <v>-0.47921428165330615</v>
      </c>
      <c r="W13" s="7">
        <v>50</v>
      </c>
      <c r="X13" s="2">
        <f t="shared" si="2"/>
        <v>49.520785718346694</v>
      </c>
      <c r="Y13" s="2"/>
      <c r="Z13" s="2">
        <f t="shared" si="3"/>
        <v>41</v>
      </c>
      <c r="AA13" s="1">
        <f t="shared" si="4"/>
        <v>17.073170731707318</v>
      </c>
      <c r="AB13" s="1">
        <f t="shared" si="5"/>
        <v>21.951219512195124</v>
      </c>
      <c r="AC13" s="1">
        <f t="shared" si="6"/>
        <v>7.3170731707317067</v>
      </c>
      <c r="AD13" s="2">
        <f t="shared" si="7"/>
        <v>1.8636363636363635</v>
      </c>
      <c r="AE13" s="2">
        <f t="shared" si="8"/>
        <v>-4.8780487804878057</v>
      </c>
      <c r="AF13" s="2">
        <f t="shared" si="10"/>
        <v>-2.3960714082665309</v>
      </c>
    </row>
    <row r="14" spans="1:32" x14ac:dyDescent="0.35">
      <c r="A14" s="2" t="s">
        <v>401</v>
      </c>
      <c r="B14" s="2" t="s">
        <v>390</v>
      </c>
      <c r="C14" s="2">
        <v>22</v>
      </c>
      <c r="D14" s="2">
        <v>6.06</v>
      </c>
      <c r="E14" s="7">
        <v>0</v>
      </c>
      <c r="F14" s="7">
        <v>1</v>
      </c>
      <c r="G14" s="7">
        <v>0</v>
      </c>
      <c r="H14" s="7">
        <v>7</v>
      </c>
      <c r="I14" s="7">
        <v>3</v>
      </c>
      <c r="J14" s="7">
        <v>0</v>
      </c>
      <c r="K14" s="7">
        <v>0</v>
      </c>
      <c r="L14" s="7">
        <v>16</v>
      </c>
      <c r="M14" s="7">
        <v>1</v>
      </c>
      <c r="N14" s="7">
        <v>18</v>
      </c>
      <c r="O14" s="7">
        <v>12</v>
      </c>
      <c r="P14" s="7">
        <v>11</v>
      </c>
      <c r="Q14" s="7">
        <v>5</v>
      </c>
      <c r="R14" s="7">
        <v>0</v>
      </c>
      <c r="S14" s="7">
        <v>8</v>
      </c>
      <c r="T14" s="7">
        <v>0</v>
      </c>
      <c r="U14" s="7">
        <v>19</v>
      </c>
      <c r="V14" s="2">
        <f t="shared" si="9"/>
        <v>15.591900099100823</v>
      </c>
      <c r="W14" s="7">
        <v>50</v>
      </c>
      <c r="X14" s="2">
        <f t="shared" si="2"/>
        <v>65.591900099100826</v>
      </c>
      <c r="Y14" s="2"/>
      <c r="Z14" s="2">
        <f t="shared" si="3"/>
        <v>75</v>
      </c>
      <c r="AA14" s="1">
        <f t="shared" si="4"/>
        <v>25.333333333333336</v>
      </c>
      <c r="AB14" s="1">
        <f t="shared" si="5"/>
        <v>10.666666666666668</v>
      </c>
      <c r="AC14" s="1">
        <f t="shared" si="6"/>
        <v>6.666666666666667</v>
      </c>
      <c r="AD14" s="2">
        <f t="shared" si="7"/>
        <v>3.4090909090909092</v>
      </c>
      <c r="AE14" s="2">
        <f t="shared" si="8"/>
        <v>14.666666666666668</v>
      </c>
      <c r="AF14" s="2">
        <f t="shared" si="10"/>
        <v>77.959500495504116</v>
      </c>
    </row>
    <row r="15" spans="1:32" x14ac:dyDescent="0.35">
      <c r="A15" s="2" t="s">
        <v>402</v>
      </c>
      <c r="B15" s="2" t="s">
        <v>388</v>
      </c>
      <c r="C15" s="2">
        <v>22</v>
      </c>
      <c r="D15" s="2">
        <v>7.71</v>
      </c>
      <c r="E15" s="7">
        <v>2</v>
      </c>
      <c r="F15" s="7">
        <v>3</v>
      </c>
      <c r="G15" s="7">
        <v>0</v>
      </c>
      <c r="H15" s="7">
        <v>5</v>
      </c>
      <c r="I15" s="7">
        <v>5</v>
      </c>
      <c r="J15" s="7">
        <v>0</v>
      </c>
      <c r="K15" s="7">
        <v>0</v>
      </c>
      <c r="L15" s="7">
        <v>18</v>
      </c>
      <c r="M15" s="7">
        <v>2</v>
      </c>
      <c r="N15" s="7">
        <v>24</v>
      </c>
      <c r="O15" s="7">
        <v>20</v>
      </c>
      <c r="P15" s="7">
        <v>16</v>
      </c>
      <c r="Q15" s="7">
        <v>3</v>
      </c>
      <c r="R15" s="7">
        <v>0</v>
      </c>
      <c r="S15" s="7">
        <v>9</v>
      </c>
      <c r="T15" s="7">
        <v>0</v>
      </c>
      <c r="U15" s="7">
        <v>22</v>
      </c>
      <c r="V15" s="2">
        <f t="shared" si="9"/>
        <v>8.5552461856997191</v>
      </c>
      <c r="W15" s="7">
        <v>50</v>
      </c>
      <c r="X15" s="2">
        <f t="shared" si="2"/>
        <v>58.555246185699716</v>
      </c>
      <c r="Y15" s="2"/>
      <c r="Z15" s="2">
        <f t="shared" si="3"/>
        <v>89</v>
      </c>
      <c r="AA15" s="1">
        <f t="shared" si="4"/>
        <v>24.719101123595504</v>
      </c>
      <c r="AB15" s="1">
        <f t="shared" si="5"/>
        <v>10.112359550561797</v>
      </c>
      <c r="AC15" s="1">
        <f t="shared" si="6"/>
        <v>3.3707865168539324</v>
      </c>
      <c r="AD15" s="2">
        <f t="shared" si="7"/>
        <v>4.0454545454545459</v>
      </c>
      <c r="AE15" s="2">
        <f t="shared" si="8"/>
        <v>14.606741573033707</v>
      </c>
      <c r="AF15" s="2">
        <f t="shared" si="10"/>
        <v>42.776230928498592</v>
      </c>
    </row>
    <row r="16" spans="1:32" x14ac:dyDescent="0.35">
      <c r="A16" s="2" t="s">
        <v>403</v>
      </c>
      <c r="B16" s="2" t="s">
        <v>388</v>
      </c>
      <c r="C16" s="2">
        <v>23</v>
      </c>
      <c r="D16" s="2">
        <v>6.23</v>
      </c>
      <c r="E16" s="7">
        <v>3</v>
      </c>
      <c r="F16" s="7">
        <v>4</v>
      </c>
      <c r="G16" s="7">
        <v>0</v>
      </c>
      <c r="H16" s="7">
        <v>10</v>
      </c>
      <c r="I16" s="7">
        <v>8</v>
      </c>
      <c r="J16" s="7">
        <v>0</v>
      </c>
      <c r="K16" s="7">
        <v>0</v>
      </c>
      <c r="L16" s="7">
        <v>39</v>
      </c>
      <c r="N16" s="7">
        <v>43</v>
      </c>
      <c r="O16" s="7">
        <v>28</v>
      </c>
      <c r="P16" s="7">
        <v>27</v>
      </c>
      <c r="Q16" s="7">
        <v>8</v>
      </c>
      <c r="R16" s="7">
        <v>1</v>
      </c>
      <c r="S16" s="7">
        <v>16</v>
      </c>
      <c r="T16" s="7">
        <v>0</v>
      </c>
      <c r="U16" s="7">
        <v>39</v>
      </c>
      <c r="V16" s="2">
        <f t="shared" si="9"/>
        <v>27.443862096129248</v>
      </c>
      <c r="W16" s="7">
        <v>50</v>
      </c>
      <c r="X16" s="2">
        <f t="shared" si="2"/>
        <v>77.443862096129251</v>
      </c>
      <c r="Y16" s="2"/>
      <c r="Z16" s="2">
        <f t="shared" si="3"/>
        <v>177</v>
      </c>
      <c r="AA16" s="1">
        <f t="shared" si="4"/>
        <v>22.033898305084744</v>
      </c>
      <c r="AB16" s="1">
        <f t="shared" si="5"/>
        <v>9.6045197740112993</v>
      </c>
      <c r="AC16" s="1">
        <f t="shared" si="6"/>
        <v>4.5197740112994351</v>
      </c>
      <c r="AD16" s="2">
        <f t="shared" si="7"/>
        <v>7.6956521739130439</v>
      </c>
      <c r="AE16" s="2">
        <f t="shared" si="8"/>
        <v>12.429378531073445</v>
      </c>
      <c r="AF16" s="2">
        <f t="shared" si="10"/>
        <v>137.21931048064624</v>
      </c>
    </row>
    <row r="17" spans="1:32" x14ac:dyDescent="0.35">
      <c r="A17" s="2" t="s">
        <v>404</v>
      </c>
      <c r="B17" s="2" t="s">
        <v>390</v>
      </c>
      <c r="C17" s="2">
        <v>23</v>
      </c>
      <c r="D17" s="2">
        <v>4.91</v>
      </c>
      <c r="E17" s="7">
        <v>0</v>
      </c>
      <c r="F17" s="7">
        <v>0</v>
      </c>
      <c r="G17" s="7">
        <v>0</v>
      </c>
      <c r="H17" s="7">
        <v>5</v>
      </c>
      <c r="I17" s="7">
        <v>0</v>
      </c>
      <c r="J17" s="7">
        <v>0</v>
      </c>
      <c r="K17" s="7">
        <v>0</v>
      </c>
      <c r="L17" s="7">
        <v>3</v>
      </c>
      <c r="M17" s="7">
        <v>2</v>
      </c>
      <c r="N17" s="7">
        <v>5</v>
      </c>
      <c r="O17" s="7">
        <v>2</v>
      </c>
      <c r="P17" s="7">
        <v>2</v>
      </c>
      <c r="Q17" s="7">
        <v>0</v>
      </c>
      <c r="R17" s="7">
        <v>0</v>
      </c>
      <c r="S17" s="7">
        <v>3</v>
      </c>
      <c r="T17" s="7">
        <v>0</v>
      </c>
      <c r="U17" s="7">
        <v>5</v>
      </c>
      <c r="V17" s="2">
        <f t="shared" si="9"/>
        <v>0.38199885269443551</v>
      </c>
      <c r="W17" s="7">
        <v>50</v>
      </c>
      <c r="X17" s="2">
        <f t="shared" si="2"/>
        <v>50.381998852694437</v>
      </c>
      <c r="Y17" s="2"/>
      <c r="Z17" s="2">
        <f t="shared" si="3"/>
        <v>19</v>
      </c>
      <c r="AA17" s="1">
        <f t="shared" si="4"/>
        <v>26.315789473684209</v>
      </c>
      <c r="AB17" s="1">
        <f t="shared" si="5"/>
        <v>15.789473684210526</v>
      </c>
      <c r="AC17" s="1">
        <f t="shared" si="6"/>
        <v>0</v>
      </c>
      <c r="AD17" s="2">
        <f t="shared" si="7"/>
        <v>0.82608695652173914</v>
      </c>
      <c r="AE17" s="2">
        <f t="shared" si="8"/>
        <v>10.526315789473683</v>
      </c>
      <c r="AF17" s="2">
        <f t="shared" si="10"/>
        <v>1.9099942634721776</v>
      </c>
    </row>
    <row r="18" spans="1:32" x14ac:dyDescent="0.35">
      <c r="A18" s="2" t="s">
        <v>405</v>
      </c>
      <c r="B18" s="2" t="s">
        <v>388</v>
      </c>
      <c r="C18" s="2">
        <v>23</v>
      </c>
      <c r="D18" s="2">
        <v>7.9</v>
      </c>
      <c r="E18" s="7">
        <v>0</v>
      </c>
      <c r="F18" s="7">
        <v>2</v>
      </c>
      <c r="G18" s="7">
        <v>0</v>
      </c>
      <c r="H18" s="7">
        <v>4</v>
      </c>
      <c r="I18" s="7">
        <v>2</v>
      </c>
      <c r="J18" s="7">
        <v>0</v>
      </c>
      <c r="K18" s="7">
        <v>0</v>
      </c>
      <c r="L18" s="7">
        <v>13</v>
      </c>
      <c r="M18" s="7">
        <v>2</v>
      </c>
      <c r="N18" s="7">
        <v>20</v>
      </c>
      <c r="O18" s="7">
        <v>14</v>
      </c>
      <c r="P18" s="7">
        <v>12</v>
      </c>
      <c r="Q18" s="7">
        <v>3</v>
      </c>
      <c r="R18" s="7">
        <v>4</v>
      </c>
      <c r="S18" s="7">
        <v>10</v>
      </c>
      <c r="T18" s="7">
        <v>0</v>
      </c>
      <c r="U18" s="7">
        <v>12</v>
      </c>
      <c r="V18" s="2">
        <f t="shared" si="9"/>
        <v>0.24526811993012793</v>
      </c>
      <c r="W18" s="7">
        <v>50</v>
      </c>
      <c r="X18" s="2">
        <f t="shared" si="2"/>
        <v>50.245268119930131</v>
      </c>
      <c r="Y18" s="2"/>
      <c r="Z18" s="2">
        <f t="shared" si="3"/>
        <v>75</v>
      </c>
      <c r="AA18" s="1">
        <f t="shared" si="4"/>
        <v>16</v>
      </c>
      <c r="AB18" s="1">
        <f t="shared" si="5"/>
        <v>18.666666666666668</v>
      </c>
      <c r="AC18" s="1">
        <f t="shared" si="6"/>
        <v>4</v>
      </c>
      <c r="AD18" s="2">
        <f t="shared" si="7"/>
        <v>3.2608695652173911</v>
      </c>
      <c r="AE18" s="2">
        <f t="shared" si="8"/>
        <v>-2.6666666666666679</v>
      </c>
      <c r="AF18" s="2">
        <f t="shared" si="10"/>
        <v>1.2263405996506396</v>
      </c>
    </row>
    <row r="19" spans="1:32" x14ac:dyDescent="0.35">
      <c r="A19" s="2" t="s">
        <v>406</v>
      </c>
      <c r="B19" s="2" t="s">
        <v>390</v>
      </c>
      <c r="C19" s="2">
        <v>23</v>
      </c>
      <c r="D19" s="2">
        <v>1.29</v>
      </c>
      <c r="E19" s="7">
        <v>1</v>
      </c>
      <c r="F19" s="7">
        <v>1</v>
      </c>
      <c r="G19" s="7">
        <v>0</v>
      </c>
      <c r="H19" s="7">
        <v>13</v>
      </c>
      <c r="I19" s="7">
        <v>0</v>
      </c>
      <c r="J19" s="7">
        <v>0</v>
      </c>
      <c r="K19" s="7">
        <v>0</v>
      </c>
      <c r="L19" s="7">
        <v>14</v>
      </c>
      <c r="N19" s="7">
        <v>7</v>
      </c>
      <c r="O19" s="7">
        <v>2</v>
      </c>
      <c r="P19" s="7">
        <v>2</v>
      </c>
      <c r="Q19" s="7">
        <v>0</v>
      </c>
      <c r="R19" s="7">
        <v>0</v>
      </c>
      <c r="S19" s="7">
        <v>6</v>
      </c>
      <c r="T19" s="7">
        <v>0</v>
      </c>
      <c r="U19" s="7">
        <v>16</v>
      </c>
      <c r="V19" s="2">
        <f t="shared" si="9"/>
        <v>7.627379434650722</v>
      </c>
      <c r="W19" s="7">
        <v>50</v>
      </c>
      <c r="X19" s="2">
        <f t="shared" si="2"/>
        <v>57.62737943465072</v>
      </c>
      <c r="Y19" s="2"/>
      <c r="Z19" s="2">
        <f t="shared" si="3"/>
        <v>55</v>
      </c>
      <c r="AA19" s="1">
        <f t="shared" si="4"/>
        <v>29.09090909090909</v>
      </c>
      <c r="AB19" s="1">
        <f t="shared" si="5"/>
        <v>10.909090909090908</v>
      </c>
      <c r="AC19" s="1">
        <f t="shared" si="6"/>
        <v>0</v>
      </c>
      <c r="AD19" s="2">
        <f t="shared" si="7"/>
        <v>2.3913043478260869</v>
      </c>
      <c r="AE19" s="2">
        <f t="shared" si="8"/>
        <v>18.18181818181818</v>
      </c>
      <c r="AF19" s="2">
        <f t="shared" si="10"/>
        <v>38.136897173253608</v>
      </c>
    </row>
    <row r="20" spans="1:32" x14ac:dyDescent="0.35">
      <c r="A20" s="2" t="s">
        <v>407</v>
      </c>
      <c r="B20" s="2" t="s">
        <v>388</v>
      </c>
      <c r="C20" s="2">
        <v>23</v>
      </c>
      <c r="D20" s="2">
        <v>6.52</v>
      </c>
      <c r="E20" s="7">
        <v>2</v>
      </c>
      <c r="F20" s="7">
        <v>12</v>
      </c>
      <c r="G20" s="7">
        <v>0</v>
      </c>
      <c r="H20" s="7">
        <v>21</v>
      </c>
      <c r="I20" s="7">
        <v>21</v>
      </c>
      <c r="J20" s="7">
        <v>0</v>
      </c>
      <c r="K20" s="7">
        <v>0</v>
      </c>
      <c r="L20" s="7">
        <v>98</v>
      </c>
      <c r="N20" s="7">
        <v>103</v>
      </c>
      <c r="O20" s="7">
        <v>76</v>
      </c>
      <c r="P20" s="7">
        <v>71</v>
      </c>
      <c r="Q20" s="7">
        <v>18</v>
      </c>
      <c r="R20" s="7">
        <v>6</v>
      </c>
      <c r="S20" s="7">
        <v>49</v>
      </c>
      <c r="T20" s="7">
        <v>0</v>
      </c>
      <c r="U20" s="7">
        <v>82</v>
      </c>
      <c r="V20" s="2">
        <f t="shared" si="9"/>
        <v>76.965734918050728</v>
      </c>
      <c r="W20" s="7">
        <v>50</v>
      </c>
      <c r="X20" s="2">
        <f t="shared" si="2"/>
        <v>126.96573491805073</v>
      </c>
      <c r="Y20" s="2"/>
      <c r="Z20" s="2">
        <f t="shared" si="3"/>
        <v>452</v>
      </c>
      <c r="AA20" s="1">
        <f t="shared" si="4"/>
        <v>18.141592920353983</v>
      </c>
      <c r="AB20" s="1">
        <f t="shared" si="5"/>
        <v>12.168141592920353</v>
      </c>
      <c r="AC20" s="1">
        <f t="shared" si="6"/>
        <v>3.9823008849557522</v>
      </c>
      <c r="AD20" s="2">
        <f t="shared" si="7"/>
        <v>19.652173913043477</v>
      </c>
      <c r="AE20" s="2">
        <f t="shared" si="8"/>
        <v>5.9734513274336294</v>
      </c>
      <c r="AF20" s="2">
        <f t="shared" si="10"/>
        <v>384.82867459025363</v>
      </c>
    </row>
    <row r="21" spans="1:32" x14ac:dyDescent="0.35">
      <c r="A21" s="2" t="s">
        <v>408</v>
      </c>
      <c r="B21" s="2" t="s">
        <v>390</v>
      </c>
      <c r="C21" s="2">
        <v>23</v>
      </c>
      <c r="D21" s="2">
        <v>81</v>
      </c>
      <c r="E21" s="7">
        <v>0</v>
      </c>
      <c r="F21" s="7">
        <v>0</v>
      </c>
      <c r="G21" s="7">
        <v>0</v>
      </c>
      <c r="H21" s="7">
        <v>1</v>
      </c>
      <c r="I21" s="7">
        <v>0</v>
      </c>
      <c r="J21" s="7">
        <v>0</v>
      </c>
      <c r="K21" s="7">
        <v>0</v>
      </c>
      <c r="L21" s="7">
        <v>0</v>
      </c>
      <c r="M21" s="7">
        <v>1</v>
      </c>
      <c r="N21" s="7">
        <v>1</v>
      </c>
      <c r="O21" s="7">
        <v>3</v>
      </c>
      <c r="P21" s="7">
        <v>3</v>
      </c>
      <c r="Q21" s="7">
        <v>0</v>
      </c>
      <c r="R21" s="7">
        <v>0</v>
      </c>
      <c r="S21" s="7">
        <v>3</v>
      </c>
      <c r="T21" s="7">
        <v>0</v>
      </c>
      <c r="U21" s="7">
        <v>0</v>
      </c>
      <c r="V21" s="2">
        <f t="shared" si="9"/>
        <v>-3.2089430325095099E-2</v>
      </c>
      <c r="W21" s="7">
        <v>50</v>
      </c>
      <c r="X21" s="2">
        <f t="shared" si="2"/>
        <v>49.967910569674906</v>
      </c>
      <c r="Y21" s="2"/>
      <c r="Z21" s="2">
        <f t="shared" si="3"/>
        <v>5</v>
      </c>
      <c r="AA21" s="1">
        <f t="shared" si="4"/>
        <v>0</v>
      </c>
      <c r="AB21" s="1">
        <f t="shared" si="5"/>
        <v>60</v>
      </c>
      <c r="AC21" s="1">
        <f t="shared" si="6"/>
        <v>0</v>
      </c>
      <c r="AD21" s="2">
        <f t="shared" si="7"/>
        <v>0.21739130434782608</v>
      </c>
      <c r="AE21" s="2">
        <f t="shared" si="8"/>
        <v>-60</v>
      </c>
      <c r="AF21" s="2">
        <f t="shared" si="10"/>
        <v>-0.16044715162547549</v>
      </c>
    </row>
    <row r="22" spans="1:32" x14ac:dyDescent="0.35">
      <c r="A22" s="2" t="s">
        <v>409</v>
      </c>
      <c r="B22" s="2" t="s">
        <v>388</v>
      </c>
      <c r="C22" s="2">
        <v>23</v>
      </c>
      <c r="D22" s="2">
        <v>2.33</v>
      </c>
      <c r="E22" s="7">
        <v>1</v>
      </c>
      <c r="F22" s="7">
        <v>2</v>
      </c>
      <c r="G22" s="7">
        <v>0</v>
      </c>
      <c r="H22" s="7">
        <v>4</v>
      </c>
      <c r="I22" s="7">
        <v>4</v>
      </c>
      <c r="J22" s="7">
        <v>0</v>
      </c>
      <c r="K22" s="7">
        <v>0</v>
      </c>
      <c r="L22" s="7">
        <v>19</v>
      </c>
      <c r="M22" s="7">
        <v>1</v>
      </c>
      <c r="N22" s="7">
        <v>17</v>
      </c>
      <c r="O22" s="7">
        <v>6</v>
      </c>
      <c r="P22" s="7">
        <v>5</v>
      </c>
      <c r="Q22" s="7">
        <v>0</v>
      </c>
      <c r="R22" s="7">
        <v>1</v>
      </c>
      <c r="S22" s="7">
        <v>4</v>
      </c>
      <c r="T22" s="7">
        <v>0</v>
      </c>
      <c r="U22" s="7">
        <v>29</v>
      </c>
      <c r="V22" s="2">
        <f t="shared" si="9"/>
        <v>9.9953755161978624</v>
      </c>
      <c r="W22" s="7">
        <v>50</v>
      </c>
      <c r="X22" s="2">
        <f t="shared" si="2"/>
        <v>59.995375516197861</v>
      </c>
      <c r="Y22" s="2"/>
      <c r="Z22" s="2">
        <f t="shared" si="3"/>
        <v>80</v>
      </c>
      <c r="AA22" s="1">
        <f t="shared" si="4"/>
        <v>36.25</v>
      </c>
      <c r="AB22" s="1">
        <f t="shared" si="5"/>
        <v>6.25</v>
      </c>
      <c r="AC22" s="1">
        <f t="shared" si="6"/>
        <v>0</v>
      </c>
      <c r="AD22" s="2">
        <f t="shared" si="7"/>
        <v>3.4782608695652173</v>
      </c>
      <c r="AE22" s="2">
        <f t="shared" si="8"/>
        <v>30</v>
      </c>
      <c r="AF22" s="2">
        <f t="shared" si="10"/>
        <v>49.97687758098931</v>
      </c>
    </row>
    <row r="23" spans="1:32" x14ac:dyDescent="0.35">
      <c r="A23" s="2" t="s">
        <v>410</v>
      </c>
      <c r="B23" s="2" t="s">
        <v>388</v>
      </c>
      <c r="C23" s="2">
        <v>23</v>
      </c>
      <c r="D23" s="2">
        <v>9.82</v>
      </c>
      <c r="E23" s="7">
        <v>0</v>
      </c>
      <c r="F23" s="7">
        <v>2</v>
      </c>
      <c r="G23" s="7">
        <v>0</v>
      </c>
      <c r="H23" s="7">
        <v>3</v>
      </c>
      <c r="I23" s="7">
        <v>2</v>
      </c>
      <c r="J23" s="7">
        <v>0</v>
      </c>
      <c r="K23" s="7">
        <v>0</v>
      </c>
      <c r="L23" s="7">
        <v>11</v>
      </c>
      <c r="N23" s="7">
        <v>16</v>
      </c>
      <c r="O23" s="7">
        <v>12</v>
      </c>
      <c r="P23" s="7">
        <v>12</v>
      </c>
      <c r="Q23" s="7">
        <v>4</v>
      </c>
      <c r="R23" s="7">
        <v>1</v>
      </c>
      <c r="S23" s="7">
        <v>6</v>
      </c>
      <c r="T23" s="7">
        <v>0</v>
      </c>
      <c r="U23" s="7">
        <v>6</v>
      </c>
      <c r="V23" s="2">
        <f t="shared" si="9"/>
        <v>0.26208727112326474</v>
      </c>
      <c r="W23" s="7">
        <v>50</v>
      </c>
      <c r="X23" s="2">
        <f t="shared" si="2"/>
        <v>50.262087271123264</v>
      </c>
      <c r="Y23" s="2"/>
      <c r="Z23" s="2">
        <f t="shared" si="3"/>
        <v>56</v>
      </c>
      <c r="AA23" s="1">
        <f t="shared" si="4"/>
        <v>10.714285714285714</v>
      </c>
      <c r="AB23" s="1">
        <f t="shared" si="5"/>
        <v>12.5</v>
      </c>
      <c r="AC23" s="1">
        <f t="shared" si="6"/>
        <v>7.1428571428571423</v>
      </c>
      <c r="AD23" s="2">
        <f t="shared" si="7"/>
        <v>2.4347826086956523</v>
      </c>
      <c r="AE23" s="2">
        <f t="shared" si="8"/>
        <v>-1.7857142857142865</v>
      </c>
      <c r="AF23" s="2">
        <f t="shared" si="10"/>
        <v>1.3104363556163237</v>
      </c>
    </row>
    <row r="24" spans="1:32" x14ac:dyDescent="0.35">
      <c r="A24" s="2" t="s">
        <v>411</v>
      </c>
      <c r="B24" s="2" t="s">
        <v>390</v>
      </c>
      <c r="C24" s="2">
        <v>23</v>
      </c>
      <c r="D24" s="2">
        <v>4.46</v>
      </c>
      <c r="E24" s="7">
        <v>3</v>
      </c>
      <c r="F24" s="7">
        <v>2</v>
      </c>
      <c r="G24" s="7">
        <v>0</v>
      </c>
      <c r="H24" s="7">
        <v>40</v>
      </c>
      <c r="I24" s="7">
        <v>0</v>
      </c>
      <c r="J24" s="7">
        <v>0</v>
      </c>
      <c r="K24" s="7">
        <v>0</v>
      </c>
      <c r="L24" s="7">
        <v>34</v>
      </c>
      <c r="M24" s="7">
        <v>1</v>
      </c>
      <c r="N24" s="7">
        <v>25</v>
      </c>
      <c r="O24" s="7">
        <v>21</v>
      </c>
      <c r="P24" s="7">
        <v>17</v>
      </c>
      <c r="Q24" s="7">
        <v>8</v>
      </c>
      <c r="R24" s="7">
        <v>1</v>
      </c>
      <c r="S24" s="7">
        <v>23</v>
      </c>
      <c r="T24" s="7">
        <v>2</v>
      </c>
      <c r="U24" s="7">
        <v>39</v>
      </c>
      <c r="V24" s="2">
        <f t="shared" si="9"/>
        <v>30.583379027051723</v>
      </c>
      <c r="W24" s="7">
        <v>50</v>
      </c>
      <c r="X24" s="2">
        <f t="shared" si="2"/>
        <v>80.58337902705172</v>
      </c>
      <c r="Y24" s="2"/>
      <c r="Z24" s="2">
        <f t="shared" si="3"/>
        <v>152</v>
      </c>
      <c r="AA24" s="1">
        <f t="shared" si="4"/>
        <v>25.657894736842106</v>
      </c>
      <c r="AB24" s="1">
        <f t="shared" si="5"/>
        <v>15.789473684210526</v>
      </c>
      <c r="AC24" s="1">
        <f t="shared" si="6"/>
        <v>5.2631578947368416</v>
      </c>
      <c r="AD24" s="2">
        <f t="shared" si="7"/>
        <v>6.6086956521739131</v>
      </c>
      <c r="AE24" s="2">
        <f t="shared" si="8"/>
        <v>9.8684210526315805</v>
      </c>
      <c r="AF24" s="2">
        <f t="shared" si="10"/>
        <v>152.91689513525861</v>
      </c>
    </row>
    <row r="25" spans="1:32" x14ac:dyDescent="0.35">
      <c r="A25" s="2" t="s">
        <v>412</v>
      </c>
      <c r="B25" s="2" t="s">
        <v>390</v>
      </c>
      <c r="C25" s="2">
        <v>23</v>
      </c>
      <c r="D25" s="2">
        <v>4.4400000000000004</v>
      </c>
      <c r="E25" s="7">
        <v>5</v>
      </c>
      <c r="F25" s="7">
        <v>2</v>
      </c>
      <c r="G25" s="7">
        <v>1</v>
      </c>
      <c r="H25" s="7">
        <v>55</v>
      </c>
      <c r="I25" s="7">
        <v>0</v>
      </c>
      <c r="J25" s="7">
        <v>0</v>
      </c>
      <c r="K25" s="7">
        <v>0</v>
      </c>
      <c r="L25" s="7">
        <v>52</v>
      </c>
      <c r="M25" s="7">
        <v>2</v>
      </c>
      <c r="N25" s="7">
        <v>36</v>
      </c>
      <c r="O25" s="7">
        <v>28</v>
      </c>
      <c r="P25" s="7">
        <v>26</v>
      </c>
      <c r="Q25" s="7">
        <v>6</v>
      </c>
      <c r="R25" s="7">
        <v>2</v>
      </c>
      <c r="S25" s="7">
        <v>24</v>
      </c>
      <c r="T25" s="7">
        <v>4</v>
      </c>
      <c r="U25" s="7">
        <v>56</v>
      </c>
      <c r="V25" s="2">
        <f t="shared" si="9"/>
        <v>37.26066675026977</v>
      </c>
      <c r="W25" s="7">
        <v>50</v>
      </c>
      <c r="X25" s="2">
        <f t="shared" si="2"/>
        <v>87.260666750269763</v>
      </c>
      <c r="Y25" s="2"/>
      <c r="Z25" s="2">
        <f t="shared" si="3"/>
        <v>220</v>
      </c>
      <c r="AA25" s="1">
        <f t="shared" si="4"/>
        <v>25.454545454545453</v>
      </c>
      <c r="AB25" s="1">
        <f t="shared" si="5"/>
        <v>11.818181818181818</v>
      </c>
      <c r="AC25" s="1">
        <f t="shared" si="6"/>
        <v>2.7272727272727271</v>
      </c>
      <c r="AD25" s="2">
        <f t="shared" si="7"/>
        <v>9.5652173913043477</v>
      </c>
      <c r="AE25" s="2">
        <f t="shared" si="8"/>
        <v>13.636363636363635</v>
      </c>
      <c r="AF25" s="2">
        <f t="shared" si="10"/>
        <v>186.30333375134884</v>
      </c>
    </row>
    <row r="26" spans="1:32" x14ac:dyDescent="0.35">
      <c r="A26" s="2" t="s">
        <v>413</v>
      </c>
      <c r="B26" s="2" t="s">
        <v>390</v>
      </c>
      <c r="C26" s="2">
        <v>23</v>
      </c>
      <c r="D26" s="2">
        <v>2.66</v>
      </c>
      <c r="E26" s="7">
        <v>1</v>
      </c>
      <c r="F26" s="7">
        <v>0</v>
      </c>
      <c r="G26" s="7">
        <v>0</v>
      </c>
      <c r="H26" s="7">
        <v>16</v>
      </c>
      <c r="I26" s="7">
        <v>0</v>
      </c>
      <c r="J26" s="7">
        <v>0</v>
      </c>
      <c r="K26" s="7">
        <v>0</v>
      </c>
      <c r="L26" s="7">
        <v>20</v>
      </c>
      <c r="M26" s="7">
        <v>1</v>
      </c>
      <c r="N26" s="7">
        <v>13</v>
      </c>
      <c r="O26" s="7">
        <v>9</v>
      </c>
      <c r="P26" s="7">
        <v>6</v>
      </c>
      <c r="Q26" s="7">
        <v>1</v>
      </c>
      <c r="R26" s="7">
        <v>0</v>
      </c>
      <c r="S26" s="7">
        <v>12</v>
      </c>
      <c r="T26" s="7">
        <v>0</v>
      </c>
      <c r="U26" s="7">
        <v>25</v>
      </c>
      <c r="V26" s="2">
        <f t="shared" si="9"/>
        <v>11.464877959615269</v>
      </c>
      <c r="W26" s="7">
        <v>50</v>
      </c>
      <c r="X26" s="2">
        <f t="shared" si="2"/>
        <v>61.464877959615265</v>
      </c>
      <c r="Y26" s="2"/>
      <c r="Z26" s="2">
        <f t="shared" si="3"/>
        <v>86</v>
      </c>
      <c r="AA26" s="1">
        <f t="shared" si="4"/>
        <v>29.069767441860467</v>
      </c>
      <c r="AB26" s="1">
        <f t="shared" si="5"/>
        <v>13.953488372093023</v>
      </c>
      <c r="AC26" s="1">
        <f t="shared" si="6"/>
        <v>1.1627906976744187</v>
      </c>
      <c r="AD26" s="2">
        <f t="shared" si="7"/>
        <v>3.7391304347826089</v>
      </c>
      <c r="AE26" s="2">
        <f t="shared" si="8"/>
        <v>15.116279069767444</v>
      </c>
      <c r="AF26" s="2">
        <f t="shared" si="10"/>
        <v>57.324389798076339</v>
      </c>
    </row>
    <row r="27" spans="1:32" x14ac:dyDescent="0.35">
      <c r="A27" s="2" t="s">
        <v>414</v>
      </c>
      <c r="B27" s="2" t="s">
        <v>415</v>
      </c>
      <c r="C27" s="2">
        <v>23</v>
      </c>
      <c r="D27" s="2">
        <v>15.58</v>
      </c>
      <c r="E27" s="7">
        <v>0</v>
      </c>
      <c r="F27" s="7">
        <v>1</v>
      </c>
      <c r="G27" s="7">
        <v>1</v>
      </c>
      <c r="H27" s="7">
        <v>3</v>
      </c>
      <c r="I27" s="7">
        <v>1</v>
      </c>
      <c r="J27" s="7">
        <v>0</v>
      </c>
      <c r="K27" s="7">
        <v>0</v>
      </c>
      <c r="L27" s="7">
        <v>8</v>
      </c>
      <c r="M27" s="7">
        <v>2</v>
      </c>
      <c r="N27" s="7">
        <v>18</v>
      </c>
      <c r="O27" s="7">
        <v>15</v>
      </c>
      <c r="P27" s="7">
        <v>15</v>
      </c>
      <c r="Q27" s="7">
        <v>3</v>
      </c>
      <c r="R27" s="7">
        <v>0</v>
      </c>
      <c r="S27" s="7">
        <v>7</v>
      </c>
      <c r="T27" s="7">
        <v>0</v>
      </c>
      <c r="U27" s="7">
        <v>7</v>
      </c>
      <c r="V27" s="2">
        <f t="shared" si="9"/>
        <v>0.43439434493837525</v>
      </c>
      <c r="W27" s="7">
        <v>50</v>
      </c>
      <c r="X27" s="2">
        <f t="shared" si="2"/>
        <v>50.434394344938376</v>
      </c>
      <c r="Y27" s="2"/>
      <c r="Z27" s="2">
        <f t="shared" si="3"/>
        <v>51</v>
      </c>
      <c r="AA27" s="1">
        <f t="shared" si="4"/>
        <v>13.725490196078432</v>
      </c>
      <c r="AB27" s="1">
        <f t="shared" si="5"/>
        <v>13.725490196078432</v>
      </c>
      <c r="AC27" s="1">
        <f t="shared" si="6"/>
        <v>5.8823529411764701</v>
      </c>
      <c r="AD27" s="2">
        <f t="shared" si="7"/>
        <v>2.2173913043478262</v>
      </c>
      <c r="AE27" s="2">
        <f t="shared" si="8"/>
        <v>0</v>
      </c>
      <c r="AF27" s="2">
        <f t="shared" si="10"/>
        <v>2.1719717246918764</v>
      </c>
    </row>
    <row r="28" spans="1:32" x14ac:dyDescent="0.35">
      <c r="A28" s="2" t="s">
        <v>416</v>
      </c>
      <c r="B28" s="2" t="s">
        <v>388</v>
      </c>
      <c r="C28" s="2">
        <v>23</v>
      </c>
      <c r="D28" s="2">
        <v>1.78</v>
      </c>
      <c r="E28" s="7">
        <v>3</v>
      </c>
      <c r="F28" s="7">
        <v>0</v>
      </c>
      <c r="G28" s="7">
        <v>0</v>
      </c>
      <c r="H28" s="7">
        <v>5</v>
      </c>
      <c r="I28" s="7">
        <v>5</v>
      </c>
      <c r="J28" s="7">
        <v>0</v>
      </c>
      <c r="K28" s="7">
        <v>0</v>
      </c>
      <c r="L28" s="7">
        <v>25</v>
      </c>
      <c r="M28" s="7">
        <v>1</v>
      </c>
      <c r="N28" s="7">
        <v>17</v>
      </c>
      <c r="O28" s="7">
        <v>5</v>
      </c>
      <c r="P28" s="7">
        <v>5</v>
      </c>
      <c r="Q28" s="7">
        <v>3</v>
      </c>
      <c r="R28" s="7">
        <v>0</v>
      </c>
      <c r="S28" s="7">
        <v>8</v>
      </c>
      <c r="T28" s="7">
        <v>0</v>
      </c>
      <c r="U28" s="7">
        <v>33</v>
      </c>
      <c r="V28" s="2">
        <f t="shared" si="9"/>
        <v>57.091624903447418</v>
      </c>
      <c r="W28" s="7">
        <v>50</v>
      </c>
      <c r="X28" s="2">
        <f t="shared" si="2"/>
        <v>107.09162490344741</v>
      </c>
      <c r="Y28" s="2"/>
      <c r="Z28" s="2">
        <f t="shared" si="3"/>
        <v>101</v>
      </c>
      <c r="AA28" s="1">
        <f t="shared" si="4"/>
        <v>32.673267326732677</v>
      </c>
      <c r="AB28" s="1">
        <f t="shared" si="5"/>
        <v>7.9207920792079207</v>
      </c>
      <c r="AC28" s="1">
        <f t="shared" si="6"/>
        <v>2.9702970297029703</v>
      </c>
      <c r="AD28" s="2">
        <f t="shared" si="7"/>
        <v>4.3913043478260869</v>
      </c>
      <c r="AE28" s="2">
        <f t="shared" si="8"/>
        <v>24.752475247524757</v>
      </c>
      <c r="AF28" s="2">
        <f t="shared" si="10"/>
        <v>285.45812451723708</v>
      </c>
    </row>
    <row r="29" spans="1:32" x14ac:dyDescent="0.35">
      <c r="A29" s="2" t="s">
        <v>417</v>
      </c>
      <c r="B29" s="2" t="s">
        <v>388</v>
      </c>
      <c r="C29" s="2">
        <v>23</v>
      </c>
      <c r="D29" s="2">
        <v>2.67</v>
      </c>
      <c r="E29" s="7">
        <v>11</v>
      </c>
      <c r="F29" s="7">
        <v>4</v>
      </c>
      <c r="G29" s="7">
        <v>0</v>
      </c>
      <c r="H29" s="7">
        <v>23</v>
      </c>
      <c r="I29" s="7">
        <v>22</v>
      </c>
      <c r="J29" s="7">
        <v>0</v>
      </c>
      <c r="K29" s="7">
        <v>0</v>
      </c>
      <c r="L29" s="7">
        <v>118</v>
      </c>
      <c r="N29" s="7">
        <v>95</v>
      </c>
      <c r="O29" s="7">
        <v>40</v>
      </c>
      <c r="P29" s="7">
        <v>35</v>
      </c>
      <c r="Q29" s="7">
        <v>10</v>
      </c>
      <c r="R29" s="7">
        <v>6</v>
      </c>
      <c r="S29" s="7">
        <v>33</v>
      </c>
      <c r="T29" s="7">
        <v>0</v>
      </c>
      <c r="U29" s="7">
        <v>97</v>
      </c>
      <c r="V29" s="2">
        <f t="shared" si="9"/>
        <v>160.41922866799834</v>
      </c>
      <c r="W29" s="7">
        <v>60</v>
      </c>
      <c r="X29" s="2">
        <f t="shared" si="2"/>
        <v>220.41922866799834</v>
      </c>
      <c r="Y29" s="2"/>
      <c r="Z29" s="2">
        <f t="shared" si="3"/>
        <v>488</v>
      </c>
      <c r="AA29" s="1">
        <f t="shared" si="4"/>
        <v>19.877049180327869</v>
      </c>
      <c r="AB29" s="1">
        <f t="shared" si="5"/>
        <v>7.9918032786885256</v>
      </c>
      <c r="AC29" s="1">
        <f t="shared" si="6"/>
        <v>2.0491803278688523</v>
      </c>
      <c r="AD29" s="2">
        <f t="shared" si="7"/>
        <v>21.217391304347824</v>
      </c>
      <c r="AE29" s="2">
        <f t="shared" si="8"/>
        <v>11.885245901639344</v>
      </c>
      <c r="AF29" s="2">
        <f t="shared" si="10"/>
        <v>802.09614333999173</v>
      </c>
    </row>
    <row r="30" spans="1:32" x14ac:dyDescent="0.35">
      <c r="A30" s="2" t="s">
        <v>418</v>
      </c>
      <c r="B30" s="2" t="s">
        <v>415</v>
      </c>
      <c r="C30" s="2">
        <v>23</v>
      </c>
      <c r="D30" s="2">
        <v>4.1100000000000003</v>
      </c>
      <c r="E30" s="7">
        <v>1</v>
      </c>
      <c r="F30" s="7">
        <v>2</v>
      </c>
      <c r="G30" s="7">
        <v>5</v>
      </c>
      <c r="H30" s="7">
        <v>17</v>
      </c>
      <c r="I30" s="7">
        <v>0</v>
      </c>
      <c r="J30" s="7">
        <v>0</v>
      </c>
      <c r="K30" s="7">
        <v>0</v>
      </c>
      <c r="L30" s="7">
        <v>15</v>
      </c>
      <c r="M30" s="7">
        <v>1</v>
      </c>
      <c r="N30" s="7">
        <v>7</v>
      </c>
      <c r="O30" s="7">
        <v>8</v>
      </c>
      <c r="P30" s="7">
        <v>7</v>
      </c>
      <c r="Q30" s="7">
        <v>1</v>
      </c>
      <c r="R30" s="7">
        <v>3</v>
      </c>
      <c r="S30" s="7">
        <v>12</v>
      </c>
      <c r="T30" s="7">
        <v>1</v>
      </c>
      <c r="U30" s="7">
        <v>22</v>
      </c>
      <c r="V30" s="2">
        <f t="shared" si="9"/>
        <v>4.7098432600863109</v>
      </c>
      <c r="W30" s="7">
        <v>50</v>
      </c>
      <c r="X30" s="2">
        <f t="shared" si="2"/>
        <v>54.709843260086309</v>
      </c>
      <c r="Y30" s="2"/>
      <c r="Z30" s="2">
        <f t="shared" si="3"/>
        <v>68</v>
      </c>
      <c r="AA30" s="1">
        <f t="shared" si="4"/>
        <v>32.352941176470587</v>
      </c>
      <c r="AB30" s="1">
        <f t="shared" si="5"/>
        <v>22.058823529411764</v>
      </c>
      <c r="AC30" s="1">
        <f t="shared" si="6"/>
        <v>1.4705882352941175</v>
      </c>
      <c r="AD30" s="2">
        <f t="shared" si="7"/>
        <v>2.9565217391304346</v>
      </c>
      <c r="AE30" s="2">
        <f t="shared" si="8"/>
        <v>10.294117647058822</v>
      </c>
      <c r="AF30" s="2">
        <f t="shared" si="10"/>
        <v>23.549216300431553</v>
      </c>
    </row>
    <row r="31" spans="1:32" x14ac:dyDescent="0.35">
      <c r="A31" s="2" t="s">
        <v>419</v>
      </c>
      <c r="B31" s="2" t="s">
        <v>388</v>
      </c>
      <c r="C31" s="2">
        <v>23</v>
      </c>
      <c r="D31" s="2">
        <v>2.06</v>
      </c>
      <c r="E31" s="7">
        <v>5</v>
      </c>
      <c r="F31" s="7">
        <v>1</v>
      </c>
      <c r="G31" s="7">
        <v>0</v>
      </c>
      <c r="H31" s="7">
        <v>8</v>
      </c>
      <c r="I31" s="7">
        <v>8</v>
      </c>
      <c r="J31" s="7">
        <v>0</v>
      </c>
      <c r="K31" s="7">
        <v>0</v>
      </c>
      <c r="L31" s="7">
        <v>48</v>
      </c>
      <c r="N31" s="7">
        <v>34</v>
      </c>
      <c r="O31" s="7">
        <v>13</v>
      </c>
      <c r="P31" s="7">
        <v>11</v>
      </c>
      <c r="Q31" s="7">
        <v>4</v>
      </c>
      <c r="R31" s="7">
        <v>2</v>
      </c>
      <c r="S31" s="7">
        <v>16</v>
      </c>
      <c r="T31" s="7">
        <v>0</v>
      </c>
      <c r="U31" s="7">
        <v>57</v>
      </c>
      <c r="V31" s="2">
        <f t="shared" si="9"/>
        <v>71.499114374033425</v>
      </c>
      <c r="W31" s="7">
        <v>50</v>
      </c>
      <c r="X31" s="2">
        <f t="shared" si="2"/>
        <v>121.49911437403343</v>
      </c>
      <c r="Y31" s="2"/>
      <c r="Z31" s="2">
        <f t="shared" si="3"/>
        <v>196</v>
      </c>
      <c r="AA31" s="1">
        <f t="shared" si="4"/>
        <v>29.081632653061224</v>
      </c>
      <c r="AB31" s="1">
        <f t="shared" si="5"/>
        <v>9.183673469387756</v>
      </c>
      <c r="AC31" s="1">
        <f t="shared" si="6"/>
        <v>2.0408163265306123</v>
      </c>
      <c r="AD31" s="2">
        <f t="shared" si="7"/>
        <v>8.5217391304347831</v>
      </c>
      <c r="AE31" s="2">
        <f t="shared" si="8"/>
        <v>19.897959183673468</v>
      </c>
      <c r="AF31" s="2">
        <f t="shared" si="10"/>
        <v>357.49557187016711</v>
      </c>
    </row>
    <row r="32" spans="1:32" x14ac:dyDescent="0.35">
      <c r="A32" s="2" t="s">
        <v>420</v>
      </c>
      <c r="B32" s="2" t="s">
        <v>388</v>
      </c>
      <c r="C32" s="2">
        <v>23</v>
      </c>
      <c r="D32" s="2">
        <v>4.3600000000000003</v>
      </c>
      <c r="E32" s="7">
        <v>5</v>
      </c>
      <c r="F32" s="7">
        <v>3</v>
      </c>
      <c r="G32" s="7">
        <v>0</v>
      </c>
      <c r="H32" s="7">
        <v>15</v>
      </c>
      <c r="I32" s="7">
        <v>14</v>
      </c>
      <c r="J32" s="7">
        <v>0</v>
      </c>
      <c r="K32" s="7">
        <v>0</v>
      </c>
      <c r="L32" s="7">
        <v>66</v>
      </c>
      <c r="N32" s="7">
        <v>51</v>
      </c>
      <c r="O32" s="7">
        <v>34</v>
      </c>
      <c r="P32" s="7">
        <v>32</v>
      </c>
      <c r="Q32" s="7">
        <v>8</v>
      </c>
      <c r="R32" s="7">
        <v>3</v>
      </c>
      <c r="S32" s="7">
        <v>31</v>
      </c>
      <c r="T32" s="7">
        <v>0</v>
      </c>
      <c r="U32" s="7">
        <v>87</v>
      </c>
      <c r="V32" s="2">
        <f t="shared" si="9"/>
        <v>67.028202734601535</v>
      </c>
      <c r="W32" s="7">
        <v>50</v>
      </c>
      <c r="X32" s="2">
        <f t="shared" si="2"/>
        <v>117.02820273460154</v>
      </c>
      <c r="Y32" s="2"/>
      <c r="Z32" s="2">
        <f t="shared" si="3"/>
        <v>283</v>
      </c>
      <c r="AA32" s="1">
        <f t="shared" si="4"/>
        <v>30.742049469964666</v>
      </c>
      <c r="AB32" s="1">
        <f t="shared" si="5"/>
        <v>12.014134275618375</v>
      </c>
      <c r="AC32" s="1">
        <f t="shared" si="6"/>
        <v>2.8268551236749118</v>
      </c>
      <c r="AD32" s="2">
        <f t="shared" si="7"/>
        <v>12.304347826086957</v>
      </c>
      <c r="AE32" s="2">
        <f t="shared" si="8"/>
        <v>18.727915194346291</v>
      </c>
      <c r="AF32" s="2">
        <f t="shared" si="10"/>
        <v>335.14101367300771</v>
      </c>
    </row>
    <row r="33" spans="1:32" x14ac:dyDescent="0.35">
      <c r="A33" s="2" t="s">
        <v>421</v>
      </c>
      <c r="B33" s="2" t="s">
        <v>390</v>
      </c>
      <c r="C33" s="2">
        <v>23</v>
      </c>
      <c r="D33" s="2">
        <v>7.27</v>
      </c>
      <c r="E33" s="7">
        <v>1</v>
      </c>
      <c r="F33" s="7">
        <v>1</v>
      </c>
      <c r="G33" s="7">
        <v>0</v>
      </c>
      <c r="H33" s="7">
        <v>17</v>
      </c>
      <c r="I33" s="7">
        <v>1</v>
      </c>
      <c r="J33" s="7">
        <v>0</v>
      </c>
      <c r="K33" s="7">
        <v>0</v>
      </c>
      <c r="L33" s="7">
        <v>34</v>
      </c>
      <c r="M33" s="7">
        <v>2</v>
      </c>
      <c r="N33" s="7">
        <v>52</v>
      </c>
      <c r="O33" s="7">
        <v>30</v>
      </c>
      <c r="P33" s="7">
        <v>28</v>
      </c>
      <c r="Q33" s="7">
        <v>12</v>
      </c>
      <c r="R33" s="7">
        <v>2</v>
      </c>
      <c r="S33" s="7">
        <v>6</v>
      </c>
      <c r="T33" s="7">
        <v>0</v>
      </c>
      <c r="U33" s="7">
        <v>24</v>
      </c>
      <c r="V33" s="2">
        <f t="shared" si="9"/>
        <v>27.550062934811301</v>
      </c>
      <c r="W33" s="7">
        <v>50</v>
      </c>
      <c r="X33" s="2">
        <f t="shared" si="2"/>
        <v>77.550062934811308</v>
      </c>
      <c r="Y33" s="2"/>
      <c r="Z33" s="2">
        <f t="shared" si="3"/>
        <v>164</v>
      </c>
      <c r="AA33" s="1">
        <f t="shared" si="4"/>
        <v>14.634146341463413</v>
      </c>
      <c r="AB33" s="1">
        <f t="shared" si="5"/>
        <v>4.8780487804878048</v>
      </c>
      <c r="AC33" s="1">
        <f t="shared" si="6"/>
        <v>7.3170731707317067</v>
      </c>
      <c r="AD33" s="2">
        <f t="shared" si="7"/>
        <v>7.1304347826086953</v>
      </c>
      <c r="AE33" s="2">
        <f t="shared" si="8"/>
        <v>9.7560975609756078</v>
      </c>
      <c r="AF33" s="2">
        <f t="shared" si="10"/>
        <v>137.75031467405651</v>
      </c>
    </row>
    <row r="34" spans="1:32" x14ac:dyDescent="0.35">
      <c r="A34" s="2" t="s">
        <v>422</v>
      </c>
      <c r="B34" s="2" t="s">
        <v>390</v>
      </c>
      <c r="C34" s="2">
        <v>23</v>
      </c>
      <c r="D34" s="2">
        <v>6.52</v>
      </c>
      <c r="E34" s="7">
        <v>1</v>
      </c>
      <c r="F34" s="7">
        <v>0</v>
      </c>
      <c r="G34" s="7">
        <v>0</v>
      </c>
      <c r="H34" s="7">
        <v>4</v>
      </c>
      <c r="I34" s="7">
        <v>0</v>
      </c>
      <c r="J34" s="7">
        <v>0</v>
      </c>
      <c r="K34" s="7">
        <v>0</v>
      </c>
      <c r="L34" s="7">
        <v>9</v>
      </c>
      <c r="M34" s="7">
        <v>2</v>
      </c>
      <c r="N34" s="7">
        <v>13</v>
      </c>
      <c r="O34" s="7">
        <v>7</v>
      </c>
      <c r="P34" s="7">
        <v>7</v>
      </c>
      <c r="Q34" s="7">
        <v>1</v>
      </c>
      <c r="R34" s="7">
        <v>0</v>
      </c>
      <c r="S34" s="7">
        <v>9</v>
      </c>
      <c r="T34" s="7">
        <v>0</v>
      </c>
      <c r="U34" s="7">
        <v>11</v>
      </c>
      <c r="V34" s="2">
        <f t="shared" si="9"/>
        <v>1.2363069481216591</v>
      </c>
      <c r="W34" s="7">
        <v>50</v>
      </c>
      <c r="X34" s="2">
        <f t="shared" si="2"/>
        <v>51.236306948121658</v>
      </c>
      <c r="Y34" s="2"/>
      <c r="Z34" s="2">
        <f t="shared" si="3"/>
        <v>51</v>
      </c>
      <c r="AA34" s="1">
        <f t="shared" si="4"/>
        <v>21.568627450980394</v>
      </c>
      <c r="AB34" s="1">
        <f t="shared" si="5"/>
        <v>17.647058823529413</v>
      </c>
      <c r="AC34" s="1">
        <f t="shared" si="6"/>
        <v>1.9607843137254901</v>
      </c>
      <c r="AD34" s="2">
        <f t="shared" si="7"/>
        <v>2.2173913043478262</v>
      </c>
      <c r="AE34" s="2">
        <f t="shared" si="8"/>
        <v>3.9215686274509807</v>
      </c>
      <c r="AF34" s="2">
        <f t="shared" si="10"/>
        <v>6.1815347406082957</v>
      </c>
    </row>
    <row r="35" spans="1:32" x14ac:dyDescent="0.35">
      <c r="A35" s="2" t="s">
        <v>423</v>
      </c>
      <c r="B35" s="2" t="s">
        <v>388</v>
      </c>
      <c r="C35" s="2">
        <v>23</v>
      </c>
      <c r="D35" s="2">
        <v>4.46</v>
      </c>
      <c r="E35" s="7">
        <v>1</v>
      </c>
      <c r="F35" s="7">
        <v>1</v>
      </c>
      <c r="G35" s="7">
        <v>0</v>
      </c>
      <c r="H35" s="7">
        <v>10</v>
      </c>
      <c r="I35" s="7">
        <v>8</v>
      </c>
      <c r="J35" s="7">
        <v>0</v>
      </c>
      <c r="K35" s="7">
        <v>0</v>
      </c>
      <c r="L35" s="7">
        <v>36</v>
      </c>
      <c r="M35" s="7">
        <v>1</v>
      </c>
      <c r="N35" s="7">
        <v>30</v>
      </c>
      <c r="O35" s="7">
        <v>18</v>
      </c>
      <c r="P35" s="7">
        <v>18</v>
      </c>
      <c r="Q35" s="7">
        <v>6</v>
      </c>
      <c r="R35" s="7">
        <v>3</v>
      </c>
      <c r="S35" s="7">
        <v>22</v>
      </c>
      <c r="T35" s="7">
        <v>0</v>
      </c>
      <c r="U35" s="7">
        <v>28</v>
      </c>
      <c r="V35" s="2">
        <f t="shared" si="9"/>
        <v>13.346096996534992</v>
      </c>
      <c r="W35" s="7">
        <v>50</v>
      </c>
      <c r="X35" s="2">
        <f t="shared" si="2"/>
        <v>63.346096996534996</v>
      </c>
      <c r="Y35" s="2"/>
      <c r="Z35" s="2">
        <f t="shared" si="3"/>
        <v>164</v>
      </c>
      <c r="AA35" s="1">
        <f t="shared" si="4"/>
        <v>17.073170731707318</v>
      </c>
      <c r="AB35" s="1">
        <f t="shared" si="5"/>
        <v>15.24390243902439</v>
      </c>
      <c r="AC35" s="1">
        <f t="shared" si="6"/>
        <v>3.6585365853658534</v>
      </c>
      <c r="AD35" s="2">
        <f t="shared" si="7"/>
        <v>7.1304347826086953</v>
      </c>
      <c r="AE35" s="2">
        <f t="shared" si="8"/>
        <v>1.8292682926829276</v>
      </c>
      <c r="AF35" s="2">
        <f t="shared" si="10"/>
        <v>66.730484982674966</v>
      </c>
    </row>
    <row r="36" spans="1:32" x14ac:dyDescent="0.35">
      <c r="A36" s="2" t="s">
        <v>424</v>
      </c>
      <c r="B36" s="2" t="s">
        <v>390</v>
      </c>
      <c r="C36" s="2">
        <v>23</v>
      </c>
      <c r="D36" s="2">
        <v>4.91</v>
      </c>
      <c r="E36" s="7">
        <v>2</v>
      </c>
      <c r="F36" s="7">
        <v>4</v>
      </c>
      <c r="G36" s="7">
        <v>6</v>
      </c>
      <c r="H36" s="7">
        <v>36</v>
      </c>
      <c r="I36" s="7">
        <v>2</v>
      </c>
      <c r="J36" s="7">
        <v>0</v>
      </c>
      <c r="K36" s="7">
        <v>0</v>
      </c>
      <c r="L36" s="7">
        <v>36</v>
      </c>
      <c r="M36" s="7">
        <v>2</v>
      </c>
      <c r="N36" s="7">
        <v>37</v>
      </c>
      <c r="O36" s="7">
        <v>20</v>
      </c>
      <c r="P36" s="7">
        <v>20</v>
      </c>
      <c r="Q36" s="7">
        <v>0</v>
      </c>
      <c r="R36" s="7">
        <v>0</v>
      </c>
      <c r="S36" s="7">
        <v>15</v>
      </c>
      <c r="T36" s="7">
        <v>1</v>
      </c>
      <c r="U36" s="7">
        <v>54</v>
      </c>
      <c r="V36" s="2">
        <f t="shared" si="9"/>
        <v>8.9277312994968021</v>
      </c>
      <c r="W36" s="7">
        <v>50</v>
      </c>
      <c r="X36" s="2">
        <f t="shared" si="2"/>
        <v>58.927731299496799</v>
      </c>
      <c r="Y36" s="2"/>
      <c r="Z36" s="2">
        <f t="shared" si="3"/>
        <v>162</v>
      </c>
      <c r="AA36" s="1">
        <f t="shared" si="4"/>
        <v>33.333333333333329</v>
      </c>
      <c r="AB36" s="1">
        <f t="shared" si="5"/>
        <v>9.2592592592592595</v>
      </c>
      <c r="AC36" s="1">
        <f t="shared" si="6"/>
        <v>0</v>
      </c>
      <c r="AD36" s="2">
        <f t="shared" si="7"/>
        <v>7.0434782608695654</v>
      </c>
      <c r="AE36" s="2">
        <f t="shared" si="8"/>
        <v>24.074074074074069</v>
      </c>
      <c r="AF36" s="2">
        <f t="shared" si="10"/>
        <v>44.638656497484007</v>
      </c>
    </row>
    <row r="37" spans="1:32" x14ac:dyDescent="0.35">
      <c r="A37" s="2" t="s">
        <v>425</v>
      </c>
      <c r="B37" s="2" t="s">
        <v>390</v>
      </c>
      <c r="C37" s="2">
        <v>23</v>
      </c>
      <c r="D37" s="2">
        <v>12.15</v>
      </c>
      <c r="E37" s="7">
        <v>0</v>
      </c>
      <c r="F37" s="7">
        <v>0</v>
      </c>
      <c r="G37" s="7">
        <v>0</v>
      </c>
      <c r="H37" s="7">
        <v>8</v>
      </c>
      <c r="I37" s="7">
        <v>0</v>
      </c>
      <c r="J37" s="7">
        <v>0</v>
      </c>
      <c r="K37" s="7">
        <v>0</v>
      </c>
      <c r="L37" s="7">
        <v>6</v>
      </c>
      <c r="M37" s="7">
        <v>2</v>
      </c>
      <c r="N37" s="7">
        <v>14</v>
      </c>
      <c r="O37" s="7">
        <v>9</v>
      </c>
      <c r="P37" s="7">
        <v>9</v>
      </c>
      <c r="Q37" s="7">
        <v>2</v>
      </c>
      <c r="R37" s="7">
        <v>1</v>
      </c>
      <c r="S37" s="7">
        <v>3</v>
      </c>
      <c r="T37" s="7">
        <v>0</v>
      </c>
      <c r="U37" s="7">
        <v>2</v>
      </c>
      <c r="V37" s="2">
        <f t="shared" si="9"/>
        <v>-0.61507546082878539</v>
      </c>
      <c r="W37" s="7">
        <v>50</v>
      </c>
      <c r="X37" s="2">
        <f t="shared" si="2"/>
        <v>49.384924539171216</v>
      </c>
      <c r="Y37" s="2"/>
      <c r="Z37" s="2">
        <f t="shared" si="3"/>
        <v>38</v>
      </c>
      <c r="AA37" s="1">
        <f t="shared" si="4"/>
        <v>5.2631578947368416</v>
      </c>
      <c r="AB37" s="1">
        <f t="shared" si="5"/>
        <v>10.526315789473683</v>
      </c>
      <c r="AC37" s="1">
        <f t="shared" si="6"/>
        <v>5.2631578947368416</v>
      </c>
      <c r="AD37" s="2">
        <f t="shared" si="7"/>
        <v>1.6521739130434783</v>
      </c>
      <c r="AE37" s="2">
        <f t="shared" si="8"/>
        <v>-5.2631578947368416</v>
      </c>
      <c r="AF37" s="2">
        <f t="shared" si="10"/>
        <v>-3.075377304143927</v>
      </c>
    </row>
    <row r="38" spans="1:32" x14ac:dyDescent="0.35">
      <c r="A38" s="2" t="s">
        <v>426</v>
      </c>
      <c r="B38" s="2" t="s">
        <v>390</v>
      </c>
      <c r="C38" s="2">
        <v>24</v>
      </c>
      <c r="D38" s="2">
        <v>6.61</v>
      </c>
      <c r="E38" s="7">
        <v>1</v>
      </c>
      <c r="F38" s="7">
        <v>3</v>
      </c>
      <c r="G38" s="7">
        <v>4</v>
      </c>
      <c r="H38" s="7">
        <v>30</v>
      </c>
      <c r="I38" s="7">
        <v>0</v>
      </c>
      <c r="J38" s="7">
        <v>0</v>
      </c>
      <c r="K38" s="7">
        <v>0</v>
      </c>
      <c r="L38" s="7">
        <v>31</v>
      </c>
      <c r="M38" s="7">
        <v>1</v>
      </c>
      <c r="N38" s="7">
        <v>31</v>
      </c>
      <c r="O38" s="7">
        <v>25</v>
      </c>
      <c r="P38" s="7">
        <v>23</v>
      </c>
      <c r="Q38" s="7">
        <v>5</v>
      </c>
      <c r="R38" s="7">
        <v>0</v>
      </c>
      <c r="S38" s="7">
        <v>17</v>
      </c>
      <c r="T38" s="7">
        <v>0</v>
      </c>
      <c r="U38" s="7">
        <v>19</v>
      </c>
      <c r="V38" s="2">
        <f t="shared" si="9"/>
        <v>5.9288015029156274</v>
      </c>
      <c r="W38" s="7">
        <v>50</v>
      </c>
      <c r="X38" s="2">
        <f t="shared" si="2"/>
        <v>55.928801502915626</v>
      </c>
      <c r="Y38" s="2"/>
      <c r="Z38" s="2">
        <f t="shared" si="3"/>
        <v>142</v>
      </c>
      <c r="AA38" s="1">
        <f t="shared" si="4"/>
        <v>13.380281690140844</v>
      </c>
      <c r="AB38" s="1">
        <f t="shared" si="5"/>
        <v>11.971830985915492</v>
      </c>
      <c r="AC38" s="1">
        <f t="shared" si="6"/>
        <v>3.5211267605633805</v>
      </c>
      <c r="AD38" s="2">
        <f t="shared" si="7"/>
        <v>5.916666666666667</v>
      </c>
      <c r="AE38" s="2">
        <f t="shared" si="8"/>
        <v>1.408450704225352</v>
      </c>
      <c r="AF38" s="2">
        <f t="shared" si="10"/>
        <v>29.644007514578139</v>
      </c>
    </row>
    <row r="39" spans="1:32" x14ac:dyDescent="0.35">
      <c r="A39" s="2" t="s">
        <v>427</v>
      </c>
      <c r="B39" s="2" t="s">
        <v>390</v>
      </c>
      <c r="C39" s="2">
        <v>24</v>
      </c>
      <c r="D39" s="2">
        <v>11.32</v>
      </c>
      <c r="E39" s="7">
        <v>0</v>
      </c>
      <c r="F39" s="7">
        <v>0</v>
      </c>
      <c r="G39" s="7">
        <v>0</v>
      </c>
      <c r="H39" s="7">
        <v>7</v>
      </c>
      <c r="I39" s="7">
        <v>0</v>
      </c>
      <c r="J39" s="7">
        <v>0</v>
      </c>
      <c r="K39" s="7">
        <v>0</v>
      </c>
      <c r="L39" s="7">
        <v>10</v>
      </c>
      <c r="M39" s="7">
        <v>1</v>
      </c>
      <c r="N39" s="7">
        <v>17</v>
      </c>
      <c r="O39" s="7">
        <v>13</v>
      </c>
      <c r="P39" s="7">
        <v>13</v>
      </c>
      <c r="Q39" s="7">
        <v>2</v>
      </c>
      <c r="R39" s="7">
        <v>2</v>
      </c>
      <c r="S39" s="7">
        <v>5</v>
      </c>
      <c r="T39" s="7">
        <v>0</v>
      </c>
      <c r="U39" s="7">
        <v>10</v>
      </c>
      <c r="V39" s="2">
        <f t="shared" si="9"/>
        <v>1.4541255086197666</v>
      </c>
      <c r="W39" s="7">
        <v>50</v>
      </c>
      <c r="X39" s="2">
        <f t="shared" si="2"/>
        <v>51.454125508619768</v>
      </c>
      <c r="Y39" s="2"/>
      <c r="Z39" s="2">
        <f t="shared" si="3"/>
        <v>55</v>
      </c>
      <c r="AA39" s="1">
        <f t="shared" si="4"/>
        <v>18.181818181818183</v>
      </c>
      <c r="AB39" s="1">
        <f t="shared" si="5"/>
        <v>12.727272727272727</v>
      </c>
      <c r="AC39" s="1">
        <f t="shared" si="6"/>
        <v>3.6363636363636362</v>
      </c>
      <c r="AD39" s="2">
        <f t="shared" si="7"/>
        <v>2.2916666666666665</v>
      </c>
      <c r="AE39" s="2">
        <f t="shared" si="8"/>
        <v>5.4545454545454568</v>
      </c>
      <c r="AF39" s="2">
        <f t="shared" si="10"/>
        <v>7.2706275430988336</v>
      </c>
    </row>
    <row r="40" spans="1:32" x14ac:dyDescent="0.35">
      <c r="A40" s="2" t="s">
        <v>428</v>
      </c>
      <c r="B40" s="2" t="s">
        <v>390</v>
      </c>
      <c r="C40" s="2">
        <v>24</v>
      </c>
      <c r="D40" s="2">
        <v>0</v>
      </c>
      <c r="E40" s="7">
        <v>1</v>
      </c>
      <c r="F40" s="7">
        <v>0</v>
      </c>
      <c r="G40" s="7">
        <v>0</v>
      </c>
      <c r="H40" s="7">
        <v>2</v>
      </c>
      <c r="I40" s="7">
        <v>0</v>
      </c>
      <c r="J40" s="7">
        <v>0</v>
      </c>
      <c r="K40" s="7">
        <v>0</v>
      </c>
      <c r="L40" s="7">
        <v>3</v>
      </c>
      <c r="N40" s="7">
        <v>3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3</v>
      </c>
      <c r="V40" s="2" t="e">
        <f t="shared" si="9"/>
        <v>#DIV/0!</v>
      </c>
      <c r="W40" s="7">
        <v>50</v>
      </c>
      <c r="X40" s="2" t="e">
        <f t="shared" si="2"/>
        <v>#DIV/0!</v>
      </c>
      <c r="Y40" s="2"/>
      <c r="Z40" s="2">
        <f t="shared" si="3"/>
        <v>12</v>
      </c>
      <c r="AA40" s="1">
        <f t="shared" si="4"/>
        <v>25</v>
      </c>
      <c r="AB40" s="1">
        <f t="shared" si="5"/>
        <v>0</v>
      </c>
      <c r="AC40" s="1">
        <f t="shared" si="6"/>
        <v>0</v>
      </c>
      <c r="AD40" s="2">
        <f t="shared" si="7"/>
        <v>0.5</v>
      </c>
      <c r="AE40" s="2">
        <f t="shared" si="8"/>
        <v>25</v>
      </c>
      <c r="AF40" s="2" t="e">
        <f t="shared" si="10"/>
        <v>#DIV/0!</v>
      </c>
    </row>
    <row r="41" spans="1:32" x14ac:dyDescent="0.35">
      <c r="A41" s="2" t="s">
        <v>429</v>
      </c>
      <c r="B41" s="2" t="s">
        <v>388</v>
      </c>
      <c r="C41" s="2">
        <v>24</v>
      </c>
      <c r="D41" s="2">
        <v>6.85</v>
      </c>
      <c r="E41" s="7">
        <v>1</v>
      </c>
      <c r="F41" s="7">
        <v>1</v>
      </c>
      <c r="G41" s="7">
        <v>0</v>
      </c>
      <c r="H41" s="7">
        <v>5</v>
      </c>
      <c r="I41" s="7">
        <v>5</v>
      </c>
      <c r="J41" s="7">
        <v>0</v>
      </c>
      <c r="K41" s="7">
        <v>0</v>
      </c>
      <c r="L41" s="7">
        <v>22</v>
      </c>
      <c r="M41" s="7">
        <v>1</v>
      </c>
      <c r="N41" s="7">
        <v>26</v>
      </c>
      <c r="O41" s="7">
        <v>18</v>
      </c>
      <c r="P41" s="7">
        <v>17</v>
      </c>
      <c r="Q41" s="7">
        <v>3</v>
      </c>
      <c r="R41" s="7">
        <v>1</v>
      </c>
      <c r="S41" s="7">
        <v>11</v>
      </c>
      <c r="T41" s="7">
        <v>0</v>
      </c>
      <c r="U41" s="7">
        <v>18</v>
      </c>
      <c r="V41" s="2">
        <f t="shared" si="9"/>
        <v>4.9709984358706993</v>
      </c>
      <c r="W41" s="7">
        <v>50</v>
      </c>
      <c r="X41" s="2">
        <f t="shared" si="2"/>
        <v>54.970998435870698</v>
      </c>
      <c r="Y41" s="2"/>
      <c r="Z41" s="2">
        <f t="shared" si="3"/>
        <v>105</v>
      </c>
      <c r="AA41" s="1">
        <f t="shared" si="4"/>
        <v>17.142857142857142</v>
      </c>
      <c r="AB41" s="1">
        <f t="shared" si="5"/>
        <v>11.428571428571429</v>
      </c>
      <c r="AC41" s="1">
        <f t="shared" si="6"/>
        <v>2.8571428571428572</v>
      </c>
      <c r="AD41" s="2">
        <f t="shared" si="7"/>
        <v>4.375</v>
      </c>
      <c r="AE41" s="2">
        <f t="shared" si="8"/>
        <v>5.7142857142857135</v>
      </c>
      <c r="AF41" s="2">
        <f t="shared" si="10"/>
        <v>24.854992179353495</v>
      </c>
    </row>
    <row r="42" spans="1:32" x14ac:dyDescent="0.35">
      <c r="A42" s="2" t="s">
        <v>430</v>
      </c>
      <c r="B42" s="2" t="s">
        <v>388</v>
      </c>
      <c r="C42" s="2">
        <v>24</v>
      </c>
      <c r="D42" s="2">
        <v>9.36</v>
      </c>
      <c r="E42" s="7">
        <v>2</v>
      </c>
      <c r="F42" s="7">
        <v>6</v>
      </c>
      <c r="G42" s="7">
        <v>0</v>
      </c>
      <c r="H42" s="7">
        <v>14</v>
      </c>
      <c r="I42" s="7">
        <v>12</v>
      </c>
      <c r="J42" s="7">
        <v>0</v>
      </c>
      <c r="K42" s="7">
        <v>0</v>
      </c>
      <c r="L42" s="7">
        <v>58</v>
      </c>
      <c r="M42" s="7">
        <v>2</v>
      </c>
      <c r="N42" s="7">
        <v>85</v>
      </c>
      <c r="O42" s="7">
        <v>61</v>
      </c>
      <c r="P42" s="7">
        <v>61</v>
      </c>
      <c r="Q42" s="7">
        <v>17</v>
      </c>
      <c r="R42" s="7">
        <v>3</v>
      </c>
      <c r="S42" s="7">
        <v>23</v>
      </c>
      <c r="T42" s="7">
        <v>1</v>
      </c>
      <c r="U42" s="7">
        <v>27</v>
      </c>
      <c r="V42" s="2">
        <f t="shared" si="9"/>
        <v>21.771316620465505</v>
      </c>
      <c r="W42" s="7">
        <v>50</v>
      </c>
      <c r="X42" s="2">
        <f t="shared" si="2"/>
        <v>71.771316620465512</v>
      </c>
      <c r="Y42" s="2"/>
      <c r="Z42" s="2">
        <f t="shared" si="3"/>
        <v>287</v>
      </c>
      <c r="AA42" s="1">
        <f t="shared" si="4"/>
        <v>9.4076655052264808</v>
      </c>
      <c r="AB42" s="1">
        <f t="shared" si="5"/>
        <v>9.0592334494773521</v>
      </c>
      <c r="AC42" s="1">
        <f t="shared" si="6"/>
        <v>5.9233449477351918</v>
      </c>
      <c r="AD42" s="2">
        <f t="shared" si="7"/>
        <v>11.958333333333334</v>
      </c>
      <c r="AE42" s="2">
        <f t="shared" si="8"/>
        <v>0.34843205574912872</v>
      </c>
      <c r="AF42" s="2">
        <f t="shared" si="10"/>
        <v>108.85658310232753</v>
      </c>
    </row>
    <row r="43" spans="1:32" x14ac:dyDescent="0.35">
      <c r="A43" s="2" t="s">
        <v>431</v>
      </c>
      <c r="B43" s="2" t="s">
        <v>390</v>
      </c>
      <c r="C43" s="2">
        <v>24</v>
      </c>
      <c r="D43" s="2">
        <v>1.69</v>
      </c>
      <c r="E43" s="7">
        <v>3</v>
      </c>
      <c r="F43" s="7">
        <v>1</v>
      </c>
      <c r="G43" s="7">
        <v>0</v>
      </c>
      <c r="H43" s="7">
        <v>11</v>
      </c>
      <c r="I43" s="7">
        <v>3</v>
      </c>
      <c r="J43" s="7">
        <v>0</v>
      </c>
      <c r="K43" s="7">
        <v>0</v>
      </c>
      <c r="L43" s="7">
        <v>32</v>
      </c>
      <c r="N43" s="7">
        <v>17</v>
      </c>
      <c r="O43" s="7">
        <v>11</v>
      </c>
      <c r="P43" s="7">
        <v>6</v>
      </c>
      <c r="Q43" s="7">
        <v>6</v>
      </c>
      <c r="R43" s="7">
        <v>0</v>
      </c>
      <c r="S43" s="7">
        <v>11</v>
      </c>
      <c r="T43" s="7">
        <v>0</v>
      </c>
      <c r="U43" s="7">
        <v>35</v>
      </c>
      <c r="V43" s="2">
        <f t="shared" si="9"/>
        <v>87.542257852431575</v>
      </c>
      <c r="W43" s="7">
        <v>50</v>
      </c>
      <c r="X43" s="2">
        <f t="shared" si="2"/>
        <v>137.54225785243159</v>
      </c>
      <c r="Y43" s="2"/>
      <c r="Z43" s="2">
        <f t="shared" si="3"/>
        <v>124</v>
      </c>
      <c r="AA43" s="1">
        <f t="shared" si="4"/>
        <v>28.225806451612907</v>
      </c>
      <c r="AB43" s="1">
        <f t="shared" si="5"/>
        <v>8.870967741935484</v>
      </c>
      <c r="AC43" s="1">
        <f t="shared" si="6"/>
        <v>4.838709677419355</v>
      </c>
      <c r="AD43" s="2">
        <f t="shared" si="7"/>
        <v>5.166666666666667</v>
      </c>
      <c r="AE43" s="2">
        <f t="shared" si="8"/>
        <v>19.354838709677423</v>
      </c>
      <c r="AF43" s="2">
        <f t="shared" si="10"/>
        <v>437.71128926215789</v>
      </c>
    </row>
    <row r="44" spans="1:32" x14ac:dyDescent="0.35">
      <c r="A44" s="2" t="s">
        <v>432</v>
      </c>
      <c r="B44" s="2" t="s">
        <v>388</v>
      </c>
      <c r="C44" s="2">
        <v>24</v>
      </c>
      <c r="D44" s="2">
        <v>7.36</v>
      </c>
      <c r="E44" s="7">
        <v>0</v>
      </c>
      <c r="F44" s="7">
        <v>5</v>
      </c>
      <c r="G44" s="7">
        <v>0</v>
      </c>
      <c r="H44" s="7">
        <v>7</v>
      </c>
      <c r="I44" s="7">
        <v>7</v>
      </c>
      <c r="J44" s="7">
        <v>0</v>
      </c>
      <c r="K44" s="7">
        <v>0</v>
      </c>
      <c r="L44" s="7">
        <v>25</v>
      </c>
      <c r="M44" s="7">
        <v>2</v>
      </c>
      <c r="N44" s="7">
        <v>30</v>
      </c>
      <c r="O44" s="7">
        <v>21</v>
      </c>
      <c r="P44" s="7">
        <v>21</v>
      </c>
      <c r="Q44" s="7">
        <v>6</v>
      </c>
      <c r="R44" s="7">
        <v>5</v>
      </c>
      <c r="S44" s="7">
        <v>17</v>
      </c>
      <c r="T44" s="7">
        <v>0</v>
      </c>
      <c r="U44" s="7">
        <v>23</v>
      </c>
      <c r="V44" s="2">
        <f t="shared" si="9"/>
        <v>5.0764167561931259</v>
      </c>
      <c r="W44" s="7">
        <v>50</v>
      </c>
      <c r="X44" s="2">
        <f t="shared" si="2"/>
        <v>55.076416756193126</v>
      </c>
      <c r="Y44" s="2"/>
      <c r="Z44" s="2">
        <f t="shared" si="3"/>
        <v>129</v>
      </c>
      <c r="AA44" s="1">
        <f t="shared" si="4"/>
        <v>17.829457364341085</v>
      </c>
      <c r="AB44" s="1">
        <f t="shared" si="5"/>
        <v>17.054263565891471</v>
      </c>
      <c r="AC44" s="1">
        <f t="shared" si="6"/>
        <v>4.6511627906976747</v>
      </c>
      <c r="AD44" s="2">
        <f t="shared" si="7"/>
        <v>5.375</v>
      </c>
      <c r="AE44" s="2">
        <f t="shared" si="8"/>
        <v>0.77519379844961378</v>
      </c>
      <c r="AF44" s="2">
        <f t="shared" si="10"/>
        <v>25.38208378096563</v>
      </c>
    </row>
    <row r="45" spans="1:32" x14ac:dyDescent="0.35">
      <c r="A45" s="2" t="s">
        <v>433</v>
      </c>
      <c r="B45" s="2" t="s">
        <v>390</v>
      </c>
      <c r="C45" s="2">
        <v>24</v>
      </c>
      <c r="D45" s="2">
        <v>3.86</v>
      </c>
      <c r="E45" s="7">
        <v>0</v>
      </c>
      <c r="F45" s="7">
        <v>0</v>
      </c>
      <c r="G45" s="7">
        <v>0</v>
      </c>
      <c r="H45" s="7">
        <v>5</v>
      </c>
      <c r="I45" s="7">
        <v>0</v>
      </c>
      <c r="J45" s="7">
        <v>0</v>
      </c>
      <c r="K45" s="7">
        <v>0</v>
      </c>
      <c r="L45" s="7">
        <v>4</v>
      </c>
      <c r="M45" s="7">
        <v>2</v>
      </c>
      <c r="N45" s="7">
        <v>4</v>
      </c>
      <c r="O45" s="7">
        <v>2</v>
      </c>
      <c r="P45" s="7">
        <v>2</v>
      </c>
      <c r="Q45" s="7">
        <v>0</v>
      </c>
      <c r="R45" s="7">
        <v>0</v>
      </c>
      <c r="S45" s="7">
        <v>6</v>
      </c>
      <c r="T45" s="7">
        <v>0</v>
      </c>
      <c r="U45" s="7">
        <v>5</v>
      </c>
      <c r="V45" s="2">
        <f t="shared" si="9"/>
        <v>-0.16407599309153703</v>
      </c>
      <c r="W45" s="7">
        <v>50</v>
      </c>
      <c r="X45" s="2">
        <f t="shared" si="2"/>
        <v>49.835924006908463</v>
      </c>
      <c r="Y45" s="2"/>
      <c r="Z45" s="2">
        <f t="shared" si="3"/>
        <v>24</v>
      </c>
      <c r="AA45" s="1">
        <f t="shared" si="4"/>
        <v>20.833333333333336</v>
      </c>
      <c r="AB45" s="1">
        <f t="shared" si="5"/>
        <v>25</v>
      </c>
      <c r="AC45" s="1">
        <f t="shared" si="6"/>
        <v>0</v>
      </c>
      <c r="AD45" s="2">
        <f t="shared" si="7"/>
        <v>1</v>
      </c>
      <c r="AE45" s="2">
        <f t="shared" si="8"/>
        <v>-4.1666666666666643</v>
      </c>
      <c r="AF45" s="2">
        <f t="shared" si="10"/>
        <v>-0.8203799654576851</v>
      </c>
    </row>
    <row r="46" spans="1:32" x14ac:dyDescent="0.35">
      <c r="A46" s="2" t="s">
        <v>434</v>
      </c>
      <c r="B46" s="2" t="s">
        <v>390</v>
      </c>
      <c r="C46" s="2">
        <v>24</v>
      </c>
      <c r="D46" s="2">
        <v>5.68</v>
      </c>
      <c r="E46" s="7">
        <v>1</v>
      </c>
      <c r="F46" s="7">
        <v>1</v>
      </c>
      <c r="G46" s="7">
        <v>0</v>
      </c>
      <c r="H46" s="7">
        <v>17</v>
      </c>
      <c r="I46" s="7">
        <v>0</v>
      </c>
      <c r="J46" s="7">
        <v>0</v>
      </c>
      <c r="K46" s="7">
        <v>0</v>
      </c>
      <c r="L46" s="7">
        <v>19</v>
      </c>
      <c r="N46" s="7">
        <v>17</v>
      </c>
      <c r="O46" s="7">
        <v>13</v>
      </c>
      <c r="P46" s="7">
        <v>12</v>
      </c>
      <c r="Q46" s="7">
        <v>3</v>
      </c>
      <c r="R46" s="7">
        <v>0</v>
      </c>
      <c r="S46" s="7">
        <v>10</v>
      </c>
      <c r="T46" s="7">
        <v>1</v>
      </c>
      <c r="U46" s="7">
        <v>20</v>
      </c>
      <c r="V46" s="2">
        <f t="shared" si="9"/>
        <v>8.6787391012743118</v>
      </c>
      <c r="W46" s="7">
        <v>50</v>
      </c>
      <c r="X46" s="2">
        <f t="shared" si="2"/>
        <v>58.67873910127431</v>
      </c>
      <c r="Y46" s="2"/>
      <c r="Z46" s="2">
        <f t="shared" si="3"/>
        <v>84</v>
      </c>
      <c r="AA46" s="1">
        <f t="shared" si="4"/>
        <v>23.809523809523807</v>
      </c>
      <c r="AB46" s="1">
        <f t="shared" si="5"/>
        <v>11.904761904761903</v>
      </c>
      <c r="AC46" s="1">
        <f t="shared" si="6"/>
        <v>3.5714285714285712</v>
      </c>
      <c r="AD46" s="2">
        <f t="shared" si="7"/>
        <v>3.5</v>
      </c>
      <c r="AE46" s="2">
        <f t="shared" si="8"/>
        <v>11.904761904761903</v>
      </c>
      <c r="AF46" s="2">
        <f t="shared" si="10"/>
        <v>43.393695506371557</v>
      </c>
    </row>
    <row r="47" spans="1:32" x14ac:dyDescent="0.35">
      <c r="A47" s="2" t="s">
        <v>435</v>
      </c>
      <c r="B47" s="2" t="s">
        <v>388</v>
      </c>
      <c r="C47" s="2">
        <v>24</v>
      </c>
      <c r="D47" s="2">
        <v>4.32</v>
      </c>
      <c r="E47" s="7">
        <v>6</v>
      </c>
      <c r="F47" s="7">
        <v>5</v>
      </c>
      <c r="G47" s="7">
        <v>0</v>
      </c>
      <c r="H47" s="7">
        <v>16</v>
      </c>
      <c r="I47" s="7">
        <v>15</v>
      </c>
      <c r="J47" s="7">
        <v>0</v>
      </c>
      <c r="K47" s="7">
        <v>0</v>
      </c>
      <c r="L47" s="7">
        <v>81</v>
      </c>
      <c r="M47" s="7">
        <v>1</v>
      </c>
      <c r="N47" s="7">
        <v>82</v>
      </c>
      <c r="O47" s="7">
        <v>45</v>
      </c>
      <c r="P47" s="7">
        <v>39</v>
      </c>
      <c r="Q47" s="7">
        <v>13</v>
      </c>
      <c r="R47" s="7">
        <v>4</v>
      </c>
      <c r="S47" s="7">
        <v>31</v>
      </c>
      <c r="T47" s="7">
        <v>1</v>
      </c>
      <c r="U47" s="7">
        <v>59</v>
      </c>
      <c r="V47" s="2">
        <f t="shared" si="9"/>
        <v>69.496272401835881</v>
      </c>
      <c r="W47" s="7">
        <v>50</v>
      </c>
      <c r="X47" s="2">
        <f t="shared" si="2"/>
        <v>119.49627240183588</v>
      </c>
      <c r="Y47" s="2"/>
      <c r="Z47" s="2">
        <f t="shared" si="3"/>
        <v>361</v>
      </c>
      <c r="AA47" s="1">
        <f t="shared" si="4"/>
        <v>16.343490304709142</v>
      </c>
      <c r="AB47" s="1">
        <f t="shared" si="5"/>
        <v>9.6952908587257625</v>
      </c>
      <c r="AC47" s="1">
        <f t="shared" si="6"/>
        <v>3.6011080332409975</v>
      </c>
      <c r="AD47" s="2">
        <f t="shared" si="7"/>
        <v>15.041666666666666</v>
      </c>
      <c r="AE47" s="2">
        <f t="shared" si="8"/>
        <v>6.64819944598338</v>
      </c>
      <c r="AF47" s="2">
        <f t="shared" si="10"/>
        <v>347.48136200917941</v>
      </c>
    </row>
    <row r="48" spans="1:32" x14ac:dyDescent="0.35">
      <c r="A48" s="2" t="s">
        <v>436</v>
      </c>
      <c r="B48" s="2" t="s">
        <v>388</v>
      </c>
      <c r="C48" s="2">
        <v>24</v>
      </c>
      <c r="D48" s="2">
        <v>6.66</v>
      </c>
      <c r="E48" s="7">
        <v>1</v>
      </c>
      <c r="F48" s="7">
        <v>3</v>
      </c>
      <c r="G48" s="7">
        <v>0</v>
      </c>
      <c r="H48" s="7">
        <v>5</v>
      </c>
      <c r="I48" s="7">
        <v>5</v>
      </c>
      <c r="J48" s="7">
        <v>0</v>
      </c>
      <c r="K48" s="7">
        <v>0</v>
      </c>
      <c r="L48" s="7">
        <v>24</v>
      </c>
      <c r="M48" s="7">
        <v>1</v>
      </c>
      <c r="N48" s="7">
        <v>24</v>
      </c>
      <c r="O48" s="7">
        <v>19</v>
      </c>
      <c r="P48" s="7">
        <v>18</v>
      </c>
      <c r="Q48" s="7">
        <v>4</v>
      </c>
      <c r="R48" s="7">
        <v>1</v>
      </c>
      <c r="S48" s="7">
        <v>11</v>
      </c>
      <c r="T48" s="7">
        <v>0</v>
      </c>
      <c r="U48" s="7">
        <v>24</v>
      </c>
      <c r="V48" s="2">
        <f t="shared" si="9"/>
        <v>9.9041266993293018</v>
      </c>
      <c r="W48" s="7">
        <v>50</v>
      </c>
      <c r="X48" s="2">
        <f t="shared" si="2"/>
        <v>59.904126699329304</v>
      </c>
      <c r="Y48" s="2"/>
      <c r="Z48" s="2">
        <f t="shared" si="3"/>
        <v>109</v>
      </c>
      <c r="AA48" s="1">
        <f t="shared" si="4"/>
        <v>22.018348623853214</v>
      </c>
      <c r="AB48" s="1">
        <f t="shared" si="5"/>
        <v>11.009174311926607</v>
      </c>
      <c r="AC48" s="1">
        <f t="shared" si="6"/>
        <v>3.669724770642202</v>
      </c>
      <c r="AD48" s="2">
        <f t="shared" si="7"/>
        <v>4.541666666666667</v>
      </c>
      <c r="AE48" s="2">
        <f t="shared" si="8"/>
        <v>11.009174311926607</v>
      </c>
      <c r="AF48" s="2">
        <f t="shared" si="10"/>
        <v>49.520633496646511</v>
      </c>
    </row>
    <row r="49" spans="1:32" x14ac:dyDescent="0.35">
      <c r="A49" s="2" t="s">
        <v>437</v>
      </c>
      <c r="B49" s="2" t="s">
        <v>390</v>
      </c>
      <c r="C49" s="2">
        <v>24</v>
      </c>
      <c r="D49" s="2">
        <v>2.7</v>
      </c>
      <c r="E49" s="7">
        <v>7</v>
      </c>
      <c r="F49" s="7">
        <v>0</v>
      </c>
      <c r="G49" s="7">
        <v>0</v>
      </c>
      <c r="H49" s="7">
        <v>52</v>
      </c>
      <c r="I49" s="7">
        <v>1</v>
      </c>
      <c r="J49" s="7">
        <v>0</v>
      </c>
      <c r="K49" s="7">
        <v>0</v>
      </c>
      <c r="L49" s="7">
        <v>50</v>
      </c>
      <c r="N49" s="7">
        <v>32</v>
      </c>
      <c r="O49" s="7">
        <v>15</v>
      </c>
      <c r="P49" s="7">
        <v>15</v>
      </c>
      <c r="Q49" s="7">
        <v>4</v>
      </c>
      <c r="R49" s="7">
        <v>3</v>
      </c>
      <c r="S49" s="7">
        <v>19</v>
      </c>
      <c r="T49" s="7">
        <v>1</v>
      </c>
      <c r="U49" s="7">
        <v>62</v>
      </c>
      <c r="V49" s="2">
        <f t="shared" si="9"/>
        <v>52.398571774388756</v>
      </c>
      <c r="W49" s="7">
        <v>50</v>
      </c>
      <c r="X49" s="2">
        <f t="shared" si="2"/>
        <v>102.39857177438876</v>
      </c>
      <c r="Y49" s="2"/>
      <c r="Z49" s="2">
        <f t="shared" si="3"/>
        <v>204</v>
      </c>
      <c r="AA49" s="1">
        <f t="shared" si="4"/>
        <v>30.392156862745097</v>
      </c>
      <c r="AB49" s="1">
        <f t="shared" si="5"/>
        <v>10.784313725490197</v>
      </c>
      <c r="AC49" s="1">
        <f t="shared" si="6"/>
        <v>1.9607843137254901</v>
      </c>
      <c r="AD49" s="2">
        <f t="shared" si="7"/>
        <v>8.5</v>
      </c>
      <c r="AE49" s="2">
        <f t="shared" si="8"/>
        <v>19.6078431372549</v>
      </c>
      <c r="AF49" s="2">
        <f t="shared" si="10"/>
        <v>261.99285887194378</v>
      </c>
    </row>
    <row r="50" spans="1:32" x14ac:dyDescent="0.35">
      <c r="A50" s="2" t="s">
        <v>438</v>
      </c>
      <c r="B50" s="2" t="s">
        <v>390</v>
      </c>
      <c r="C50" s="2">
        <v>24</v>
      </c>
      <c r="D50" s="2">
        <v>4.1500000000000004</v>
      </c>
      <c r="E50" s="7">
        <v>0</v>
      </c>
      <c r="F50" s="7">
        <v>1</v>
      </c>
      <c r="G50" s="7">
        <v>0</v>
      </c>
      <c r="H50" s="7">
        <v>13</v>
      </c>
      <c r="I50" s="7">
        <v>0</v>
      </c>
      <c r="J50" s="7">
        <v>0</v>
      </c>
      <c r="K50" s="7">
        <v>0</v>
      </c>
      <c r="L50" s="7">
        <v>17</v>
      </c>
      <c r="M50" s="7">
        <v>1</v>
      </c>
      <c r="N50" s="7">
        <v>9</v>
      </c>
      <c r="O50" s="7">
        <v>8</v>
      </c>
      <c r="P50" s="7">
        <v>8</v>
      </c>
      <c r="Q50" s="7">
        <v>0</v>
      </c>
      <c r="R50" s="7">
        <v>0</v>
      </c>
      <c r="S50" s="7">
        <v>14</v>
      </c>
      <c r="T50" s="7">
        <v>0</v>
      </c>
      <c r="U50" s="7">
        <v>10</v>
      </c>
      <c r="V50" s="2">
        <f t="shared" si="9"/>
        <v>-0.33258032128514059</v>
      </c>
      <c r="W50" s="7">
        <v>50</v>
      </c>
      <c r="X50" s="2">
        <f t="shared" si="2"/>
        <v>49.667419678714857</v>
      </c>
      <c r="Y50" s="2"/>
      <c r="Z50" s="2">
        <f t="shared" si="3"/>
        <v>75</v>
      </c>
      <c r="AA50" s="1">
        <f t="shared" si="4"/>
        <v>13.333333333333334</v>
      </c>
      <c r="AB50" s="1">
        <f t="shared" si="5"/>
        <v>18.666666666666668</v>
      </c>
      <c r="AC50" s="1">
        <f t="shared" si="6"/>
        <v>0</v>
      </c>
      <c r="AD50" s="2">
        <f t="shared" si="7"/>
        <v>3.125</v>
      </c>
      <c r="AE50" s="2">
        <f t="shared" si="8"/>
        <v>-5.3333333333333339</v>
      </c>
      <c r="AF50" s="2">
        <f t="shared" si="10"/>
        <v>-1.6629016064257029</v>
      </c>
    </row>
    <row r="51" spans="1:32" x14ac:dyDescent="0.35">
      <c r="A51" s="2" t="s">
        <v>439</v>
      </c>
      <c r="B51" s="2" t="s">
        <v>390</v>
      </c>
      <c r="C51" s="2">
        <v>24</v>
      </c>
      <c r="D51" s="2">
        <v>6.23</v>
      </c>
      <c r="E51" s="7">
        <v>1</v>
      </c>
      <c r="F51" s="7">
        <v>0</v>
      </c>
      <c r="G51" s="7">
        <v>0</v>
      </c>
      <c r="H51" s="7">
        <v>5</v>
      </c>
      <c r="I51" s="7">
        <v>0</v>
      </c>
      <c r="J51" s="7">
        <v>0</v>
      </c>
      <c r="K51" s="7">
        <v>0</v>
      </c>
      <c r="L51" s="7">
        <v>4</v>
      </c>
      <c r="M51" s="7">
        <v>1</v>
      </c>
      <c r="N51" s="7">
        <v>5</v>
      </c>
      <c r="O51" s="7">
        <v>4</v>
      </c>
      <c r="P51" s="7">
        <v>3</v>
      </c>
      <c r="Q51" s="7">
        <v>1</v>
      </c>
      <c r="R51" s="7">
        <v>0</v>
      </c>
      <c r="S51" s="7">
        <v>1</v>
      </c>
      <c r="T51" s="7">
        <v>0</v>
      </c>
      <c r="U51" s="7">
        <v>1</v>
      </c>
      <c r="V51" s="2">
        <f t="shared" si="9"/>
        <v>0.12601435705368286</v>
      </c>
      <c r="W51" s="7">
        <v>50</v>
      </c>
      <c r="X51" s="2">
        <f t="shared" si="2"/>
        <v>50.126014357053684</v>
      </c>
      <c r="Y51" s="2"/>
      <c r="Z51" s="2">
        <f t="shared" si="3"/>
        <v>19</v>
      </c>
      <c r="AA51" s="1">
        <f t="shared" si="4"/>
        <v>5.2631578947368416</v>
      </c>
      <c r="AB51" s="1">
        <f t="shared" si="5"/>
        <v>5.2631578947368416</v>
      </c>
      <c r="AC51" s="1">
        <f t="shared" si="6"/>
        <v>5.2631578947368416</v>
      </c>
      <c r="AD51" s="2">
        <f t="shared" si="7"/>
        <v>0.79166666666666663</v>
      </c>
      <c r="AE51" s="2">
        <f t="shared" si="8"/>
        <v>0</v>
      </c>
      <c r="AF51" s="2">
        <f t="shared" si="10"/>
        <v>0.63007178526841434</v>
      </c>
    </row>
    <row r="52" spans="1:32" x14ac:dyDescent="0.35">
      <c r="A52" s="2" t="s">
        <v>440</v>
      </c>
      <c r="B52" s="2" t="s">
        <v>388</v>
      </c>
      <c r="C52" s="2">
        <v>24</v>
      </c>
      <c r="D52" s="2">
        <v>6.81</v>
      </c>
      <c r="E52" s="7">
        <v>3</v>
      </c>
      <c r="F52" s="7">
        <v>11</v>
      </c>
      <c r="G52" s="7">
        <v>0</v>
      </c>
      <c r="H52" s="7">
        <v>23</v>
      </c>
      <c r="I52" s="7">
        <v>23</v>
      </c>
      <c r="J52" s="7">
        <v>0</v>
      </c>
      <c r="K52" s="7">
        <v>0</v>
      </c>
      <c r="L52" s="7">
        <v>111</v>
      </c>
      <c r="N52" s="7">
        <v>136</v>
      </c>
      <c r="O52" s="7">
        <v>89</v>
      </c>
      <c r="P52" s="7">
        <v>84</v>
      </c>
      <c r="Q52" s="7">
        <v>21</v>
      </c>
      <c r="R52" s="7">
        <v>7</v>
      </c>
      <c r="S52" s="7">
        <v>58</v>
      </c>
      <c r="T52" s="7">
        <v>4</v>
      </c>
      <c r="U52" s="7">
        <v>72</v>
      </c>
      <c r="V52" s="2">
        <f t="shared" si="9"/>
        <v>75.941396217283454</v>
      </c>
      <c r="W52" s="7">
        <v>50</v>
      </c>
      <c r="X52" s="2">
        <f t="shared" si="2"/>
        <v>125.94139621728345</v>
      </c>
      <c r="Y52" s="2"/>
      <c r="Z52" s="2">
        <f t="shared" si="3"/>
        <v>534</v>
      </c>
      <c r="AA52" s="1">
        <f t="shared" si="4"/>
        <v>13.48314606741573</v>
      </c>
      <c r="AB52" s="1">
        <f t="shared" si="5"/>
        <v>12.172284644194757</v>
      </c>
      <c r="AC52" s="1">
        <f t="shared" si="6"/>
        <v>3.9325842696629212</v>
      </c>
      <c r="AD52" s="2">
        <f t="shared" si="7"/>
        <v>22.25</v>
      </c>
      <c r="AE52" s="2">
        <f t="shared" si="8"/>
        <v>1.3108614232209721</v>
      </c>
      <c r="AF52" s="2">
        <f t="shared" si="10"/>
        <v>379.70698108641727</v>
      </c>
    </row>
    <row r="53" spans="1:32" x14ac:dyDescent="0.35">
      <c r="A53" s="2" t="s">
        <v>441</v>
      </c>
      <c r="B53" s="2" t="s">
        <v>390</v>
      </c>
      <c r="C53" s="2">
        <v>24</v>
      </c>
      <c r="D53" s="2">
        <v>3.38</v>
      </c>
      <c r="E53" s="7">
        <v>0</v>
      </c>
      <c r="F53" s="7">
        <v>0</v>
      </c>
      <c r="G53" s="7">
        <v>0</v>
      </c>
      <c r="H53" s="7">
        <v>2</v>
      </c>
      <c r="I53" s="7">
        <v>0</v>
      </c>
      <c r="J53" s="7">
        <v>0</v>
      </c>
      <c r="K53" s="7">
        <v>0</v>
      </c>
      <c r="L53" s="7">
        <v>2</v>
      </c>
      <c r="M53" s="7">
        <v>2</v>
      </c>
      <c r="N53" s="7">
        <v>1</v>
      </c>
      <c r="O53" s="7">
        <v>2</v>
      </c>
      <c r="P53" s="7">
        <v>1</v>
      </c>
      <c r="Q53" s="7">
        <v>0</v>
      </c>
      <c r="R53" s="7">
        <v>0</v>
      </c>
      <c r="S53" s="7">
        <v>6</v>
      </c>
      <c r="T53" s="7">
        <v>0</v>
      </c>
      <c r="U53" s="7">
        <v>4</v>
      </c>
      <c r="V53" s="2">
        <f t="shared" si="9"/>
        <v>-0.46998274161735693</v>
      </c>
      <c r="W53" s="7">
        <v>50</v>
      </c>
      <c r="X53" s="2">
        <f t="shared" si="2"/>
        <v>49.530017258382642</v>
      </c>
      <c r="Y53" s="2"/>
      <c r="Z53" s="2">
        <f t="shared" si="3"/>
        <v>15</v>
      </c>
      <c r="AA53" s="1">
        <f t="shared" si="4"/>
        <v>26.666666666666668</v>
      </c>
      <c r="AB53" s="1">
        <f t="shared" si="5"/>
        <v>40</v>
      </c>
      <c r="AC53" s="1">
        <f t="shared" si="6"/>
        <v>0</v>
      </c>
      <c r="AD53" s="2">
        <f t="shared" si="7"/>
        <v>0.625</v>
      </c>
      <c r="AE53" s="2">
        <f t="shared" si="8"/>
        <v>-13.333333333333332</v>
      </c>
      <c r="AF53" s="2">
        <f t="shared" si="10"/>
        <v>-2.3499137080867847</v>
      </c>
    </row>
    <row r="54" spans="1:32" x14ac:dyDescent="0.35">
      <c r="A54" s="2" t="s">
        <v>442</v>
      </c>
      <c r="B54" s="2" t="s">
        <v>390</v>
      </c>
      <c r="C54" s="2">
        <v>24</v>
      </c>
      <c r="D54" s="2">
        <v>4.5</v>
      </c>
      <c r="E54" s="7">
        <v>0</v>
      </c>
      <c r="F54" s="7">
        <v>0</v>
      </c>
      <c r="G54" s="7">
        <v>0</v>
      </c>
      <c r="H54" s="7">
        <v>8</v>
      </c>
      <c r="I54" s="7">
        <v>0</v>
      </c>
      <c r="J54" s="7">
        <v>0</v>
      </c>
      <c r="K54" s="7">
        <v>0</v>
      </c>
      <c r="L54" s="7">
        <v>10</v>
      </c>
      <c r="N54" s="7">
        <v>10</v>
      </c>
      <c r="O54" s="7">
        <v>5</v>
      </c>
      <c r="P54" s="7">
        <v>5</v>
      </c>
      <c r="Q54" s="7">
        <v>3</v>
      </c>
      <c r="R54" s="7">
        <v>0</v>
      </c>
      <c r="S54" s="7">
        <v>4</v>
      </c>
      <c r="T54" s="7">
        <v>0</v>
      </c>
      <c r="U54" s="7">
        <v>13</v>
      </c>
      <c r="V54" s="2">
        <f t="shared" si="9"/>
        <v>14.198204264870927</v>
      </c>
      <c r="W54" s="7">
        <v>50</v>
      </c>
      <c r="X54" s="2">
        <f t="shared" si="2"/>
        <v>64.198204264870924</v>
      </c>
      <c r="Y54" s="2"/>
      <c r="Z54" s="2">
        <f t="shared" si="3"/>
        <v>44</v>
      </c>
      <c r="AA54" s="1">
        <f t="shared" si="4"/>
        <v>29.545454545454547</v>
      </c>
      <c r="AB54" s="1">
        <f t="shared" si="5"/>
        <v>9.0909090909090917</v>
      </c>
      <c r="AC54" s="1">
        <f t="shared" si="6"/>
        <v>6.8181818181818175</v>
      </c>
      <c r="AD54" s="2">
        <f t="shared" si="7"/>
        <v>1.8333333333333333</v>
      </c>
      <c r="AE54" s="2">
        <f t="shared" si="8"/>
        <v>20.454545454545453</v>
      </c>
      <c r="AF54" s="2">
        <f t="shared" si="10"/>
        <v>70.991021324354634</v>
      </c>
    </row>
    <row r="55" spans="1:32" x14ac:dyDescent="0.35">
      <c r="A55" s="2" t="s">
        <v>443</v>
      </c>
      <c r="B55" s="2" t="s">
        <v>388</v>
      </c>
      <c r="C55" s="2">
        <v>24</v>
      </c>
      <c r="D55" s="2">
        <v>1.8</v>
      </c>
      <c r="E55" s="7">
        <v>1</v>
      </c>
      <c r="F55" s="7">
        <v>0</v>
      </c>
      <c r="G55" s="7">
        <v>0</v>
      </c>
      <c r="H55" s="7">
        <v>3</v>
      </c>
      <c r="I55" s="7">
        <v>2</v>
      </c>
      <c r="J55" s="7">
        <v>0</v>
      </c>
      <c r="K55" s="7">
        <v>0</v>
      </c>
      <c r="L55" s="7">
        <v>15</v>
      </c>
      <c r="N55" s="7">
        <v>13</v>
      </c>
      <c r="O55" s="7">
        <v>6</v>
      </c>
      <c r="P55" s="7">
        <v>3</v>
      </c>
      <c r="Q55" s="7">
        <v>1</v>
      </c>
      <c r="R55" s="7">
        <v>0</v>
      </c>
      <c r="S55" s="7">
        <v>2</v>
      </c>
      <c r="T55" s="7">
        <v>0</v>
      </c>
      <c r="U55" s="7">
        <v>14</v>
      </c>
      <c r="V55" s="2">
        <f t="shared" si="9"/>
        <v>16.666666666666668</v>
      </c>
      <c r="W55" s="7">
        <v>50</v>
      </c>
      <c r="X55" s="2">
        <f t="shared" si="2"/>
        <v>66.666666666666671</v>
      </c>
      <c r="Y55" s="2"/>
      <c r="Z55" s="2">
        <f t="shared" si="3"/>
        <v>60</v>
      </c>
      <c r="AA55" s="1">
        <f t="shared" si="4"/>
        <v>23.333333333333332</v>
      </c>
      <c r="AB55" s="1">
        <f t="shared" si="5"/>
        <v>3.3333333333333335</v>
      </c>
      <c r="AC55" s="1">
        <f t="shared" si="6"/>
        <v>1.6666666666666667</v>
      </c>
      <c r="AD55" s="2">
        <f t="shared" si="7"/>
        <v>2.5</v>
      </c>
      <c r="AE55" s="2">
        <f t="shared" si="8"/>
        <v>20</v>
      </c>
      <c r="AF55" s="2">
        <f t="shared" si="10"/>
        <v>83.333333333333343</v>
      </c>
    </row>
    <row r="56" spans="1:32" x14ac:dyDescent="0.35">
      <c r="A56" s="2" t="s">
        <v>444</v>
      </c>
      <c r="B56" s="2" t="s">
        <v>388</v>
      </c>
      <c r="C56" s="2">
        <v>24</v>
      </c>
      <c r="D56" s="2">
        <v>7.41</v>
      </c>
      <c r="E56" s="7">
        <v>0</v>
      </c>
      <c r="F56" s="7">
        <v>2</v>
      </c>
      <c r="G56" s="7">
        <v>0</v>
      </c>
      <c r="H56" s="7">
        <v>5</v>
      </c>
      <c r="I56" s="7">
        <v>3</v>
      </c>
      <c r="J56" s="7">
        <v>0</v>
      </c>
      <c r="K56" s="7">
        <v>0</v>
      </c>
      <c r="L56" s="7">
        <v>17</v>
      </c>
      <c r="N56" s="7">
        <v>18</v>
      </c>
      <c r="O56" s="7">
        <v>14</v>
      </c>
      <c r="P56" s="7">
        <v>14</v>
      </c>
      <c r="Q56" s="7">
        <v>4</v>
      </c>
      <c r="R56" s="7">
        <v>3</v>
      </c>
      <c r="S56" s="7">
        <v>12</v>
      </c>
      <c r="T56" s="7">
        <v>0</v>
      </c>
      <c r="U56" s="7">
        <v>14</v>
      </c>
      <c r="V56" s="2">
        <f t="shared" si="9"/>
        <v>1.2570957307799397</v>
      </c>
      <c r="W56" s="7">
        <v>50</v>
      </c>
      <c r="X56" s="2">
        <f t="shared" si="2"/>
        <v>51.257095730779938</v>
      </c>
      <c r="Y56" s="2"/>
      <c r="Z56" s="2">
        <f t="shared" si="3"/>
        <v>84</v>
      </c>
      <c r="AA56" s="1">
        <f t="shared" si="4"/>
        <v>16.666666666666664</v>
      </c>
      <c r="AB56" s="1">
        <f t="shared" si="5"/>
        <v>17.857142857142858</v>
      </c>
      <c r="AC56" s="1">
        <f t="shared" si="6"/>
        <v>4.7619047619047619</v>
      </c>
      <c r="AD56" s="2">
        <f t="shared" si="7"/>
        <v>3.5</v>
      </c>
      <c r="AE56" s="2">
        <f t="shared" si="8"/>
        <v>-1.1904761904761934</v>
      </c>
      <c r="AF56" s="2">
        <f t="shared" si="10"/>
        <v>6.2854786538996983</v>
      </c>
    </row>
    <row r="57" spans="1:32" x14ac:dyDescent="0.35">
      <c r="A57" s="2" t="s">
        <v>445</v>
      </c>
      <c r="B57" s="2" t="s">
        <v>390</v>
      </c>
      <c r="C57" s="2">
        <v>24</v>
      </c>
      <c r="D57" s="2">
        <v>3.96</v>
      </c>
      <c r="E57" s="7">
        <v>2</v>
      </c>
      <c r="F57" s="7">
        <v>2</v>
      </c>
      <c r="G57" s="7">
        <v>1</v>
      </c>
      <c r="H57" s="7">
        <v>55</v>
      </c>
      <c r="I57" s="7">
        <v>0</v>
      </c>
      <c r="J57" s="7">
        <v>0</v>
      </c>
      <c r="K57" s="7">
        <v>0</v>
      </c>
      <c r="L57" s="7">
        <v>61</v>
      </c>
      <c r="M57" s="7">
        <v>1</v>
      </c>
      <c r="N57" s="7">
        <v>52</v>
      </c>
      <c r="O57" s="7">
        <v>34</v>
      </c>
      <c r="P57" s="7">
        <v>27</v>
      </c>
      <c r="Q57" s="7">
        <v>6</v>
      </c>
      <c r="R57" s="7">
        <v>6</v>
      </c>
      <c r="S57" s="7">
        <v>25</v>
      </c>
      <c r="T57" s="7">
        <v>1</v>
      </c>
      <c r="U57" s="7">
        <v>68</v>
      </c>
      <c r="V57" s="2">
        <f t="shared" si="9"/>
        <v>45.580769658192416</v>
      </c>
      <c r="W57" s="7">
        <v>50</v>
      </c>
      <c r="X57" s="2">
        <f t="shared" si="2"/>
        <v>95.580769658192423</v>
      </c>
      <c r="Y57" s="2"/>
      <c r="Z57" s="2">
        <f t="shared" si="3"/>
        <v>267</v>
      </c>
      <c r="AA57" s="1">
        <f t="shared" si="4"/>
        <v>25.468164794007492</v>
      </c>
      <c r="AB57" s="1">
        <f t="shared" si="5"/>
        <v>11.610486891385769</v>
      </c>
      <c r="AC57" s="1">
        <f t="shared" si="6"/>
        <v>2.2471910112359552</v>
      </c>
      <c r="AD57" s="2">
        <f t="shared" si="7"/>
        <v>11.125</v>
      </c>
      <c r="AE57" s="2">
        <f t="shared" si="8"/>
        <v>13.857677902621724</v>
      </c>
      <c r="AF57" s="2">
        <f t="shared" si="10"/>
        <v>227.90384829096209</v>
      </c>
    </row>
    <row r="58" spans="1:32" x14ac:dyDescent="0.35">
      <c r="A58" s="2" t="s">
        <v>446</v>
      </c>
      <c r="B58" s="2" t="s">
        <v>390</v>
      </c>
      <c r="C58" s="2">
        <v>24</v>
      </c>
      <c r="D58" s="2">
        <v>2.76</v>
      </c>
      <c r="E58" s="7">
        <v>3</v>
      </c>
      <c r="F58" s="7">
        <v>2</v>
      </c>
      <c r="G58" s="7">
        <v>0</v>
      </c>
      <c r="H58" s="7">
        <v>16</v>
      </c>
      <c r="I58" s="7">
        <v>4</v>
      </c>
      <c r="J58" s="7">
        <v>0</v>
      </c>
      <c r="K58" s="7">
        <v>0</v>
      </c>
      <c r="L58" s="7">
        <v>45</v>
      </c>
      <c r="M58" s="7">
        <v>2</v>
      </c>
      <c r="N58" s="7">
        <v>31</v>
      </c>
      <c r="O58" s="7">
        <v>15</v>
      </c>
      <c r="P58" s="7">
        <v>14</v>
      </c>
      <c r="Q58" s="7">
        <v>7</v>
      </c>
      <c r="R58" s="7">
        <v>1</v>
      </c>
      <c r="S58" s="7">
        <v>15</v>
      </c>
      <c r="T58" s="7">
        <v>0</v>
      </c>
      <c r="U58" s="7">
        <v>36</v>
      </c>
      <c r="V58" s="2">
        <f t="shared" si="9"/>
        <v>49.474725197787599</v>
      </c>
      <c r="W58" s="7">
        <v>50</v>
      </c>
      <c r="X58" s="2">
        <f t="shared" si="2"/>
        <v>99.474725197787592</v>
      </c>
      <c r="Y58" s="2"/>
      <c r="Z58" s="2">
        <f t="shared" si="3"/>
        <v>184</v>
      </c>
      <c r="AA58" s="1">
        <f t="shared" si="4"/>
        <v>19.565217391304348</v>
      </c>
      <c r="AB58" s="1">
        <f t="shared" si="5"/>
        <v>8.695652173913043</v>
      </c>
      <c r="AC58" s="1">
        <f t="shared" si="6"/>
        <v>3.804347826086957</v>
      </c>
      <c r="AD58" s="2">
        <f t="shared" si="7"/>
        <v>7.666666666666667</v>
      </c>
      <c r="AE58" s="2">
        <f t="shared" si="8"/>
        <v>10.869565217391305</v>
      </c>
      <c r="AF58" s="2">
        <f t="shared" si="10"/>
        <v>247.37362598893799</v>
      </c>
    </row>
    <row r="59" spans="1:32" x14ac:dyDescent="0.35">
      <c r="A59" s="2" t="s">
        <v>447</v>
      </c>
      <c r="B59" s="2" t="s">
        <v>388</v>
      </c>
      <c r="C59" s="2">
        <v>24</v>
      </c>
      <c r="D59" s="2">
        <v>2.72</v>
      </c>
      <c r="E59" s="7">
        <v>3</v>
      </c>
      <c r="F59" s="7">
        <v>1</v>
      </c>
      <c r="G59" s="7">
        <v>0</v>
      </c>
      <c r="H59" s="7">
        <v>7</v>
      </c>
      <c r="I59" s="7">
        <v>7</v>
      </c>
      <c r="J59" s="7">
        <v>0</v>
      </c>
      <c r="K59" s="7">
        <v>0</v>
      </c>
      <c r="L59" s="7">
        <v>39</v>
      </c>
      <c r="M59" s="7">
        <v>2</v>
      </c>
      <c r="N59" s="7">
        <v>46</v>
      </c>
      <c r="O59" s="7">
        <v>12</v>
      </c>
      <c r="P59" s="7">
        <v>12</v>
      </c>
      <c r="Q59" s="7">
        <v>4</v>
      </c>
      <c r="R59" s="7">
        <v>0</v>
      </c>
      <c r="S59" s="7">
        <v>6</v>
      </c>
      <c r="T59" s="7">
        <v>0</v>
      </c>
      <c r="U59" s="7">
        <v>38</v>
      </c>
      <c r="V59" s="2">
        <f t="shared" si="9"/>
        <v>45.201455627938302</v>
      </c>
      <c r="W59" s="7">
        <v>50</v>
      </c>
      <c r="X59" s="2">
        <f t="shared" si="2"/>
        <v>95.201455627938302</v>
      </c>
      <c r="Y59" s="2"/>
      <c r="Z59" s="2">
        <f t="shared" si="3"/>
        <v>171</v>
      </c>
      <c r="AA59" s="1">
        <f t="shared" si="4"/>
        <v>22.222222222222221</v>
      </c>
      <c r="AB59" s="1">
        <f t="shared" si="5"/>
        <v>3.5087719298245612</v>
      </c>
      <c r="AC59" s="1">
        <f t="shared" si="6"/>
        <v>2.3391812865497075</v>
      </c>
      <c r="AD59" s="2">
        <f t="shared" si="7"/>
        <v>7.125</v>
      </c>
      <c r="AE59" s="2">
        <f t="shared" si="8"/>
        <v>18.71345029239766</v>
      </c>
      <c r="AF59" s="2">
        <f t="shared" si="10"/>
        <v>226.00727813969152</v>
      </c>
    </row>
    <row r="60" spans="1:32" x14ac:dyDescent="0.35">
      <c r="A60" s="2" t="s">
        <v>448</v>
      </c>
      <c r="B60" s="2" t="s">
        <v>390</v>
      </c>
      <c r="C60" s="2">
        <v>24</v>
      </c>
      <c r="D60" s="2">
        <v>3.43</v>
      </c>
      <c r="E60" s="7">
        <v>2</v>
      </c>
      <c r="F60" s="7">
        <v>0</v>
      </c>
      <c r="G60" s="7">
        <v>0</v>
      </c>
      <c r="H60" s="7">
        <v>23</v>
      </c>
      <c r="I60" s="7">
        <v>0</v>
      </c>
      <c r="J60" s="7">
        <v>0</v>
      </c>
      <c r="K60" s="7">
        <v>0</v>
      </c>
      <c r="L60" s="7">
        <v>21</v>
      </c>
      <c r="N60" s="7">
        <v>17</v>
      </c>
      <c r="O60" s="7">
        <v>8</v>
      </c>
      <c r="P60" s="7">
        <v>8</v>
      </c>
      <c r="Q60" s="7">
        <v>3</v>
      </c>
      <c r="R60" s="7">
        <v>1</v>
      </c>
      <c r="S60" s="7">
        <v>17</v>
      </c>
      <c r="T60" s="7">
        <v>0</v>
      </c>
      <c r="U60" s="7">
        <v>21</v>
      </c>
      <c r="V60" s="2">
        <f t="shared" si="9"/>
        <v>6.9084888571560752</v>
      </c>
      <c r="W60" s="7">
        <v>50</v>
      </c>
      <c r="X60" s="2">
        <f t="shared" si="2"/>
        <v>56.908488857156073</v>
      </c>
      <c r="Y60" s="2"/>
      <c r="Z60" s="2">
        <f t="shared" si="3"/>
        <v>98</v>
      </c>
      <c r="AA60" s="1">
        <f t="shared" si="4"/>
        <v>21.428571428571427</v>
      </c>
      <c r="AB60" s="1">
        <f t="shared" si="5"/>
        <v>18.367346938775512</v>
      </c>
      <c r="AC60" s="1">
        <f t="shared" si="6"/>
        <v>3.0612244897959182</v>
      </c>
      <c r="AD60" s="2">
        <f t="shared" si="7"/>
        <v>4.083333333333333</v>
      </c>
      <c r="AE60" s="2">
        <f t="shared" si="8"/>
        <v>3.0612244897959151</v>
      </c>
      <c r="AF60" s="2">
        <f t="shared" si="10"/>
        <v>34.542444285780377</v>
      </c>
    </row>
    <row r="61" spans="1:32" x14ac:dyDescent="0.35">
      <c r="A61" s="2" t="s">
        <v>449</v>
      </c>
      <c r="B61" s="2" t="s">
        <v>388</v>
      </c>
      <c r="C61" s="2">
        <v>24</v>
      </c>
      <c r="D61" s="2">
        <v>4.37</v>
      </c>
      <c r="E61" s="7">
        <v>5</v>
      </c>
      <c r="F61" s="7">
        <v>3</v>
      </c>
      <c r="G61" s="7">
        <v>0</v>
      </c>
      <c r="H61" s="7">
        <v>20</v>
      </c>
      <c r="I61" s="7">
        <v>12</v>
      </c>
      <c r="J61" s="7">
        <v>0</v>
      </c>
      <c r="K61" s="7">
        <v>0</v>
      </c>
      <c r="L61" s="7">
        <v>90</v>
      </c>
      <c r="M61" s="7">
        <v>2</v>
      </c>
      <c r="N61" s="7">
        <v>95</v>
      </c>
      <c r="O61" s="7">
        <v>46</v>
      </c>
      <c r="P61" s="7">
        <v>44</v>
      </c>
      <c r="Q61" s="7">
        <v>16</v>
      </c>
      <c r="R61" s="7">
        <v>2</v>
      </c>
      <c r="S61" s="7">
        <v>31</v>
      </c>
      <c r="T61" s="7">
        <v>0</v>
      </c>
      <c r="U61" s="7">
        <v>72</v>
      </c>
      <c r="V61" s="2">
        <f t="shared" si="9"/>
        <v>100.75006356470888</v>
      </c>
      <c r="W61" s="7">
        <v>50</v>
      </c>
      <c r="X61" s="2">
        <f t="shared" si="2"/>
        <v>150.75006356470888</v>
      </c>
      <c r="Y61" s="2"/>
      <c r="Z61" s="2">
        <f t="shared" si="3"/>
        <v>400</v>
      </c>
      <c r="AA61" s="1">
        <f t="shared" si="4"/>
        <v>18</v>
      </c>
      <c r="AB61" s="1">
        <f t="shared" si="5"/>
        <v>8.25</v>
      </c>
      <c r="AC61" s="1">
        <f t="shared" si="6"/>
        <v>4</v>
      </c>
      <c r="AD61" s="2">
        <f t="shared" si="7"/>
        <v>16.666666666666668</v>
      </c>
      <c r="AE61" s="2">
        <f t="shared" si="8"/>
        <v>9.75</v>
      </c>
      <c r="AF61" s="2">
        <f t="shared" si="10"/>
        <v>503.75031782354444</v>
      </c>
    </row>
    <row r="62" spans="1:32" x14ac:dyDescent="0.35">
      <c r="A62" s="2" t="s">
        <v>450</v>
      </c>
      <c r="B62" s="2" t="s">
        <v>390</v>
      </c>
      <c r="C62" s="2">
        <v>24</v>
      </c>
      <c r="D62" s="2">
        <v>3</v>
      </c>
      <c r="E62" s="7">
        <v>0</v>
      </c>
      <c r="F62" s="7">
        <v>0</v>
      </c>
      <c r="G62" s="7">
        <v>0</v>
      </c>
      <c r="H62" s="7">
        <v>3</v>
      </c>
      <c r="I62" s="7">
        <v>0</v>
      </c>
      <c r="J62" s="7">
        <v>0</v>
      </c>
      <c r="K62" s="7">
        <v>0</v>
      </c>
      <c r="L62" s="7">
        <v>3</v>
      </c>
      <c r="N62" s="7">
        <v>3</v>
      </c>
      <c r="O62" s="7">
        <v>1</v>
      </c>
      <c r="P62" s="7">
        <v>1</v>
      </c>
      <c r="Q62" s="7">
        <v>0</v>
      </c>
      <c r="R62" s="7">
        <v>0</v>
      </c>
      <c r="S62" s="7">
        <v>3</v>
      </c>
      <c r="T62" s="7">
        <v>0</v>
      </c>
      <c r="U62" s="7">
        <v>1</v>
      </c>
      <c r="V62" s="2">
        <f t="shared" si="9"/>
        <v>-0.52951388888888884</v>
      </c>
      <c r="W62" s="7">
        <v>50</v>
      </c>
      <c r="X62" s="2">
        <f t="shared" si="2"/>
        <v>49.470486111111114</v>
      </c>
      <c r="Y62" s="2"/>
      <c r="Z62" s="2">
        <f t="shared" si="3"/>
        <v>15</v>
      </c>
      <c r="AA62" s="1">
        <f t="shared" si="4"/>
        <v>6.666666666666667</v>
      </c>
      <c r="AB62" s="1">
        <f t="shared" si="5"/>
        <v>20</v>
      </c>
      <c r="AC62" s="1">
        <f t="shared" si="6"/>
        <v>0</v>
      </c>
      <c r="AD62" s="2">
        <f t="shared" si="7"/>
        <v>0.625</v>
      </c>
      <c r="AE62" s="2">
        <f t="shared" si="8"/>
        <v>-13.333333333333332</v>
      </c>
      <c r="AF62" s="2">
        <f t="shared" si="10"/>
        <v>-2.6475694444444442</v>
      </c>
    </row>
    <row r="63" spans="1:32" x14ac:dyDescent="0.35">
      <c r="A63" s="2" t="s">
        <v>451</v>
      </c>
      <c r="B63" s="2" t="s">
        <v>388</v>
      </c>
      <c r="C63" s="2">
        <v>24</v>
      </c>
      <c r="D63" s="2">
        <v>8.91</v>
      </c>
      <c r="E63" s="7">
        <v>0</v>
      </c>
      <c r="F63" s="7">
        <v>4</v>
      </c>
      <c r="G63" s="7">
        <v>0</v>
      </c>
      <c r="H63" s="7">
        <v>9</v>
      </c>
      <c r="I63" s="7">
        <v>7</v>
      </c>
      <c r="J63" s="7">
        <v>0</v>
      </c>
      <c r="K63" s="7">
        <v>0</v>
      </c>
      <c r="L63" s="7">
        <v>34</v>
      </c>
      <c r="M63" s="7">
        <v>1</v>
      </c>
      <c r="N63" s="7">
        <v>45</v>
      </c>
      <c r="O63" s="7">
        <v>35</v>
      </c>
      <c r="P63" s="7">
        <v>34</v>
      </c>
      <c r="Q63" s="7">
        <v>10</v>
      </c>
      <c r="R63" s="7">
        <v>3</v>
      </c>
      <c r="S63" s="7">
        <v>25</v>
      </c>
      <c r="T63" s="7">
        <v>0</v>
      </c>
      <c r="U63" s="7">
        <v>27</v>
      </c>
      <c r="V63" s="2">
        <f t="shared" si="9"/>
        <v>7.4409073904023399</v>
      </c>
      <c r="W63" s="7">
        <v>50</v>
      </c>
      <c r="X63" s="2">
        <f t="shared" si="2"/>
        <v>57.440907390402337</v>
      </c>
      <c r="Y63" s="2"/>
      <c r="Z63" s="2">
        <f t="shared" si="3"/>
        <v>176</v>
      </c>
      <c r="AA63" s="1">
        <f t="shared" si="4"/>
        <v>15.340909090909092</v>
      </c>
      <c r="AB63" s="1">
        <f t="shared" si="5"/>
        <v>15.909090909090908</v>
      </c>
      <c r="AC63" s="1">
        <f t="shared" si="6"/>
        <v>5.6818181818181817</v>
      </c>
      <c r="AD63" s="2">
        <f t="shared" si="7"/>
        <v>7.333333333333333</v>
      </c>
      <c r="AE63" s="2">
        <f t="shared" si="8"/>
        <v>-0.56818181818181657</v>
      </c>
      <c r="AF63" s="2">
        <f t="shared" si="10"/>
        <v>37.204536952011701</v>
      </c>
    </row>
    <row r="64" spans="1:32" x14ac:dyDescent="0.35">
      <c r="A64" s="2" t="s">
        <v>452</v>
      </c>
      <c r="B64" s="2" t="s">
        <v>390</v>
      </c>
      <c r="C64" s="2">
        <v>24</v>
      </c>
      <c r="D64" s="2">
        <v>2.88</v>
      </c>
      <c r="E64" s="7">
        <v>5</v>
      </c>
      <c r="F64" s="7">
        <v>0</v>
      </c>
      <c r="G64" s="7">
        <v>0</v>
      </c>
      <c r="H64" s="7">
        <v>21</v>
      </c>
      <c r="I64" s="7">
        <v>0</v>
      </c>
      <c r="J64" s="7">
        <v>0</v>
      </c>
      <c r="K64" s="7">
        <v>0</v>
      </c>
      <c r="L64" s="7">
        <v>25</v>
      </c>
      <c r="N64" s="7">
        <v>11</v>
      </c>
      <c r="O64" s="7">
        <v>9</v>
      </c>
      <c r="P64" s="7">
        <v>8</v>
      </c>
      <c r="Q64" s="7">
        <v>3</v>
      </c>
      <c r="R64" s="7">
        <v>2</v>
      </c>
      <c r="S64" s="7">
        <v>12</v>
      </c>
      <c r="T64" s="7">
        <v>0</v>
      </c>
      <c r="U64" s="7">
        <v>32</v>
      </c>
      <c r="V64" s="2">
        <f t="shared" si="9"/>
        <v>25.655864197530867</v>
      </c>
      <c r="W64" s="7">
        <v>50</v>
      </c>
      <c r="X64" s="2">
        <f t="shared" si="2"/>
        <v>75.65586419753086</v>
      </c>
      <c r="Y64" s="2"/>
      <c r="Z64" s="2">
        <f t="shared" si="3"/>
        <v>100</v>
      </c>
      <c r="AA64" s="1">
        <f t="shared" si="4"/>
        <v>32</v>
      </c>
      <c r="AB64" s="1">
        <f t="shared" si="5"/>
        <v>14.000000000000002</v>
      </c>
      <c r="AC64" s="1">
        <f t="shared" si="6"/>
        <v>3</v>
      </c>
      <c r="AD64" s="2">
        <f t="shared" si="7"/>
        <v>4.166666666666667</v>
      </c>
      <c r="AE64" s="2">
        <f t="shared" si="8"/>
        <v>18</v>
      </c>
      <c r="AF64" s="2">
        <f t="shared" si="10"/>
        <v>128.27932098765433</v>
      </c>
    </row>
    <row r="65" spans="1:32" x14ac:dyDescent="0.35">
      <c r="A65" s="2" t="s">
        <v>453</v>
      </c>
      <c r="B65" s="2" t="s">
        <v>390</v>
      </c>
      <c r="C65" s="2">
        <v>24</v>
      </c>
      <c r="D65" s="2">
        <v>2.35</v>
      </c>
      <c r="E65" s="7">
        <v>0</v>
      </c>
      <c r="F65" s="7">
        <v>0</v>
      </c>
      <c r="G65" s="7">
        <v>0</v>
      </c>
      <c r="H65" s="7">
        <v>3</v>
      </c>
      <c r="I65" s="7">
        <v>0</v>
      </c>
      <c r="J65" s="7">
        <v>0</v>
      </c>
      <c r="K65" s="7">
        <v>0</v>
      </c>
      <c r="L65" s="7">
        <v>7</v>
      </c>
      <c r="M65" s="7">
        <v>2</v>
      </c>
      <c r="N65" s="7">
        <v>7</v>
      </c>
      <c r="O65" s="7">
        <v>2</v>
      </c>
      <c r="P65" s="7">
        <v>2</v>
      </c>
      <c r="Q65" s="7">
        <v>1</v>
      </c>
      <c r="R65" s="7">
        <v>2</v>
      </c>
      <c r="S65" s="7">
        <v>2</v>
      </c>
      <c r="T65" s="7">
        <v>0</v>
      </c>
      <c r="U65" s="7">
        <v>11</v>
      </c>
      <c r="V65" s="2">
        <f t="shared" si="9"/>
        <v>10.456230009734389</v>
      </c>
      <c r="W65" s="7">
        <v>50</v>
      </c>
      <c r="X65" s="2">
        <f t="shared" si="2"/>
        <v>60.456230009734391</v>
      </c>
      <c r="Y65" s="2"/>
      <c r="Z65" s="2">
        <f t="shared" si="3"/>
        <v>34</v>
      </c>
      <c r="AA65" s="1">
        <f t="shared" si="4"/>
        <v>32.352941176470587</v>
      </c>
      <c r="AB65" s="1">
        <f t="shared" si="5"/>
        <v>11.76470588235294</v>
      </c>
      <c r="AC65" s="1">
        <f t="shared" si="6"/>
        <v>2.9411764705882351</v>
      </c>
      <c r="AD65" s="2">
        <f t="shared" si="7"/>
        <v>1.4166666666666667</v>
      </c>
      <c r="AE65" s="2">
        <f t="shared" si="8"/>
        <v>20.588235294117645</v>
      </c>
      <c r="AF65" s="2">
        <f t="shared" si="10"/>
        <v>52.281150048671947</v>
      </c>
    </row>
    <row r="66" spans="1:32" x14ac:dyDescent="0.35">
      <c r="A66" s="2" t="s">
        <v>454</v>
      </c>
      <c r="B66" s="2" t="s">
        <v>388</v>
      </c>
      <c r="C66" s="2">
        <v>24</v>
      </c>
      <c r="D66" s="2">
        <v>2.96</v>
      </c>
      <c r="E66" s="7">
        <v>4</v>
      </c>
      <c r="F66" s="7">
        <v>3</v>
      </c>
      <c r="G66" s="7">
        <v>0</v>
      </c>
      <c r="H66" s="7">
        <v>14</v>
      </c>
      <c r="I66" s="7">
        <v>14</v>
      </c>
      <c r="J66" s="7">
        <v>0</v>
      </c>
      <c r="K66" s="7">
        <v>0</v>
      </c>
      <c r="L66" s="7">
        <v>73</v>
      </c>
      <c r="N66" s="7">
        <v>58</v>
      </c>
      <c r="O66" s="7">
        <v>24</v>
      </c>
      <c r="P66" s="7">
        <v>24</v>
      </c>
      <c r="Q66" s="7">
        <v>8</v>
      </c>
      <c r="R66" s="7">
        <v>5</v>
      </c>
      <c r="S66" s="7">
        <v>31</v>
      </c>
      <c r="T66" s="7">
        <v>0</v>
      </c>
      <c r="U66" s="7">
        <v>84</v>
      </c>
      <c r="V66" s="2">
        <f t="shared" si="9"/>
        <v>88.918202722490847</v>
      </c>
      <c r="W66" s="7">
        <v>50</v>
      </c>
      <c r="X66" s="2">
        <f t="shared" si="2"/>
        <v>138.91820272249083</v>
      </c>
      <c r="Y66" s="2"/>
      <c r="Z66" s="2">
        <f t="shared" si="3"/>
        <v>313</v>
      </c>
      <c r="AA66" s="1">
        <f t="shared" si="4"/>
        <v>26.837060702875398</v>
      </c>
      <c r="AB66" s="1">
        <f t="shared" si="5"/>
        <v>11.501597444089457</v>
      </c>
      <c r="AC66" s="1">
        <f t="shared" si="6"/>
        <v>2.5559105431309903</v>
      </c>
      <c r="AD66" s="2">
        <f t="shared" si="7"/>
        <v>13.041666666666666</v>
      </c>
      <c r="AE66" s="2">
        <f t="shared" si="8"/>
        <v>15.335463258785941</v>
      </c>
      <c r="AF66" s="2">
        <f t="shared" si="10"/>
        <v>444.59101361245422</v>
      </c>
    </row>
    <row r="67" spans="1:32" x14ac:dyDescent="0.35">
      <c r="A67" s="2" t="s">
        <v>455</v>
      </c>
      <c r="B67" s="2" t="s">
        <v>390</v>
      </c>
      <c r="C67" s="2">
        <v>24</v>
      </c>
      <c r="D67" s="2">
        <v>18</v>
      </c>
      <c r="E67" s="7">
        <v>0</v>
      </c>
      <c r="F67" s="7">
        <v>1</v>
      </c>
      <c r="G67" s="7">
        <v>0</v>
      </c>
      <c r="H67" s="7">
        <v>4</v>
      </c>
      <c r="I67" s="7">
        <v>0</v>
      </c>
      <c r="J67" s="7">
        <v>0</v>
      </c>
      <c r="K67" s="7">
        <v>0</v>
      </c>
      <c r="L67" s="7">
        <v>3</v>
      </c>
      <c r="N67" s="7">
        <v>7</v>
      </c>
      <c r="O67" s="7">
        <v>6</v>
      </c>
      <c r="P67" s="7">
        <v>6</v>
      </c>
      <c r="Q67" s="7">
        <v>1</v>
      </c>
      <c r="R67" s="7">
        <v>1</v>
      </c>
      <c r="S67" s="7">
        <v>3</v>
      </c>
      <c r="T67" s="7">
        <v>0</v>
      </c>
      <c r="U67" s="7">
        <v>3</v>
      </c>
      <c r="V67" s="2">
        <f t="shared" si="9"/>
        <v>-0.23148148148148154</v>
      </c>
      <c r="W67" s="7">
        <v>50</v>
      </c>
      <c r="X67" s="2">
        <f t="shared" ref="X67:X130" si="11">V67+W67</f>
        <v>49.768518518518519</v>
      </c>
      <c r="Y67" s="2"/>
      <c r="Z67" s="2">
        <f t="shared" ref="Z67:Z130" si="12">((L67*3)+M67)+(R67+S67)+N67</f>
        <v>20</v>
      </c>
      <c r="AA67" s="1">
        <f t="shared" ref="AA67:AA130" si="13">(U67/Z67)*100</f>
        <v>15</v>
      </c>
      <c r="AB67" s="1">
        <f t="shared" ref="AB67:AB130" si="14">((R67+S67)/Z67)*100</f>
        <v>20</v>
      </c>
      <c r="AC67" s="1">
        <f t="shared" ref="AC67:AC130" si="15">(Q67/Z67)*100</f>
        <v>5</v>
      </c>
      <c r="AD67" s="2">
        <f t="shared" ref="AD67:AD130" si="16">(Z67/C67)</f>
        <v>0.83333333333333337</v>
      </c>
      <c r="AE67" s="2">
        <f t="shared" ref="AE67:AE130" si="17">AA67-AB67</f>
        <v>-5</v>
      </c>
      <c r="AF67" s="2">
        <f t="shared" si="10"/>
        <v>-1.1574074074074077</v>
      </c>
    </row>
    <row r="68" spans="1:32" x14ac:dyDescent="0.35">
      <c r="A68" s="2" t="s">
        <v>456</v>
      </c>
      <c r="B68" s="2" t="s">
        <v>388</v>
      </c>
      <c r="C68" s="2">
        <v>24</v>
      </c>
      <c r="D68" s="2">
        <v>4.79</v>
      </c>
      <c r="E68" s="7">
        <v>0</v>
      </c>
      <c r="F68" s="7">
        <v>2</v>
      </c>
      <c r="G68" s="7">
        <v>0</v>
      </c>
      <c r="H68" s="7">
        <v>4</v>
      </c>
      <c r="I68" s="7">
        <v>4</v>
      </c>
      <c r="J68" s="7">
        <v>0</v>
      </c>
      <c r="K68" s="7">
        <v>0</v>
      </c>
      <c r="L68" s="7">
        <v>20</v>
      </c>
      <c r="M68" s="7">
        <v>2</v>
      </c>
      <c r="N68" s="7">
        <v>18</v>
      </c>
      <c r="O68" s="7">
        <v>11</v>
      </c>
      <c r="P68" s="7">
        <v>11</v>
      </c>
      <c r="Q68" s="7">
        <v>0</v>
      </c>
      <c r="R68" s="7">
        <v>2</v>
      </c>
      <c r="S68" s="7">
        <v>7</v>
      </c>
      <c r="T68" s="7">
        <v>0</v>
      </c>
      <c r="U68" s="7">
        <v>17</v>
      </c>
      <c r="V68" s="2">
        <f t="shared" si="9"/>
        <v>1.9659736720018557</v>
      </c>
      <c r="W68" s="7">
        <v>50</v>
      </c>
      <c r="X68" s="2">
        <f t="shared" si="11"/>
        <v>51.965973672001859</v>
      </c>
      <c r="Y68" s="2"/>
      <c r="Z68" s="2">
        <f t="shared" si="12"/>
        <v>89</v>
      </c>
      <c r="AA68" s="1">
        <f t="shared" si="13"/>
        <v>19.101123595505616</v>
      </c>
      <c r="AB68" s="1">
        <f t="shared" si="14"/>
        <v>10.112359550561797</v>
      </c>
      <c r="AC68" s="1">
        <f t="shared" si="15"/>
        <v>0</v>
      </c>
      <c r="AD68" s="2">
        <f t="shared" si="16"/>
        <v>3.7083333333333335</v>
      </c>
      <c r="AE68" s="2">
        <f t="shared" si="17"/>
        <v>8.9887640449438191</v>
      </c>
      <c r="AF68" s="2">
        <f t="shared" si="10"/>
        <v>9.8298683600092787</v>
      </c>
    </row>
    <row r="69" spans="1:32" x14ac:dyDescent="0.35">
      <c r="A69" s="2" t="s">
        <v>457</v>
      </c>
      <c r="B69" s="2" t="s">
        <v>388</v>
      </c>
      <c r="C69" s="2">
        <v>24</v>
      </c>
      <c r="D69" s="2">
        <v>9</v>
      </c>
      <c r="E69" s="7">
        <v>1</v>
      </c>
      <c r="F69" s="7">
        <v>1</v>
      </c>
      <c r="G69" s="7">
        <v>0</v>
      </c>
      <c r="H69" s="7">
        <v>4</v>
      </c>
      <c r="I69" s="7">
        <v>2</v>
      </c>
      <c r="J69" s="7">
        <v>0</v>
      </c>
      <c r="K69" s="7">
        <v>0</v>
      </c>
      <c r="L69" s="7">
        <v>15</v>
      </c>
      <c r="N69" s="7">
        <v>23</v>
      </c>
      <c r="O69" s="7">
        <v>15</v>
      </c>
      <c r="P69" s="7">
        <v>15</v>
      </c>
      <c r="Q69" s="7">
        <v>4</v>
      </c>
      <c r="R69" s="7">
        <v>1</v>
      </c>
      <c r="S69" s="7">
        <v>10</v>
      </c>
      <c r="T69" s="7">
        <v>0</v>
      </c>
      <c r="U69" s="7">
        <v>10</v>
      </c>
      <c r="V69" s="2">
        <f t="shared" si="9"/>
        <v>0.89849927723081746</v>
      </c>
      <c r="W69" s="7">
        <v>50</v>
      </c>
      <c r="X69" s="2">
        <f t="shared" si="11"/>
        <v>50.898499277230819</v>
      </c>
      <c r="Y69" s="2"/>
      <c r="Z69" s="2">
        <f t="shared" si="12"/>
        <v>79</v>
      </c>
      <c r="AA69" s="1">
        <f t="shared" si="13"/>
        <v>12.658227848101266</v>
      </c>
      <c r="AB69" s="1">
        <f t="shared" si="14"/>
        <v>13.924050632911392</v>
      </c>
      <c r="AC69" s="1">
        <f t="shared" si="15"/>
        <v>5.0632911392405067</v>
      </c>
      <c r="AD69" s="2">
        <f t="shared" si="16"/>
        <v>3.2916666666666665</v>
      </c>
      <c r="AE69" s="2">
        <f t="shared" si="17"/>
        <v>-1.2658227848101262</v>
      </c>
      <c r="AF69" s="2">
        <f t="shared" si="10"/>
        <v>4.4924963861540874</v>
      </c>
    </row>
    <row r="70" spans="1:32" x14ac:dyDescent="0.35">
      <c r="A70" s="2" t="s">
        <v>458</v>
      </c>
      <c r="B70" s="2" t="s">
        <v>390</v>
      </c>
      <c r="C70" s="2">
        <v>24</v>
      </c>
      <c r="D70" s="2">
        <v>13.5</v>
      </c>
      <c r="E70" s="7">
        <v>0</v>
      </c>
      <c r="F70" s="7">
        <v>0</v>
      </c>
      <c r="G70" s="7">
        <v>0</v>
      </c>
      <c r="H70" s="7">
        <v>2</v>
      </c>
      <c r="I70" s="7">
        <v>0</v>
      </c>
      <c r="J70" s="7">
        <v>0</v>
      </c>
      <c r="K70" s="7">
        <v>0</v>
      </c>
      <c r="L70" s="7">
        <v>1</v>
      </c>
      <c r="M70" s="7">
        <v>1</v>
      </c>
      <c r="N70" s="7">
        <v>2</v>
      </c>
      <c r="O70" s="7">
        <v>2</v>
      </c>
      <c r="P70" s="7">
        <v>2</v>
      </c>
      <c r="Q70" s="7">
        <v>1</v>
      </c>
      <c r="R70" s="7">
        <v>0</v>
      </c>
      <c r="S70" s="7">
        <v>0</v>
      </c>
      <c r="T70" s="7">
        <v>0</v>
      </c>
      <c r="U70" s="7">
        <v>2</v>
      </c>
      <c r="V70" s="2">
        <f t="shared" si="9"/>
        <v>2.197427983539094</v>
      </c>
      <c r="W70" s="7">
        <v>50</v>
      </c>
      <c r="X70" s="2">
        <f t="shared" si="11"/>
        <v>52.197427983539093</v>
      </c>
      <c r="Y70" s="2"/>
      <c r="Z70" s="2">
        <f t="shared" si="12"/>
        <v>6</v>
      </c>
      <c r="AA70" s="1">
        <f t="shared" si="13"/>
        <v>33.333333333333329</v>
      </c>
      <c r="AB70" s="1">
        <f t="shared" si="14"/>
        <v>0</v>
      </c>
      <c r="AC70" s="1">
        <f t="shared" si="15"/>
        <v>16.666666666666664</v>
      </c>
      <c r="AD70" s="2">
        <f t="shared" si="16"/>
        <v>0.25</v>
      </c>
      <c r="AE70" s="2">
        <f t="shared" si="17"/>
        <v>33.333333333333329</v>
      </c>
      <c r="AF70" s="2">
        <f t="shared" si="10"/>
        <v>10.987139917695471</v>
      </c>
    </row>
    <row r="71" spans="1:32" x14ac:dyDescent="0.35">
      <c r="A71" s="2" t="s">
        <v>459</v>
      </c>
      <c r="B71" s="2" t="s">
        <v>388</v>
      </c>
      <c r="C71" s="2">
        <v>24</v>
      </c>
      <c r="D71" s="2">
        <v>5.01</v>
      </c>
      <c r="E71" s="7">
        <v>2</v>
      </c>
      <c r="F71" s="7">
        <v>1</v>
      </c>
      <c r="G71" s="7">
        <v>0</v>
      </c>
      <c r="H71" s="7">
        <v>5</v>
      </c>
      <c r="I71" s="7">
        <v>5</v>
      </c>
      <c r="J71" s="7">
        <v>0</v>
      </c>
      <c r="K71" s="7">
        <v>0</v>
      </c>
      <c r="L71" s="7">
        <v>23</v>
      </c>
      <c r="M71" s="7">
        <v>1</v>
      </c>
      <c r="N71" s="7">
        <v>22</v>
      </c>
      <c r="O71" s="7">
        <v>14</v>
      </c>
      <c r="P71" s="7">
        <v>13</v>
      </c>
      <c r="Q71" s="7">
        <v>6</v>
      </c>
      <c r="R71" s="7">
        <v>2</v>
      </c>
      <c r="S71" s="7">
        <v>12</v>
      </c>
      <c r="T71" s="7">
        <v>0</v>
      </c>
      <c r="U71" s="7">
        <v>16</v>
      </c>
      <c r="V71" s="2">
        <f t="shared" si="9"/>
        <v>7.4022656992095506</v>
      </c>
      <c r="W71" s="7">
        <v>50</v>
      </c>
      <c r="X71" s="2">
        <f t="shared" si="11"/>
        <v>57.402265699209551</v>
      </c>
      <c r="Y71" s="2"/>
      <c r="Z71" s="2">
        <f t="shared" si="12"/>
        <v>106</v>
      </c>
      <c r="AA71" s="1">
        <f t="shared" si="13"/>
        <v>15.09433962264151</v>
      </c>
      <c r="AB71" s="1">
        <f t="shared" si="14"/>
        <v>13.20754716981132</v>
      </c>
      <c r="AC71" s="1">
        <f t="shared" si="15"/>
        <v>5.6603773584905666</v>
      </c>
      <c r="AD71" s="2">
        <f t="shared" si="16"/>
        <v>4.416666666666667</v>
      </c>
      <c r="AE71" s="2">
        <f t="shared" si="17"/>
        <v>1.8867924528301891</v>
      </c>
      <c r="AF71" s="2">
        <f t="shared" si="10"/>
        <v>37.011328496047753</v>
      </c>
    </row>
    <row r="72" spans="1:32" x14ac:dyDescent="0.35">
      <c r="A72" s="2" t="s">
        <v>460</v>
      </c>
      <c r="B72" s="2" t="s">
        <v>390</v>
      </c>
      <c r="C72" s="2">
        <v>25</v>
      </c>
      <c r="D72" s="2">
        <v>7.49</v>
      </c>
      <c r="E72" s="7">
        <v>1</v>
      </c>
      <c r="F72" s="7">
        <v>4</v>
      </c>
      <c r="G72" s="7">
        <v>0</v>
      </c>
      <c r="H72" s="7">
        <v>18</v>
      </c>
      <c r="I72" s="7">
        <v>2</v>
      </c>
      <c r="J72" s="7">
        <v>0</v>
      </c>
      <c r="K72" s="7">
        <v>0</v>
      </c>
      <c r="L72" s="7">
        <v>33</v>
      </c>
      <c r="M72" s="7">
        <v>2</v>
      </c>
      <c r="N72" s="7">
        <v>39</v>
      </c>
      <c r="O72" s="7">
        <v>29</v>
      </c>
      <c r="P72" s="7">
        <v>28</v>
      </c>
      <c r="Q72" s="7">
        <v>6</v>
      </c>
      <c r="R72" s="7">
        <v>3</v>
      </c>
      <c r="S72" s="7">
        <v>17</v>
      </c>
      <c r="T72" s="7">
        <v>0</v>
      </c>
      <c r="U72" s="7">
        <v>31</v>
      </c>
      <c r="V72" s="2">
        <f t="shared" ref="V72:V135" si="18">(AF72*2)/10</f>
        <v>10.775967957276368</v>
      </c>
      <c r="W72" s="7">
        <v>50</v>
      </c>
      <c r="X72" s="2">
        <f t="shared" si="11"/>
        <v>60.775967957276364</v>
      </c>
      <c r="Y72" s="2"/>
      <c r="Z72" s="2">
        <f t="shared" si="12"/>
        <v>160</v>
      </c>
      <c r="AA72" s="1">
        <f t="shared" si="13"/>
        <v>19.375</v>
      </c>
      <c r="AB72" s="1">
        <f t="shared" si="14"/>
        <v>12.5</v>
      </c>
      <c r="AC72" s="1">
        <f t="shared" si="15"/>
        <v>3.75</v>
      </c>
      <c r="AD72" s="2">
        <f t="shared" si="16"/>
        <v>6.4</v>
      </c>
      <c r="AE72" s="2">
        <f t="shared" si="17"/>
        <v>6.875</v>
      </c>
      <c r="AF72" s="2">
        <f t="shared" si="10"/>
        <v>53.879839786381844</v>
      </c>
    </row>
    <row r="73" spans="1:32" x14ac:dyDescent="0.35">
      <c r="A73" s="2" t="s">
        <v>461</v>
      </c>
      <c r="B73" s="2" t="s">
        <v>390</v>
      </c>
      <c r="C73" s="2">
        <v>25</v>
      </c>
      <c r="D73" s="2">
        <v>2.71</v>
      </c>
      <c r="E73" s="7">
        <v>4</v>
      </c>
      <c r="F73" s="7">
        <v>4</v>
      </c>
      <c r="G73" s="7">
        <v>0</v>
      </c>
      <c r="H73" s="7">
        <v>26</v>
      </c>
      <c r="I73" s="7">
        <v>8</v>
      </c>
      <c r="J73" s="7">
        <v>0</v>
      </c>
      <c r="K73" s="7">
        <v>0</v>
      </c>
      <c r="L73" s="7">
        <v>69</v>
      </c>
      <c r="M73" s="7">
        <v>2</v>
      </c>
      <c r="N73" s="7">
        <v>63</v>
      </c>
      <c r="O73" s="7">
        <v>22</v>
      </c>
      <c r="P73" s="7">
        <v>21</v>
      </c>
      <c r="Q73" s="7">
        <v>3</v>
      </c>
      <c r="R73" s="7">
        <v>2</v>
      </c>
      <c r="S73" s="7">
        <v>24</v>
      </c>
      <c r="T73" s="7">
        <v>1</v>
      </c>
      <c r="U73" s="7">
        <v>71</v>
      </c>
      <c r="V73" s="2">
        <f t="shared" si="18"/>
        <v>47.699959682012931</v>
      </c>
      <c r="W73" s="7">
        <v>50</v>
      </c>
      <c r="X73" s="2">
        <f t="shared" si="11"/>
        <v>97.699959682012931</v>
      </c>
      <c r="Y73" s="2"/>
      <c r="Z73" s="2">
        <f t="shared" si="12"/>
        <v>298</v>
      </c>
      <c r="AA73" s="1">
        <f t="shared" si="13"/>
        <v>23.825503355704697</v>
      </c>
      <c r="AB73" s="1">
        <f t="shared" si="14"/>
        <v>8.724832214765101</v>
      </c>
      <c r="AC73" s="1">
        <f t="shared" si="15"/>
        <v>1.006711409395973</v>
      </c>
      <c r="AD73" s="2">
        <f t="shared" si="16"/>
        <v>11.92</v>
      </c>
      <c r="AE73" s="2">
        <f t="shared" si="17"/>
        <v>15.100671140939596</v>
      </c>
      <c r="AF73" s="2">
        <f t="shared" si="10"/>
        <v>238.49979841006467</v>
      </c>
    </row>
    <row r="74" spans="1:32" x14ac:dyDescent="0.35">
      <c r="A74" s="2" t="s">
        <v>462</v>
      </c>
      <c r="B74" s="2" t="s">
        <v>390</v>
      </c>
      <c r="C74" s="2">
        <v>25</v>
      </c>
      <c r="D74" s="2">
        <v>6.2</v>
      </c>
      <c r="E74" s="7">
        <v>2</v>
      </c>
      <c r="F74" s="7">
        <v>3</v>
      </c>
      <c r="G74" s="7">
        <v>0</v>
      </c>
      <c r="H74" s="7">
        <v>23</v>
      </c>
      <c r="I74" s="7">
        <v>0</v>
      </c>
      <c r="J74" s="7">
        <v>0</v>
      </c>
      <c r="K74" s="7">
        <v>0</v>
      </c>
      <c r="L74" s="7">
        <v>20</v>
      </c>
      <c r="M74" s="7">
        <v>1</v>
      </c>
      <c r="N74" s="7">
        <v>22</v>
      </c>
      <c r="O74" s="7">
        <v>15</v>
      </c>
      <c r="P74" s="7">
        <v>14</v>
      </c>
      <c r="Q74" s="7">
        <v>1</v>
      </c>
      <c r="R74" s="7">
        <v>1</v>
      </c>
      <c r="S74" s="7">
        <v>10</v>
      </c>
      <c r="T74" s="7">
        <v>0</v>
      </c>
      <c r="U74" s="7">
        <v>18</v>
      </c>
      <c r="V74" s="2">
        <f t="shared" si="18"/>
        <v>2.8053172271791356</v>
      </c>
      <c r="W74" s="7">
        <v>50</v>
      </c>
      <c r="X74" s="2">
        <f t="shared" si="11"/>
        <v>52.805317227179138</v>
      </c>
      <c r="Y74" s="2"/>
      <c r="Z74" s="2">
        <f t="shared" si="12"/>
        <v>94</v>
      </c>
      <c r="AA74" s="1">
        <f t="shared" si="13"/>
        <v>19.148936170212767</v>
      </c>
      <c r="AB74" s="1">
        <f t="shared" si="14"/>
        <v>11.702127659574469</v>
      </c>
      <c r="AC74" s="1">
        <f t="shared" si="15"/>
        <v>1.0638297872340425</v>
      </c>
      <c r="AD74" s="2">
        <f t="shared" si="16"/>
        <v>3.76</v>
      </c>
      <c r="AE74" s="2">
        <f t="shared" si="17"/>
        <v>7.4468085106382986</v>
      </c>
      <c r="AF74" s="2">
        <f t="shared" si="10"/>
        <v>14.026586135895677</v>
      </c>
    </row>
    <row r="75" spans="1:32" x14ac:dyDescent="0.35">
      <c r="A75" s="2" t="s">
        <v>463</v>
      </c>
      <c r="B75" s="2" t="s">
        <v>390</v>
      </c>
      <c r="C75" s="2">
        <v>25</v>
      </c>
      <c r="D75" s="2">
        <v>4.6500000000000004</v>
      </c>
      <c r="E75" s="7">
        <v>1</v>
      </c>
      <c r="F75" s="7">
        <v>4</v>
      </c>
      <c r="G75" s="7">
        <v>0</v>
      </c>
      <c r="H75" s="7">
        <v>32</v>
      </c>
      <c r="I75" s="7">
        <v>6</v>
      </c>
      <c r="J75" s="7">
        <v>0</v>
      </c>
      <c r="K75" s="7">
        <v>0</v>
      </c>
      <c r="L75" s="7">
        <v>81</v>
      </c>
      <c r="M75" s="7">
        <v>1</v>
      </c>
      <c r="N75" s="7">
        <v>85</v>
      </c>
      <c r="O75" s="7">
        <v>44</v>
      </c>
      <c r="P75" s="7">
        <v>42</v>
      </c>
      <c r="Q75" s="7">
        <v>15</v>
      </c>
      <c r="R75" s="7">
        <v>4</v>
      </c>
      <c r="S75" s="7">
        <v>23</v>
      </c>
      <c r="T75" s="7">
        <v>0</v>
      </c>
      <c r="U75" s="7">
        <v>54</v>
      </c>
      <c r="V75" s="2">
        <f t="shared" si="18"/>
        <v>69.687474398936814</v>
      </c>
      <c r="W75" s="7">
        <v>50</v>
      </c>
      <c r="X75" s="2">
        <f t="shared" si="11"/>
        <v>119.68747439893681</v>
      </c>
      <c r="Y75" s="2"/>
      <c r="Z75" s="2">
        <f t="shared" si="12"/>
        <v>356</v>
      </c>
      <c r="AA75" s="1">
        <f t="shared" si="13"/>
        <v>15.168539325842698</v>
      </c>
      <c r="AB75" s="1">
        <f t="shared" si="14"/>
        <v>7.5842696629213489</v>
      </c>
      <c r="AC75" s="1">
        <f t="shared" si="15"/>
        <v>4.213483146067416</v>
      </c>
      <c r="AD75" s="2">
        <f t="shared" si="16"/>
        <v>14.24</v>
      </c>
      <c r="AE75" s="2">
        <f t="shared" si="17"/>
        <v>7.5842696629213489</v>
      </c>
      <c r="AF75" s="2">
        <f t="shared" si="10"/>
        <v>348.43737199468404</v>
      </c>
    </row>
    <row r="76" spans="1:32" x14ac:dyDescent="0.35">
      <c r="A76" s="2" t="s">
        <v>464</v>
      </c>
      <c r="B76" s="2" t="s">
        <v>388</v>
      </c>
      <c r="C76" s="2">
        <v>25</v>
      </c>
      <c r="D76" s="2">
        <v>3.66</v>
      </c>
      <c r="E76" s="7">
        <v>2</v>
      </c>
      <c r="F76" s="7">
        <v>2</v>
      </c>
      <c r="G76" s="7">
        <v>0</v>
      </c>
      <c r="H76" s="7">
        <v>19</v>
      </c>
      <c r="I76" s="7">
        <v>15</v>
      </c>
      <c r="J76" s="7">
        <v>0</v>
      </c>
      <c r="K76" s="7">
        <v>0</v>
      </c>
      <c r="L76" s="7">
        <v>76</v>
      </c>
      <c r="M76" s="7">
        <v>1</v>
      </c>
      <c r="N76" s="7">
        <v>61</v>
      </c>
      <c r="O76" s="7">
        <v>32</v>
      </c>
      <c r="P76" s="7">
        <v>31</v>
      </c>
      <c r="Q76" s="7">
        <v>8</v>
      </c>
      <c r="R76" s="7">
        <v>1</v>
      </c>
      <c r="S76" s="7">
        <v>35</v>
      </c>
      <c r="T76" s="7">
        <v>1</v>
      </c>
      <c r="U76" s="7">
        <v>73</v>
      </c>
      <c r="V76" s="2">
        <f t="shared" si="18"/>
        <v>60.027966341479768</v>
      </c>
      <c r="W76" s="7">
        <v>50</v>
      </c>
      <c r="X76" s="2">
        <f t="shared" si="11"/>
        <v>110.02796634147977</v>
      </c>
      <c r="Y76" s="2"/>
      <c r="Z76" s="2">
        <f t="shared" si="12"/>
        <v>326</v>
      </c>
      <c r="AA76" s="1">
        <f t="shared" si="13"/>
        <v>22.392638036809817</v>
      </c>
      <c r="AB76" s="1">
        <f t="shared" si="14"/>
        <v>11.042944785276074</v>
      </c>
      <c r="AC76" s="1">
        <f t="shared" si="15"/>
        <v>2.4539877300613497</v>
      </c>
      <c r="AD76" s="2">
        <f t="shared" si="16"/>
        <v>13.04</v>
      </c>
      <c r="AE76" s="2">
        <f t="shared" si="17"/>
        <v>11.349693251533743</v>
      </c>
      <c r="AF76" s="2">
        <f t="shared" ref="AF76:AF139" si="19">(AD76+AE76)/(D76/(1+AC76))*AD76</f>
        <v>300.13983170739886</v>
      </c>
    </row>
    <row r="77" spans="1:32" x14ac:dyDescent="0.35">
      <c r="A77" s="2" t="s">
        <v>465</v>
      </c>
      <c r="B77" s="2" t="s">
        <v>390</v>
      </c>
      <c r="C77" s="2">
        <v>25</v>
      </c>
      <c r="D77" s="2">
        <v>6.75</v>
      </c>
      <c r="E77" s="7">
        <v>0</v>
      </c>
      <c r="F77" s="7">
        <v>0</v>
      </c>
      <c r="G77" s="7">
        <v>0</v>
      </c>
      <c r="H77" s="7">
        <v>1</v>
      </c>
      <c r="I77" s="7">
        <v>0</v>
      </c>
      <c r="J77" s="7">
        <v>0</v>
      </c>
      <c r="K77" s="7">
        <v>0</v>
      </c>
      <c r="L77" s="7">
        <v>4</v>
      </c>
      <c r="N77" s="7">
        <v>5</v>
      </c>
      <c r="O77" s="7">
        <v>5</v>
      </c>
      <c r="P77" s="7">
        <v>3</v>
      </c>
      <c r="Q77" s="7">
        <v>2</v>
      </c>
      <c r="R77" s="7">
        <v>0</v>
      </c>
      <c r="S77" s="7">
        <v>0</v>
      </c>
      <c r="T77" s="7">
        <v>0</v>
      </c>
      <c r="U77" s="7">
        <v>5</v>
      </c>
      <c r="V77" s="2">
        <f t="shared" si="18"/>
        <v>7.7391560784313729</v>
      </c>
      <c r="W77" s="7">
        <v>50</v>
      </c>
      <c r="X77" s="2">
        <f t="shared" si="11"/>
        <v>57.739156078431371</v>
      </c>
      <c r="Y77" s="2"/>
      <c r="Z77" s="2">
        <f t="shared" si="12"/>
        <v>17</v>
      </c>
      <c r="AA77" s="1">
        <f t="shared" si="13"/>
        <v>29.411764705882355</v>
      </c>
      <c r="AB77" s="1">
        <f t="shared" si="14"/>
        <v>0</v>
      </c>
      <c r="AC77" s="1">
        <f t="shared" si="15"/>
        <v>11.76470588235294</v>
      </c>
      <c r="AD77" s="2">
        <f t="shared" si="16"/>
        <v>0.68</v>
      </c>
      <c r="AE77" s="2">
        <f t="shared" si="17"/>
        <v>29.411764705882355</v>
      </c>
      <c r="AF77" s="2">
        <f t="shared" si="19"/>
        <v>38.695780392156863</v>
      </c>
    </row>
    <row r="78" spans="1:32" x14ac:dyDescent="0.35">
      <c r="A78" s="2" t="s">
        <v>466</v>
      </c>
      <c r="B78" s="2" t="s">
        <v>388</v>
      </c>
      <c r="C78" s="2">
        <v>25</v>
      </c>
      <c r="D78" s="2">
        <v>4.67</v>
      </c>
      <c r="E78" s="7">
        <v>1</v>
      </c>
      <c r="F78" s="7">
        <v>4</v>
      </c>
      <c r="G78" s="7">
        <v>0</v>
      </c>
      <c r="H78" s="7">
        <v>13</v>
      </c>
      <c r="I78" s="7">
        <v>9</v>
      </c>
      <c r="J78" s="7">
        <v>0</v>
      </c>
      <c r="K78" s="7">
        <v>0</v>
      </c>
      <c r="L78" s="7">
        <v>52</v>
      </c>
      <c r="N78" s="7">
        <v>43</v>
      </c>
      <c r="O78" s="7">
        <v>33</v>
      </c>
      <c r="P78" s="7">
        <v>27</v>
      </c>
      <c r="Q78" s="7">
        <v>6</v>
      </c>
      <c r="R78" s="7">
        <v>3</v>
      </c>
      <c r="S78" s="7">
        <v>28</v>
      </c>
      <c r="T78" s="7">
        <v>1</v>
      </c>
      <c r="U78" s="7">
        <v>58</v>
      </c>
      <c r="V78" s="2">
        <f t="shared" si="18"/>
        <v>29.772125500418952</v>
      </c>
      <c r="W78" s="7">
        <v>50</v>
      </c>
      <c r="X78" s="2">
        <f t="shared" si="11"/>
        <v>79.772125500418952</v>
      </c>
      <c r="Y78" s="2"/>
      <c r="Z78" s="2">
        <f t="shared" si="12"/>
        <v>230</v>
      </c>
      <c r="AA78" s="1">
        <f t="shared" si="13"/>
        <v>25.217391304347824</v>
      </c>
      <c r="AB78" s="1">
        <f t="shared" si="14"/>
        <v>13.478260869565217</v>
      </c>
      <c r="AC78" s="1">
        <f t="shared" si="15"/>
        <v>2.6086956521739131</v>
      </c>
      <c r="AD78" s="2">
        <f t="shared" si="16"/>
        <v>9.1999999999999993</v>
      </c>
      <c r="AE78" s="2">
        <f t="shared" si="17"/>
        <v>11.739130434782608</v>
      </c>
      <c r="AF78" s="2">
        <f t="shared" si="19"/>
        <v>148.86062750209476</v>
      </c>
    </row>
    <row r="79" spans="1:32" x14ac:dyDescent="0.35">
      <c r="A79" s="2" t="s">
        <v>467</v>
      </c>
      <c r="B79" s="2" t="s">
        <v>390</v>
      </c>
      <c r="C79" s="2">
        <v>25</v>
      </c>
      <c r="D79" s="2">
        <v>9</v>
      </c>
      <c r="E79" s="7">
        <v>0</v>
      </c>
      <c r="F79" s="7">
        <v>1</v>
      </c>
      <c r="G79" s="7">
        <v>0</v>
      </c>
      <c r="H79" s="7">
        <v>26</v>
      </c>
      <c r="I79" s="7">
        <v>0</v>
      </c>
      <c r="J79" s="7">
        <v>0</v>
      </c>
      <c r="K79" s="7">
        <v>0</v>
      </c>
      <c r="L79" s="7">
        <v>23</v>
      </c>
      <c r="N79" s="7">
        <v>28</v>
      </c>
      <c r="O79" s="7">
        <v>23</v>
      </c>
      <c r="P79" s="7">
        <v>23</v>
      </c>
      <c r="Q79" s="7">
        <v>6</v>
      </c>
      <c r="R79" s="7">
        <v>2</v>
      </c>
      <c r="S79" s="7">
        <v>12</v>
      </c>
      <c r="T79" s="7">
        <v>0</v>
      </c>
      <c r="U79" s="7">
        <v>24</v>
      </c>
      <c r="V79" s="2">
        <f t="shared" si="18"/>
        <v>8.4997736936936956</v>
      </c>
      <c r="W79" s="7">
        <v>50</v>
      </c>
      <c r="X79" s="2">
        <f t="shared" si="11"/>
        <v>58.499773693693697</v>
      </c>
      <c r="Y79" s="2"/>
      <c r="Z79" s="2">
        <f t="shared" si="12"/>
        <v>111</v>
      </c>
      <c r="AA79" s="1">
        <f t="shared" si="13"/>
        <v>21.621621621621621</v>
      </c>
      <c r="AB79" s="1">
        <f t="shared" si="14"/>
        <v>12.612612612612612</v>
      </c>
      <c r="AC79" s="1">
        <f t="shared" si="15"/>
        <v>5.4054054054054053</v>
      </c>
      <c r="AD79" s="2">
        <f t="shared" si="16"/>
        <v>4.4400000000000004</v>
      </c>
      <c r="AE79" s="2">
        <f t="shared" si="17"/>
        <v>9.0090090090090094</v>
      </c>
      <c r="AF79" s="2">
        <f t="shared" si="19"/>
        <v>42.49886846846848</v>
      </c>
    </row>
    <row r="80" spans="1:32" x14ac:dyDescent="0.35">
      <c r="A80" s="2" t="s">
        <v>468</v>
      </c>
      <c r="B80" s="2" t="s">
        <v>390</v>
      </c>
      <c r="C80" s="2">
        <v>25</v>
      </c>
      <c r="D80" s="2">
        <v>6.07</v>
      </c>
      <c r="E80" s="7">
        <v>1</v>
      </c>
      <c r="F80" s="7">
        <v>1</v>
      </c>
      <c r="G80" s="7">
        <v>0</v>
      </c>
      <c r="H80" s="7">
        <v>13</v>
      </c>
      <c r="I80" s="7">
        <v>0</v>
      </c>
      <c r="J80" s="7">
        <v>0</v>
      </c>
      <c r="K80" s="7">
        <v>0</v>
      </c>
      <c r="L80" s="7">
        <v>13</v>
      </c>
      <c r="M80" s="7">
        <v>1</v>
      </c>
      <c r="N80" s="7">
        <v>17</v>
      </c>
      <c r="O80" s="7">
        <v>10</v>
      </c>
      <c r="P80" s="7">
        <v>9</v>
      </c>
      <c r="Q80" s="7">
        <v>2</v>
      </c>
      <c r="R80" s="7">
        <v>1</v>
      </c>
      <c r="S80" s="7">
        <v>8</v>
      </c>
      <c r="T80" s="7">
        <v>1</v>
      </c>
      <c r="U80" s="7">
        <v>14</v>
      </c>
      <c r="V80" s="2">
        <f t="shared" si="18"/>
        <v>3.5814056212870056</v>
      </c>
      <c r="W80" s="7">
        <v>50</v>
      </c>
      <c r="X80" s="2">
        <f t="shared" si="11"/>
        <v>53.581405621287004</v>
      </c>
      <c r="Y80" s="2"/>
      <c r="Z80" s="2">
        <f t="shared" si="12"/>
        <v>66</v>
      </c>
      <c r="AA80" s="1">
        <f t="shared" si="13"/>
        <v>21.212121212121211</v>
      </c>
      <c r="AB80" s="1">
        <f t="shared" si="14"/>
        <v>13.636363636363635</v>
      </c>
      <c r="AC80" s="1">
        <f t="shared" si="15"/>
        <v>3.0303030303030303</v>
      </c>
      <c r="AD80" s="2">
        <f t="shared" si="16"/>
        <v>2.64</v>
      </c>
      <c r="AE80" s="2">
        <f t="shared" si="17"/>
        <v>7.5757575757575761</v>
      </c>
      <c r="AF80" s="2">
        <f t="shared" si="19"/>
        <v>17.907028106435028</v>
      </c>
    </row>
    <row r="81" spans="1:32" x14ac:dyDescent="0.35">
      <c r="A81" s="2" t="s">
        <v>469</v>
      </c>
      <c r="B81" s="2" t="s">
        <v>388</v>
      </c>
      <c r="C81" s="2">
        <v>25</v>
      </c>
      <c r="D81" s="2">
        <v>3.94</v>
      </c>
      <c r="E81" s="7">
        <v>2</v>
      </c>
      <c r="F81" s="7">
        <v>4</v>
      </c>
      <c r="G81" s="7">
        <v>0</v>
      </c>
      <c r="H81" s="7">
        <v>23</v>
      </c>
      <c r="I81" s="7">
        <v>19</v>
      </c>
      <c r="J81" s="7">
        <v>0</v>
      </c>
      <c r="K81" s="7">
        <v>0</v>
      </c>
      <c r="L81" s="7">
        <v>96</v>
      </c>
      <c r="N81" s="7">
        <v>88</v>
      </c>
      <c r="O81" s="7">
        <v>43</v>
      </c>
      <c r="P81" s="7">
        <v>42</v>
      </c>
      <c r="Q81" s="7">
        <v>13</v>
      </c>
      <c r="R81" s="7">
        <v>5</v>
      </c>
      <c r="S81" s="7">
        <v>31</v>
      </c>
      <c r="T81" s="7">
        <v>1</v>
      </c>
      <c r="U81" s="7">
        <v>97</v>
      </c>
      <c r="V81" s="2">
        <f t="shared" si="18"/>
        <v>108.75397525996748</v>
      </c>
      <c r="W81" s="7">
        <v>50</v>
      </c>
      <c r="X81" s="2">
        <f t="shared" si="11"/>
        <v>158.75397525996749</v>
      </c>
      <c r="Y81" s="2"/>
      <c r="Z81" s="2">
        <f t="shared" si="12"/>
        <v>412</v>
      </c>
      <c r="AA81" s="1">
        <f t="shared" si="13"/>
        <v>23.543689320388349</v>
      </c>
      <c r="AB81" s="1">
        <f t="shared" si="14"/>
        <v>8.7378640776699026</v>
      </c>
      <c r="AC81" s="1">
        <f t="shared" si="15"/>
        <v>3.1553398058252426</v>
      </c>
      <c r="AD81" s="2">
        <f t="shared" si="16"/>
        <v>16.48</v>
      </c>
      <c r="AE81" s="2">
        <f t="shared" si="17"/>
        <v>14.805825242718447</v>
      </c>
      <c r="AF81" s="2">
        <f t="shared" si="19"/>
        <v>543.76987629983739</v>
      </c>
    </row>
    <row r="82" spans="1:32" x14ac:dyDescent="0.35">
      <c r="A82" s="2" t="s">
        <v>470</v>
      </c>
      <c r="B82" s="2" t="s">
        <v>388</v>
      </c>
      <c r="C82" s="2">
        <v>25</v>
      </c>
      <c r="D82" s="2">
        <v>2.99</v>
      </c>
      <c r="E82" s="7">
        <v>9</v>
      </c>
      <c r="F82" s="7">
        <v>7</v>
      </c>
      <c r="G82" s="7">
        <v>0</v>
      </c>
      <c r="H82" s="7">
        <v>24</v>
      </c>
      <c r="I82" s="7">
        <v>24</v>
      </c>
      <c r="J82" s="7">
        <v>0</v>
      </c>
      <c r="K82" s="7">
        <v>0</v>
      </c>
      <c r="L82" s="7">
        <v>138</v>
      </c>
      <c r="M82" s="7">
        <v>1</v>
      </c>
      <c r="N82" s="7">
        <v>109</v>
      </c>
      <c r="O82" s="7">
        <v>46</v>
      </c>
      <c r="P82" s="7">
        <v>46</v>
      </c>
      <c r="Q82" s="7">
        <v>18</v>
      </c>
      <c r="R82" s="7">
        <v>3</v>
      </c>
      <c r="S82" s="7">
        <v>43</v>
      </c>
      <c r="T82" s="7">
        <v>1</v>
      </c>
      <c r="U82" s="7">
        <v>114</v>
      </c>
      <c r="V82" s="2">
        <f t="shared" si="18"/>
        <v>220.22657982749519</v>
      </c>
      <c r="W82" s="7">
        <v>50</v>
      </c>
      <c r="X82" s="2">
        <f t="shared" si="11"/>
        <v>270.22657982749519</v>
      </c>
      <c r="Y82" s="2"/>
      <c r="Z82" s="2">
        <f t="shared" si="12"/>
        <v>570</v>
      </c>
      <c r="AA82" s="1">
        <f t="shared" si="13"/>
        <v>20</v>
      </c>
      <c r="AB82" s="1">
        <f t="shared" si="14"/>
        <v>8.0701754385964914</v>
      </c>
      <c r="AC82" s="1">
        <f t="shared" si="15"/>
        <v>3.1578947368421053</v>
      </c>
      <c r="AD82" s="2">
        <f t="shared" si="16"/>
        <v>22.8</v>
      </c>
      <c r="AE82" s="2">
        <f t="shared" si="17"/>
        <v>11.929824561403509</v>
      </c>
      <c r="AF82" s="2">
        <f t="shared" si="19"/>
        <v>1101.132899137476</v>
      </c>
    </row>
    <row r="83" spans="1:32" x14ac:dyDescent="0.35">
      <c r="A83" s="2" t="s">
        <v>471</v>
      </c>
      <c r="B83" s="2" t="s">
        <v>390</v>
      </c>
      <c r="C83" s="2">
        <v>25</v>
      </c>
      <c r="D83" s="2">
        <v>5.68</v>
      </c>
      <c r="E83" s="7">
        <v>0</v>
      </c>
      <c r="F83" s="7">
        <v>0</v>
      </c>
      <c r="G83" s="7">
        <v>0</v>
      </c>
      <c r="H83" s="7">
        <v>5</v>
      </c>
      <c r="I83" s="7">
        <v>0</v>
      </c>
      <c r="J83" s="7">
        <v>0</v>
      </c>
      <c r="K83" s="7">
        <v>0</v>
      </c>
      <c r="L83" s="7">
        <v>12</v>
      </c>
      <c r="M83" s="7">
        <v>2</v>
      </c>
      <c r="N83" s="7">
        <v>12</v>
      </c>
      <c r="O83" s="7">
        <v>8</v>
      </c>
      <c r="P83" s="7">
        <v>8</v>
      </c>
      <c r="Q83" s="7">
        <v>3</v>
      </c>
      <c r="R83" s="7">
        <v>1</v>
      </c>
      <c r="S83" s="7">
        <v>2</v>
      </c>
      <c r="T83" s="7">
        <v>0</v>
      </c>
      <c r="U83" s="7">
        <v>6</v>
      </c>
      <c r="V83" s="2">
        <f t="shared" si="18"/>
        <v>3.8682721233058737</v>
      </c>
      <c r="W83" s="7">
        <v>50</v>
      </c>
      <c r="X83" s="2">
        <f t="shared" si="11"/>
        <v>53.868272123305871</v>
      </c>
      <c r="Y83" s="2"/>
      <c r="Z83" s="2">
        <f t="shared" si="12"/>
        <v>53</v>
      </c>
      <c r="AA83" s="1">
        <f t="shared" si="13"/>
        <v>11.320754716981133</v>
      </c>
      <c r="AB83" s="1">
        <f t="shared" si="14"/>
        <v>5.6603773584905666</v>
      </c>
      <c r="AC83" s="1">
        <f t="shared" si="15"/>
        <v>5.6603773584905666</v>
      </c>
      <c r="AD83" s="2">
        <f t="shared" si="16"/>
        <v>2.12</v>
      </c>
      <c r="AE83" s="2">
        <f t="shared" si="17"/>
        <v>5.6603773584905666</v>
      </c>
      <c r="AF83" s="2">
        <f t="shared" si="19"/>
        <v>19.341360616529368</v>
      </c>
    </row>
    <row r="84" spans="1:32" x14ac:dyDescent="0.35">
      <c r="A84" s="2" t="s">
        <v>472</v>
      </c>
      <c r="B84" s="2" t="s">
        <v>388</v>
      </c>
      <c r="C84" s="2">
        <v>25</v>
      </c>
      <c r="D84" s="2">
        <v>4.13</v>
      </c>
      <c r="E84" s="7">
        <v>4</v>
      </c>
      <c r="F84" s="7">
        <v>1</v>
      </c>
      <c r="G84" s="7">
        <v>0</v>
      </c>
      <c r="H84" s="7">
        <v>13</v>
      </c>
      <c r="I84" s="7">
        <v>11</v>
      </c>
      <c r="J84" s="7">
        <v>0</v>
      </c>
      <c r="K84" s="7">
        <v>0</v>
      </c>
      <c r="L84" s="7">
        <v>61</v>
      </c>
      <c r="N84" s="7">
        <v>61</v>
      </c>
      <c r="O84" s="7">
        <v>30</v>
      </c>
      <c r="P84" s="7">
        <v>28</v>
      </c>
      <c r="Q84" s="7">
        <v>6</v>
      </c>
      <c r="R84" s="7">
        <v>2</v>
      </c>
      <c r="S84" s="7">
        <v>17</v>
      </c>
      <c r="T84" s="7">
        <v>1</v>
      </c>
      <c r="U84" s="7">
        <v>45</v>
      </c>
      <c r="V84" s="2">
        <f t="shared" si="18"/>
        <v>34.111997937745699</v>
      </c>
      <c r="W84" s="7">
        <v>50</v>
      </c>
      <c r="X84" s="2">
        <f t="shared" si="11"/>
        <v>84.111997937745699</v>
      </c>
      <c r="Y84" s="2"/>
      <c r="Z84" s="2">
        <f t="shared" si="12"/>
        <v>263</v>
      </c>
      <c r="AA84" s="1">
        <f t="shared" si="13"/>
        <v>17.110266159695815</v>
      </c>
      <c r="AB84" s="1">
        <f t="shared" si="14"/>
        <v>7.2243346007604554</v>
      </c>
      <c r="AC84" s="1">
        <f t="shared" si="15"/>
        <v>2.2813688212927756</v>
      </c>
      <c r="AD84" s="2">
        <f t="shared" si="16"/>
        <v>10.52</v>
      </c>
      <c r="AE84" s="2">
        <f t="shared" si="17"/>
        <v>9.8859315589353596</v>
      </c>
      <c r="AF84" s="2">
        <f t="shared" si="19"/>
        <v>170.55998968872848</v>
      </c>
    </row>
    <row r="85" spans="1:32" x14ac:dyDescent="0.35">
      <c r="A85" s="2" t="s">
        <v>473</v>
      </c>
      <c r="B85" s="2" t="s">
        <v>390</v>
      </c>
      <c r="C85" s="2">
        <v>25</v>
      </c>
      <c r="D85" s="2">
        <v>3.83</v>
      </c>
      <c r="E85" s="7">
        <v>0</v>
      </c>
      <c r="F85" s="7">
        <v>1</v>
      </c>
      <c r="G85" s="7">
        <v>0</v>
      </c>
      <c r="H85" s="7">
        <v>29</v>
      </c>
      <c r="I85" s="7">
        <v>0</v>
      </c>
      <c r="J85" s="7">
        <v>0</v>
      </c>
      <c r="K85" s="7">
        <v>0</v>
      </c>
      <c r="L85" s="7">
        <v>44</v>
      </c>
      <c r="M85" s="7">
        <v>2</v>
      </c>
      <c r="N85" s="7">
        <v>43</v>
      </c>
      <c r="O85" s="7">
        <v>20</v>
      </c>
      <c r="P85" s="7">
        <v>19</v>
      </c>
      <c r="Q85" s="7">
        <v>4</v>
      </c>
      <c r="R85" s="7">
        <v>1</v>
      </c>
      <c r="S85" s="7">
        <v>11</v>
      </c>
      <c r="T85" s="7">
        <v>0</v>
      </c>
      <c r="U85" s="7">
        <v>44</v>
      </c>
      <c r="V85" s="2">
        <f t="shared" si="18"/>
        <v>30.131230856369228</v>
      </c>
      <c r="W85" s="7">
        <v>50</v>
      </c>
      <c r="X85" s="2">
        <f t="shared" si="11"/>
        <v>80.131230856369228</v>
      </c>
      <c r="Y85" s="2"/>
      <c r="Z85" s="2">
        <f t="shared" si="12"/>
        <v>189</v>
      </c>
      <c r="AA85" s="1">
        <f t="shared" si="13"/>
        <v>23.280423280423278</v>
      </c>
      <c r="AB85" s="1">
        <f t="shared" si="14"/>
        <v>6.3492063492063489</v>
      </c>
      <c r="AC85" s="1">
        <f t="shared" si="15"/>
        <v>2.1164021164021163</v>
      </c>
      <c r="AD85" s="2">
        <f t="shared" si="16"/>
        <v>7.56</v>
      </c>
      <c r="AE85" s="2">
        <f t="shared" si="17"/>
        <v>16.93121693121693</v>
      </c>
      <c r="AF85" s="2">
        <f t="shared" si="19"/>
        <v>150.65615428184614</v>
      </c>
    </row>
    <row r="86" spans="1:32" x14ac:dyDescent="0.35">
      <c r="A86" s="2" t="s">
        <v>474</v>
      </c>
      <c r="B86" s="2" t="s">
        <v>390</v>
      </c>
      <c r="C86" s="2">
        <v>25</v>
      </c>
      <c r="D86" s="2">
        <v>5.65</v>
      </c>
      <c r="E86" s="7">
        <v>0</v>
      </c>
      <c r="F86" s="7">
        <v>2</v>
      </c>
      <c r="G86" s="7">
        <v>0</v>
      </c>
      <c r="H86" s="7">
        <v>14</v>
      </c>
      <c r="I86" s="7">
        <v>0</v>
      </c>
      <c r="J86" s="7">
        <v>0</v>
      </c>
      <c r="K86" s="7">
        <v>0</v>
      </c>
      <c r="L86" s="7">
        <v>14</v>
      </c>
      <c r="M86" s="7">
        <v>1</v>
      </c>
      <c r="N86" s="7">
        <v>18</v>
      </c>
      <c r="O86" s="7">
        <v>12</v>
      </c>
      <c r="P86" s="7">
        <v>9</v>
      </c>
      <c r="Q86" s="7">
        <v>0</v>
      </c>
      <c r="R86" s="7">
        <v>1</v>
      </c>
      <c r="S86" s="7">
        <v>8</v>
      </c>
      <c r="T86" s="7">
        <v>0</v>
      </c>
      <c r="U86" s="7">
        <v>14</v>
      </c>
      <c r="V86" s="2">
        <f t="shared" si="18"/>
        <v>0.98548672566371676</v>
      </c>
      <c r="W86" s="7">
        <v>50</v>
      </c>
      <c r="X86" s="2">
        <f t="shared" si="11"/>
        <v>50.985486725663719</v>
      </c>
      <c r="Y86" s="2"/>
      <c r="Z86" s="2">
        <f t="shared" si="12"/>
        <v>70</v>
      </c>
      <c r="AA86" s="1">
        <f t="shared" si="13"/>
        <v>20</v>
      </c>
      <c r="AB86" s="1">
        <f t="shared" si="14"/>
        <v>12.857142857142856</v>
      </c>
      <c r="AC86" s="1">
        <f t="shared" si="15"/>
        <v>0</v>
      </c>
      <c r="AD86" s="2">
        <f t="shared" si="16"/>
        <v>2.8</v>
      </c>
      <c r="AE86" s="2">
        <f t="shared" si="17"/>
        <v>7.1428571428571441</v>
      </c>
      <c r="AF86" s="2">
        <f t="shared" si="19"/>
        <v>4.9274336283185836</v>
      </c>
    </row>
    <row r="87" spans="1:32" x14ac:dyDescent="0.35">
      <c r="A87" s="2" t="s">
        <v>475</v>
      </c>
      <c r="B87" s="2" t="s">
        <v>390</v>
      </c>
      <c r="C87" s="2">
        <v>25</v>
      </c>
      <c r="D87" s="2">
        <v>4.32</v>
      </c>
      <c r="E87" s="7">
        <v>0</v>
      </c>
      <c r="F87" s="7">
        <v>0</v>
      </c>
      <c r="G87" s="7">
        <v>0</v>
      </c>
      <c r="H87" s="7">
        <v>6</v>
      </c>
      <c r="I87" s="7">
        <v>0</v>
      </c>
      <c r="J87" s="7">
        <v>0</v>
      </c>
      <c r="K87" s="7">
        <v>0</v>
      </c>
      <c r="L87" s="7">
        <v>8</v>
      </c>
      <c r="M87" s="7">
        <v>1</v>
      </c>
      <c r="N87" s="7">
        <v>8</v>
      </c>
      <c r="O87" s="7">
        <v>4</v>
      </c>
      <c r="P87" s="7">
        <v>4</v>
      </c>
      <c r="Q87" s="7">
        <v>3</v>
      </c>
      <c r="R87" s="7">
        <v>0</v>
      </c>
      <c r="S87" s="7">
        <v>6</v>
      </c>
      <c r="T87" s="7">
        <v>0</v>
      </c>
      <c r="U87" s="7">
        <v>8</v>
      </c>
      <c r="V87" s="2">
        <f t="shared" si="18"/>
        <v>4.1987065527065521</v>
      </c>
      <c r="W87" s="7">
        <v>50</v>
      </c>
      <c r="X87" s="2">
        <f t="shared" si="11"/>
        <v>54.198706552706554</v>
      </c>
      <c r="Y87" s="2"/>
      <c r="Z87" s="2">
        <f t="shared" si="12"/>
        <v>39</v>
      </c>
      <c r="AA87" s="1">
        <f t="shared" si="13"/>
        <v>20.512820512820511</v>
      </c>
      <c r="AB87" s="1">
        <f t="shared" si="14"/>
        <v>15.384615384615385</v>
      </c>
      <c r="AC87" s="1">
        <f t="shared" si="15"/>
        <v>7.6923076923076925</v>
      </c>
      <c r="AD87" s="2">
        <f t="shared" si="16"/>
        <v>1.56</v>
      </c>
      <c r="AE87" s="2">
        <f t="shared" si="17"/>
        <v>5.128205128205126</v>
      </c>
      <c r="AF87" s="2">
        <f t="shared" si="19"/>
        <v>20.993532763532759</v>
      </c>
    </row>
    <row r="88" spans="1:32" x14ac:dyDescent="0.35">
      <c r="A88" s="2" t="s">
        <v>476</v>
      </c>
      <c r="B88" s="2" t="s">
        <v>390</v>
      </c>
      <c r="C88" s="2">
        <v>25</v>
      </c>
      <c r="D88" s="2">
        <v>5.17</v>
      </c>
      <c r="E88" s="7">
        <v>3</v>
      </c>
      <c r="F88" s="7">
        <v>3</v>
      </c>
      <c r="G88" s="7">
        <v>1</v>
      </c>
      <c r="H88" s="7">
        <v>21</v>
      </c>
      <c r="I88" s="7">
        <v>9</v>
      </c>
      <c r="J88" s="7">
        <v>0</v>
      </c>
      <c r="K88" s="7">
        <v>0</v>
      </c>
      <c r="L88" s="7">
        <v>62</v>
      </c>
      <c r="M88" s="7">
        <v>2</v>
      </c>
      <c r="N88" s="7">
        <v>60</v>
      </c>
      <c r="O88" s="7">
        <v>40</v>
      </c>
      <c r="P88" s="7">
        <v>36</v>
      </c>
      <c r="Q88" s="7">
        <v>12</v>
      </c>
      <c r="R88" s="7">
        <v>4</v>
      </c>
      <c r="S88" s="7">
        <v>27</v>
      </c>
      <c r="T88" s="7">
        <v>0</v>
      </c>
      <c r="U88" s="7">
        <v>58</v>
      </c>
      <c r="V88" s="2">
        <f t="shared" si="18"/>
        <v>47.688268047669567</v>
      </c>
      <c r="W88" s="7">
        <v>50</v>
      </c>
      <c r="X88" s="2">
        <f t="shared" si="11"/>
        <v>97.688268047669567</v>
      </c>
      <c r="Y88" s="2"/>
      <c r="Z88" s="2">
        <f t="shared" si="12"/>
        <v>279</v>
      </c>
      <c r="AA88" s="1">
        <f t="shared" si="13"/>
        <v>20.788530465949819</v>
      </c>
      <c r="AB88" s="1">
        <f t="shared" si="14"/>
        <v>11.111111111111111</v>
      </c>
      <c r="AC88" s="1">
        <f t="shared" si="15"/>
        <v>4.3010752688172049</v>
      </c>
      <c r="AD88" s="2">
        <f t="shared" si="16"/>
        <v>11.16</v>
      </c>
      <c r="AE88" s="2">
        <f t="shared" si="17"/>
        <v>9.6774193548387082</v>
      </c>
      <c r="AF88" s="2">
        <f t="shared" si="19"/>
        <v>238.44134023834783</v>
      </c>
    </row>
    <row r="89" spans="1:32" x14ac:dyDescent="0.35">
      <c r="A89" s="2" t="s">
        <v>477</v>
      </c>
      <c r="B89" s="2" t="s">
        <v>390</v>
      </c>
      <c r="C89" s="2">
        <v>25</v>
      </c>
      <c r="D89" s="2">
        <v>6.28</v>
      </c>
      <c r="E89" s="7">
        <v>3</v>
      </c>
      <c r="F89" s="7">
        <v>1</v>
      </c>
      <c r="G89" s="7">
        <v>1</v>
      </c>
      <c r="H89" s="7">
        <v>26</v>
      </c>
      <c r="I89" s="7">
        <v>0</v>
      </c>
      <c r="J89" s="7">
        <v>0</v>
      </c>
      <c r="K89" s="7">
        <v>0</v>
      </c>
      <c r="L89" s="7">
        <v>43</v>
      </c>
      <c r="N89" s="7">
        <v>50</v>
      </c>
      <c r="O89" s="7">
        <v>33</v>
      </c>
      <c r="P89" s="7">
        <v>30</v>
      </c>
      <c r="Q89" s="7">
        <v>2</v>
      </c>
      <c r="R89" s="7">
        <v>2</v>
      </c>
      <c r="S89" s="7">
        <v>13</v>
      </c>
      <c r="T89" s="7">
        <v>0</v>
      </c>
      <c r="U89" s="7">
        <v>40</v>
      </c>
      <c r="V89" s="2">
        <f t="shared" si="18"/>
        <v>10.362751067043138</v>
      </c>
      <c r="W89" s="7">
        <v>50</v>
      </c>
      <c r="X89" s="2">
        <f t="shared" si="11"/>
        <v>60.362751067043135</v>
      </c>
      <c r="Y89" s="2"/>
      <c r="Z89" s="2">
        <f t="shared" si="12"/>
        <v>194</v>
      </c>
      <c r="AA89" s="1">
        <f t="shared" si="13"/>
        <v>20.618556701030926</v>
      </c>
      <c r="AB89" s="1">
        <f t="shared" si="14"/>
        <v>7.731958762886598</v>
      </c>
      <c r="AC89" s="1">
        <f t="shared" si="15"/>
        <v>1.0309278350515463</v>
      </c>
      <c r="AD89" s="2">
        <f t="shared" si="16"/>
        <v>7.76</v>
      </c>
      <c r="AE89" s="2">
        <f t="shared" si="17"/>
        <v>12.886597938144327</v>
      </c>
      <c r="AF89" s="2">
        <f t="shared" si="19"/>
        <v>51.813755335215689</v>
      </c>
    </row>
    <row r="90" spans="1:32" x14ac:dyDescent="0.35">
      <c r="A90" s="2" t="s">
        <v>478</v>
      </c>
      <c r="B90" s="2" t="s">
        <v>390</v>
      </c>
      <c r="C90" s="2">
        <v>25</v>
      </c>
      <c r="D90" s="2">
        <v>4.71</v>
      </c>
      <c r="E90" s="7">
        <v>1</v>
      </c>
      <c r="F90" s="7">
        <v>0</v>
      </c>
      <c r="G90" s="7">
        <v>1</v>
      </c>
      <c r="H90" s="7">
        <v>14</v>
      </c>
      <c r="I90" s="7">
        <v>0</v>
      </c>
      <c r="J90" s="7">
        <v>0</v>
      </c>
      <c r="K90" s="7">
        <v>0</v>
      </c>
      <c r="L90" s="7">
        <v>21</v>
      </c>
      <c r="N90" s="7">
        <v>22</v>
      </c>
      <c r="O90" s="7">
        <v>11</v>
      </c>
      <c r="P90" s="7">
        <v>11</v>
      </c>
      <c r="Q90" s="7">
        <v>3</v>
      </c>
      <c r="R90" s="7">
        <v>1</v>
      </c>
      <c r="S90" s="7">
        <v>7</v>
      </c>
      <c r="T90" s="7">
        <v>0</v>
      </c>
      <c r="U90" s="7">
        <v>18</v>
      </c>
      <c r="V90" s="2">
        <f t="shared" si="18"/>
        <v>9.6607498116567356</v>
      </c>
      <c r="W90" s="7">
        <v>50</v>
      </c>
      <c r="X90" s="2">
        <f t="shared" si="11"/>
        <v>59.660749811656736</v>
      </c>
      <c r="Y90" s="2"/>
      <c r="Z90" s="2">
        <f t="shared" si="12"/>
        <v>93</v>
      </c>
      <c r="AA90" s="1">
        <f t="shared" si="13"/>
        <v>19.35483870967742</v>
      </c>
      <c r="AB90" s="1">
        <f t="shared" si="14"/>
        <v>8.6021505376344098</v>
      </c>
      <c r="AC90" s="1">
        <f t="shared" si="15"/>
        <v>3.225806451612903</v>
      </c>
      <c r="AD90" s="2">
        <f t="shared" si="16"/>
        <v>3.72</v>
      </c>
      <c r="AE90" s="2">
        <f t="shared" si="17"/>
        <v>10.75268817204301</v>
      </c>
      <c r="AF90" s="2">
        <f t="shared" si="19"/>
        <v>48.303749058283678</v>
      </c>
    </row>
    <row r="91" spans="1:32" x14ac:dyDescent="0.35">
      <c r="A91" s="2" t="s">
        <v>479</v>
      </c>
      <c r="B91" s="2" t="s">
        <v>415</v>
      </c>
      <c r="C91" s="2">
        <v>25</v>
      </c>
      <c r="D91" s="2">
        <v>4.99</v>
      </c>
      <c r="E91" s="7">
        <v>1</v>
      </c>
      <c r="F91" s="7">
        <v>2</v>
      </c>
      <c r="G91" s="7">
        <v>11</v>
      </c>
      <c r="H91" s="7">
        <v>41</v>
      </c>
      <c r="I91" s="7">
        <v>0</v>
      </c>
      <c r="J91" s="7">
        <v>0</v>
      </c>
      <c r="K91" s="7">
        <v>0</v>
      </c>
      <c r="L91" s="7">
        <v>39</v>
      </c>
      <c r="M91" s="7">
        <v>2</v>
      </c>
      <c r="N91" s="7">
        <v>41</v>
      </c>
      <c r="O91" s="7">
        <v>26</v>
      </c>
      <c r="P91" s="7">
        <v>22</v>
      </c>
      <c r="Q91" s="7">
        <v>7</v>
      </c>
      <c r="R91" s="7">
        <v>0</v>
      </c>
      <c r="S91" s="7">
        <v>21</v>
      </c>
      <c r="T91" s="7">
        <v>1</v>
      </c>
      <c r="U91" s="7">
        <v>36</v>
      </c>
      <c r="V91" s="2">
        <f t="shared" si="18"/>
        <v>21.931134224249604</v>
      </c>
      <c r="W91" s="7">
        <v>50</v>
      </c>
      <c r="X91" s="2">
        <f t="shared" si="11"/>
        <v>71.931134224249604</v>
      </c>
      <c r="Y91" s="2"/>
      <c r="Z91" s="2">
        <f t="shared" si="12"/>
        <v>181</v>
      </c>
      <c r="AA91" s="1">
        <f t="shared" si="13"/>
        <v>19.88950276243094</v>
      </c>
      <c r="AB91" s="1">
        <f t="shared" si="14"/>
        <v>11.602209944751381</v>
      </c>
      <c r="AC91" s="1">
        <f t="shared" si="15"/>
        <v>3.867403314917127</v>
      </c>
      <c r="AD91" s="2">
        <f t="shared" si="16"/>
        <v>7.24</v>
      </c>
      <c r="AE91" s="2">
        <f t="shared" si="17"/>
        <v>8.2872928176795586</v>
      </c>
      <c r="AF91" s="2">
        <f t="shared" si="19"/>
        <v>109.65567112124802</v>
      </c>
    </row>
    <row r="92" spans="1:32" x14ac:dyDescent="0.35">
      <c r="A92" s="2" t="s">
        <v>480</v>
      </c>
      <c r="B92" s="2" t="s">
        <v>390</v>
      </c>
      <c r="C92" s="2">
        <v>25</v>
      </c>
      <c r="D92" s="2">
        <v>2.2200000000000002</v>
      </c>
      <c r="E92" s="7">
        <v>7</v>
      </c>
      <c r="F92" s="7">
        <v>1</v>
      </c>
      <c r="G92" s="7">
        <v>7</v>
      </c>
      <c r="H92" s="7">
        <v>69</v>
      </c>
      <c r="I92" s="7">
        <v>0</v>
      </c>
      <c r="J92" s="7">
        <v>0</v>
      </c>
      <c r="K92" s="7">
        <v>0</v>
      </c>
      <c r="L92" s="7">
        <v>73</v>
      </c>
      <c r="N92" s="7">
        <v>53</v>
      </c>
      <c r="O92" s="7">
        <v>23</v>
      </c>
      <c r="P92" s="7">
        <v>18</v>
      </c>
      <c r="Q92" s="7">
        <v>8</v>
      </c>
      <c r="R92" s="7">
        <v>4</v>
      </c>
      <c r="S92" s="7">
        <v>27</v>
      </c>
      <c r="T92" s="7">
        <v>2</v>
      </c>
      <c r="U92" s="7">
        <v>98</v>
      </c>
      <c r="V92" s="2">
        <f t="shared" si="18"/>
        <v>136.06532964647812</v>
      </c>
      <c r="W92" s="7">
        <v>50</v>
      </c>
      <c r="X92" s="2">
        <f t="shared" si="11"/>
        <v>186.06532964647812</v>
      </c>
      <c r="Y92" s="2"/>
      <c r="Z92" s="2">
        <f t="shared" si="12"/>
        <v>303</v>
      </c>
      <c r="AA92" s="1">
        <f t="shared" si="13"/>
        <v>32.343234323432341</v>
      </c>
      <c r="AB92" s="1">
        <f t="shared" si="14"/>
        <v>10.231023102310232</v>
      </c>
      <c r="AC92" s="1">
        <f t="shared" si="15"/>
        <v>2.6402640264026402</v>
      </c>
      <c r="AD92" s="2">
        <f t="shared" si="16"/>
        <v>12.12</v>
      </c>
      <c r="AE92" s="2">
        <f t="shared" si="17"/>
        <v>22.112211221122109</v>
      </c>
      <c r="AF92" s="2">
        <f t="shared" si="19"/>
        <v>680.32664823239065</v>
      </c>
    </row>
    <row r="93" spans="1:32" x14ac:dyDescent="0.35">
      <c r="A93" s="2" t="s">
        <v>481</v>
      </c>
      <c r="B93" s="2" t="s">
        <v>390</v>
      </c>
      <c r="C93" s="2">
        <v>25</v>
      </c>
      <c r="D93" s="2">
        <v>4.2699999999999996</v>
      </c>
      <c r="E93" s="7">
        <v>1</v>
      </c>
      <c r="F93" s="7">
        <v>2</v>
      </c>
      <c r="G93" s="7">
        <v>2</v>
      </c>
      <c r="H93" s="7">
        <v>57</v>
      </c>
      <c r="I93" s="7">
        <v>0</v>
      </c>
      <c r="J93" s="7">
        <v>0</v>
      </c>
      <c r="K93" s="7">
        <v>0</v>
      </c>
      <c r="L93" s="7">
        <v>52</v>
      </c>
      <c r="M93" s="7">
        <v>2</v>
      </c>
      <c r="N93" s="7">
        <v>43</v>
      </c>
      <c r="O93" s="7">
        <v>27</v>
      </c>
      <c r="P93" s="7">
        <v>25</v>
      </c>
      <c r="Q93" s="7">
        <v>7</v>
      </c>
      <c r="R93" s="7">
        <v>11</v>
      </c>
      <c r="S93" s="7">
        <v>32</v>
      </c>
      <c r="T93" s="7">
        <v>1</v>
      </c>
      <c r="U93" s="7">
        <v>52</v>
      </c>
      <c r="V93" s="2">
        <f t="shared" si="18"/>
        <v>23.785306254079163</v>
      </c>
      <c r="W93" s="7">
        <v>50</v>
      </c>
      <c r="X93" s="2">
        <f t="shared" si="11"/>
        <v>73.78530625407916</v>
      </c>
      <c r="Y93" s="2"/>
      <c r="Z93" s="2">
        <f t="shared" si="12"/>
        <v>244</v>
      </c>
      <c r="AA93" s="1">
        <f t="shared" si="13"/>
        <v>21.311475409836063</v>
      </c>
      <c r="AB93" s="1">
        <f t="shared" si="14"/>
        <v>17.622950819672131</v>
      </c>
      <c r="AC93" s="1">
        <f t="shared" si="15"/>
        <v>2.8688524590163933</v>
      </c>
      <c r="AD93" s="2">
        <f t="shared" si="16"/>
        <v>9.76</v>
      </c>
      <c r="AE93" s="2">
        <f t="shared" si="17"/>
        <v>3.688524590163933</v>
      </c>
      <c r="AF93" s="2">
        <f t="shared" si="19"/>
        <v>118.92653127039581</v>
      </c>
    </row>
    <row r="94" spans="1:32" x14ac:dyDescent="0.35">
      <c r="A94" s="2" t="s">
        <v>482</v>
      </c>
      <c r="B94" s="2" t="s">
        <v>390</v>
      </c>
      <c r="C94" s="2">
        <v>25</v>
      </c>
      <c r="D94" s="2">
        <v>3.38</v>
      </c>
      <c r="E94" s="7">
        <v>1</v>
      </c>
      <c r="F94" s="7">
        <v>1</v>
      </c>
      <c r="G94" s="7">
        <v>0</v>
      </c>
      <c r="H94" s="7">
        <v>28</v>
      </c>
      <c r="I94" s="7">
        <v>0</v>
      </c>
      <c r="J94" s="7">
        <v>0</v>
      </c>
      <c r="K94" s="7">
        <v>0</v>
      </c>
      <c r="L94" s="7">
        <v>29</v>
      </c>
      <c r="M94" s="7">
        <v>1</v>
      </c>
      <c r="N94" s="7">
        <v>27</v>
      </c>
      <c r="O94" s="7">
        <v>14</v>
      </c>
      <c r="P94" s="7">
        <v>11</v>
      </c>
      <c r="Q94" s="7">
        <v>2</v>
      </c>
      <c r="R94" s="7">
        <v>3</v>
      </c>
      <c r="S94" s="7">
        <v>12</v>
      </c>
      <c r="T94" s="7">
        <v>0</v>
      </c>
      <c r="U94" s="7">
        <v>31</v>
      </c>
      <c r="V94" s="2">
        <f t="shared" si="18"/>
        <v>13.674647246244879</v>
      </c>
      <c r="W94" s="7">
        <v>50</v>
      </c>
      <c r="X94" s="2">
        <f t="shared" si="11"/>
        <v>63.674647246244881</v>
      </c>
      <c r="Y94" s="2"/>
      <c r="Z94" s="2">
        <f t="shared" si="12"/>
        <v>130</v>
      </c>
      <c r="AA94" s="1">
        <f t="shared" si="13"/>
        <v>23.846153846153847</v>
      </c>
      <c r="AB94" s="1">
        <f t="shared" si="14"/>
        <v>11.538461538461538</v>
      </c>
      <c r="AC94" s="1">
        <f t="shared" si="15"/>
        <v>1.5384615384615385</v>
      </c>
      <c r="AD94" s="2">
        <f t="shared" si="16"/>
        <v>5.2</v>
      </c>
      <c r="AE94" s="2">
        <f t="shared" si="17"/>
        <v>12.307692307692308</v>
      </c>
      <c r="AF94" s="2">
        <f t="shared" si="19"/>
        <v>68.373236231224396</v>
      </c>
    </row>
    <row r="95" spans="1:32" x14ac:dyDescent="0.35">
      <c r="A95" s="2" t="s">
        <v>483</v>
      </c>
      <c r="B95" s="2" t="s">
        <v>390</v>
      </c>
      <c r="C95" s="2">
        <v>25</v>
      </c>
      <c r="D95" s="2">
        <v>6</v>
      </c>
      <c r="E95" s="7">
        <v>1</v>
      </c>
      <c r="F95" s="7">
        <v>1</v>
      </c>
      <c r="G95" s="7">
        <v>0</v>
      </c>
      <c r="H95" s="7">
        <v>11</v>
      </c>
      <c r="I95" s="7">
        <v>0</v>
      </c>
      <c r="J95" s="7">
        <v>0</v>
      </c>
      <c r="K95" s="7">
        <v>0</v>
      </c>
      <c r="L95" s="7">
        <v>12</v>
      </c>
      <c r="N95" s="7">
        <v>14</v>
      </c>
      <c r="O95" s="7">
        <v>12</v>
      </c>
      <c r="P95" s="7">
        <v>8</v>
      </c>
      <c r="Q95" s="7">
        <v>2</v>
      </c>
      <c r="R95" s="7">
        <v>0</v>
      </c>
      <c r="S95" s="7">
        <v>10</v>
      </c>
      <c r="T95" s="7">
        <v>0</v>
      </c>
      <c r="U95" s="7">
        <v>12</v>
      </c>
      <c r="V95" s="2">
        <f t="shared" si="18"/>
        <v>1.9875555555555569</v>
      </c>
      <c r="W95" s="7">
        <v>50</v>
      </c>
      <c r="X95" s="2">
        <f t="shared" si="11"/>
        <v>51.987555555555559</v>
      </c>
      <c r="Y95" s="2"/>
      <c r="Z95" s="2">
        <f t="shared" si="12"/>
        <v>60</v>
      </c>
      <c r="AA95" s="1">
        <f t="shared" si="13"/>
        <v>20</v>
      </c>
      <c r="AB95" s="1">
        <f t="shared" si="14"/>
        <v>16.666666666666664</v>
      </c>
      <c r="AC95" s="1">
        <f t="shared" si="15"/>
        <v>3.3333333333333335</v>
      </c>
      <c r="AD95" s="2">
        <f t="shared" si="16"/>
        <v>2.4</v>
      </c>
      <c r="AE95" s="2">
        <f t="shared" si="17"/>
        <v>3.3333333333333357</v>
      </c>
      <c r="AF95" s="2">
        <f t="shared" si="19"/>
        <v>9.937777777777784</v>
      </c>
    </row>
    <row r="96" spans="1:32" x14ac:dyDescent="0.35">
      <c r="A96" s="2" t="s">
        <v>484</v>
      </c>
      <c r="B96" s="2" t="s">
        <v>388</v>
      </c>
      <c r="C96" s="2">
        <v>25</v>
      </c>
      <c r="D96" s="2">
        <v>6.4</v>
      </c>
      <c r="E96" s="7">
        <v>1</v>
      </c>
      <c r="F96" s="7">
        <v>3</v>
      </c>
      <c r="G96" s="7">
        <v>0</v>
      </c>
      <c r="H96" s="7">
        <v>6</v>
      </c>
      <c r="I96" s="7">
        <v>6</v>
      </c>
      <c r="J96" s="7">
        <v>0</v>
      </c>
      <c r="K96" s="7">
        <v>0</v>
      </c>
      <c r="L96" s="7">
        <v>32</v>
      </c>
      <c r="M96" s="7">
        <v>1</v>
      </c>
      <c r="N96" s="7">
        <v>38</v>
      </c>
      <c r="O96" s="7">
        <v>23</v>
      </c>
      <c r="P96" s="7">
        <v>23</v>
      </c>
      <c r="Q96" s="7">
        <v>10</v>
      </c>
      <c r="R96" s="7">
        <v>0</v>
      </c>
      <c r="S96" s="7">
        <v>11</v>
      </c>
      <c r="T96" s="7">
        <v>0</v>
      </c>
      <c r="U96" s="7">
        <v>23</v>
      </c>
      <c r="V96" s="2">
        <f t="shared" si="18"/>
        <v>20.139772602739725</v>
      </c>
      <c r="W96" s="7">
        <v>50</v>
      </c>
      <c r="X96" s="2">
        <f t="shared" si="11"/>
        <v>70.139772602739725</v>
      </c>
      <c r="Y96" s="2"/>
      <c r="Z96" s="2">
        <f t="shared" si="12"/>
        <v>146</v>
      </c>
      <c r="AA96" s="1">
        <f t="shared" si="13"/>
        <v>15.753424657534246</v>
      </c>
      <c r="AB96" s="1">
        <f t="shared" si="14"/>
        <v>7.5342465753424657</v>
      </c>
      <c r="AC96" s="1">
        <f t="shared" si="15"/>
        <v>6.8493150684931505</v>
      </c>
      <c r="AD96" s="2">
        <f t="shared" si="16"/>
        <v>5.84</v>
      </c>
      <c r="AE96" s="2">
        <f t="shared" si="17"/>
        <v>8.2191780821917817</v>
      </c>
      <c r="AF96" s="2">
        <f t="shared" si="19"/>
        <v>100.69886301369863</v>
      </c>
    </row>
    <row r="97" spans="1:32" x14ac:dyDescent="0.35">
      <c r="A97" s="2" t="s">
        <v>485</v>
      </c>
      <c r="B97" s="2" t="s">
        <v>390</v>
      </c>
      <c r="C97" s="2">
        <v>25</v>
      </c>
      <c r="D97" s="2">
        <v>5.09</v>
      </c>
      <c r="E97" s="7">
        <v>4</v>
      </c>
      <c r="F97" s="7">
        <v>2</v>
      </c>
      <c r="G97" s="7">
        <v>0</v>
      </c>
      <c r="H97" s="7">
        <v>22</v>
      </c>
      <c r="I97" s="7">
        <v>2</v>
      </c>
      <c r="J97" s="7">
        <v>0</v>
      </c>
      <c r="K97" s="7">
        <v>0</v>
      </c>
      <c r="L97" s="7">
        <v>23</v>
      </c>
      <c r="N97" s="7">
        <v>26</v>
      </c>
      <c r="O97" s="7">
        <v>14</v>
      </c>
      <c r="P97" s="7">
        <v>13</v>
      </c>
      <c r="Q97" s="7">
        <v>3</v>
      </c>
      <c r="R97" s="7">
        <v>1</v>
      </c>
      <c r="S97" s="7">
        <v>9</v>
      </c>
      <c r="T97" s="7">
        <v>0</v>
      </c>
      <c r="U97" s="7">
        <v>17</v>
      </c>
      <c r="V97" s="2">
        <f t="shared" si="18"/>
        <v>6.9170923379174862</v>
      </c>
      <c r="W97" s="7">
        <v>50</v>
      </c>
      <c r="X97" s="2">
        <f t="shared" si="11"/>
        <v>56.917092337917488</v>
      </c>
      <c r="Y97" s="2"/>
      <c r="Z97" s="2">
        <f t="shared" si="12"/>
        <v>105</v>
      </c>
      <c r="AA97" s="1">
        <f t="shared" si="13"/>
        <v>16.19047619047619</v>
      </c>
      <c r="AB97" s="1">
        <f t="shared" si="14"/>
        <v>9.5238095238095237</v>
      </c>
      <c r="AC97" s="1">
        <f t="shared" si="15"/>
        <v>2.8571428571428572</v>
      </c>
      <c r="AD97" s="2">
        <f t="shared" si="16"/>
        <v>4.2</v>
      </c>
      <c r="AE97" s="2">
        <f t="shared" si="17"/>
        <v>6.6666666666666661</v>
      </c>
      <c r="AF97" s="2">
        <f t="shared" si="19"/>
        <v>34.585461689587433</v>
      </c>
    </row>
    <row r="98" spans="1:32" x14ac:dyDescent="0.35">
      <c r="A98" s="2" t="s">
        <v>486</v>
      </c>
      <c r="B98" s="2" t="s">
        <v>390</v>
      </c>
      <c r="C98" s="2">
        <v>25</v>
      </c>
      <c r="D98" s="2">
        <v>2.35</v>
      </c>
      <c r="E98" s="7">
        <v>1</v>
      </c>
      <c r="F98" s="7">
        <v>1</v>
      </c>
      <c r="G98" s="7">
        <v>0</v>
      </c>
      <c r="H98" s="7">
        <v>14</v>
      </c>
      <c r="I98" s="7">
        <v>0</v>
      </c>
      <c r="J98" s="7">
        <v>0</v>
      </c>
      <c r="K98" s="7">
        <v>0</v>
      </c>
      <c r="L98" s="7">
        <v>15</v>
      </c>
      <c r="M98" s="7">
        <v>1</v>
      </c>
      <c r="N98" s="7">
        <v>14</v>
      </c>
      <c r="O98" s="7">
        <v>6</v>
      </c>
      <c r="P98" s="7">
        <v>4</v>
      </c>
      <c r="Q98" s="7">
        <v>0</v>
      </c>
      <c r="R98" s="7">
        <v>2</v>
      </c>
      <c r="S98" s="7">
        <v>10</v>
      </c>
      <c r="T98" s="7">
        <v>0</v>
      </c>
      <c r="U98" s="7">
        <v>21</v>
      </c>
      <c r="V98" s="2">
        <f t="shared" si="18"/>
        <v>3.7697361702127665</v>
      </c>
      <c r="W98" s="7">
        <v>50</v>
      </c>
      <c r="X98" s="2">
        <f t="shared" si="11"/>
        <v>53.769736170212767</v>
      </c>
      <c r="Y98" s="2"/>
      <c r="Z98" s="2">
        <f t="shared" si="12"/>
        <v>72</v>
      </c>
      <c r="AA98" s="1">
        <f t="shared" si="13"/>
        <v>29.166666666666668</v>
      </c>
      <c r="AB98" s="1">
        <f t="shared" si="14"/>
        <v>16.666666666666664</v>
      </c>
      <c r="AC98" s="1">
        <f t="shared" si="15"/>
        <v>0</v>
      </c>
      <c r="AD98" s="2">
        <f t="shared" si="16"/>
        <v>2.88</v>
      </c>
      <c r="AE98" s="2">
        <f t="shared" si="17"/>
        <v>12.500000000000004</v>
      </c>
      <c r="AF98" s="2">
        <f t="shared" si="19"/>
        <v>18.848680851063833</v>
      </c>
    </row>
    <row r="99" spans="1:32" x14ac:dyDescent="0.35">
      <c r="A99" s="2" t="s">
        <v>487</v>
      </c>
      <c r="B99" s="2" t="s">
        <v>390</v>
      </c>
      <c r="C99" s="2">
        <v>25</v>
      </c>
      <c r="D99" s="2">
        <v>4.91</v>
      </c>
      <c r="E99" s="7">
        <v>1</v>
      </c>
      <c r="F99" s="7">
        <v>0</v>
      </c>
      <c r="G99" s="7">
        <v>0</v>
      </c>
      <c r="H99" s="7">
        <v>8</v>
      </c>
      <c r="I99" s="7">
        <v>0</v>
      </c>
      <c r="J99" s="7">
        <v>0</v>
      </c>
      <c r="K99" s="7">
        <v>0</v>
      </c>
      <c r="L99" s="7">
        <v>11</v>
      </c>
      <c r="N99" s="7">
        <v>14</v>
      </c>
      <c r="O99" s="7">
        <v>7</v>
      </c>
      <c r="P99" s="7">
        <v>6</v>
      </c>
      <c r="Q99" s="7">
        <v>2</v>
      </c>
      <c r="R99" s="7">
        <v>1</v>
      </c>
      <c r="S99" s="7">
        <v>2</v>
      </c>
      <c r="T99" s="7">
        <v>0</v>
      </c>
      <c r="U99" s="7">
        <v>9</v>
      </c>
      <c r="V99" s="2">
        <f t="shared" si="18"/>
        <v>5.7026476578411405</v>
      </c>
      <c r="W99" s="7">
        <v>50</v>
      </c>
      <c r="X99" s="2">
        <f t="shared" si="11"/>
        <v>55.70264765784114</v>
      </c>
      <c r="Y99" s="2"/>
      <c r="Z99" s="2">
        <f t="shared" si="12"/>
        <v>50</v>
      </c>
      <c r="AA99" s="1">
        <f t="shared" si="13"/>
        <v>18</v>
      </c>
      <c r="AB99" s="1">
        <f t="shared" si="14"/>
        <v>6</v>
      </c>
      <c r="AC99" s="1">
        <f t="shared" si="15"/>
        <v>4</v>
      </c>
      <c r="AD99" s="2">
        <f t="shared" si="16"/>
        <v>2</v>
      </c>
      <c r="AE99" s="2">
        <f t="shared" si="17"/>
        <v>12</v>
      </c>
      <c r="AF99" s="2">
        <f t="shared" si="19"/>
        <v>28.513238289205702</v>
      </c>
    </row>
    <row r="100" spans="1:32" x14ac:dyDescent="0.35">
      <c r="A100" s="2" t="s">
        <v>488</v>
      </c>
      <c r="B100" s="2" t="s">
        <v>390</v>
      </c>
      <c r="C100" s="2">
        <v>25</v>
      </c>
      <c r="D100" s="2">
        <v>4.34</v>
      </c>
      <c r="E100" s="7">
        <v>5</v>
      </c>
      <c r="F100" s="7">
        <v>10</v>
      </c>
      <c r="G100" s="7">
        <v>0</v>
      </c>
      <c r="H100" s="7">
        <v>48</v>
      </c>
      <c r="I100" s="7">
        <v>19</v>
      </c>
      <c r="J100" s="7">
        <v>0</v>
      </c>
      <c r="K100" s="7">
        <v>0</v>
      </c>
      <c r="L100" s="7">
        <v>130</v>
      </c>
      <c r="M100" s="7">
        <v>2</v>
      </c>
      <c r="N100" s="7">
        <v>126</v>
      </c>
      <c r="O100" s="7">
        <v>65</v>
      </c>
      <c r="P100" s="7">
        <v>63</v>
      </c>
      <c r="Q100" s="7">
        <v>17</v>
      </c>
      <c r="R100" s="7">
        <v>3</v>
      </c>
      <c r="S100" s="7">
        <v>43</v>
      </c>
      <c r="T100" s="7">
        <v>0</v>
      </c>
      <c r="U100" s="7">
        <v>108</v>
      </c>
      <c r="V100" s="2">
        <f t="shared" si="18"/>
        <v>140.02540693532046</v>
      </c>
      <c r="W100" s="7">
        <v>50</v>
      </c>
      <c r="X100" s="2">
        <f t="shared" si="11"/>
        <v>190.02540693532046</v>
      </c>
      <c r="Y100" s="2"/>
      <c r="Z100" s="2">
        <f t="shared" si="12"/>
        <v>564</v>
      </c>
      <c r="AA100" s="1">
        <f t="shared" si="13"/>
        <v>19.148936170212767</v>
      </c>
      <c r="AB100" s="1">
        <f t="shared" si="14"/>
        <v>8.1560283687943276</v>
      </c>
      <c r="AC100" s="1">
        <f t="shared" si="15"/>
        <v>3.0141843971631204</v>
      </c>
      <c r="AD100" s="2">
        <f t="shared" si="16"/>
        <v>22.56</v>
      </c>
      <c r="AE100" s="2">
        <f t="shared" si="17"/>
        <v>10.99290780141844</v>
      </c>
      <c r="AF100" s="2">
        <f t="shared" si="19"/>
        <v>700.12703467660231</v>
      </c>
    </row>
    <row r="101" spans="1:32" x14ac:dyDescent="0.35">
      <c r="A101" s="2" t="s">
        <v>489</v>
      </c>
      <c r="B101" s="2" t="s">
        <v>390</v>
      </c>
      <c r="C101" s="2">
        <v>25</v>
      </c>
      <c r="D101" s="2">
        <v>5.91</v>
      </c>
      <c r="E101" s="7">
        <v>0</v>
      </c>
      <c r="F101" s="7">
        <v>0</v>
      </c>
      <c r="G101" s="7">
        <v>0</v>
      </c>
      <c r="H101" s="7">
        <v>10</v>
      </c>
      <c r="I101" s="7">
        <v>0</v>
      </c>
      <c r="J101" s="7">
        <v>0</v>
      </c>
      <c r="K101" s="7">
        <v>0</v>
      </c>
      <c r="L101" s="7">
        <v>10</v>
      </c>
      <c r="M101" s="7">
        <v>2</v>
      </c>
      <c r="N101" s="7">
        <v>13</v>
      </c>
      <c r="O101" s="7">
        <v>8</v>
      </c>
      <c r="P101" s="7">
        <v>7</v>
      </c>
      <c r="Q101" s="7">
        <v>2</v>
      </c>
      <c r="R101" s="7">
        <v>1</v>
      </c>
      <c r="S101" s="7">
        <v>8</v>
      </c>
      <c r="T101" s="7">
        <v>0</v>
      </c>
      <c r="U101" s="7">
        <v>6</v>
      </c>
      <c r="V101" s="2">
        <f t="shared" si="18"/>
        <v>-1.1674735852603864</v>
      </c>
      <c r="W101" s="7">
        <v>50</v>
      </c>
      <c r="X101" s="2">
        <f t="shared" si="11"/>
        <v>48.832526414739611</v>
      </c>
      <c r="Y101" s="2"/>
      <c r="Z101" s="2">
        <f t="shared" si="12"/>
        <v>54</v>
      </c>
      <c r="AA101" s="1">
        <f t="shared" si="13"/>
        <v>11.111111111111111</v>
      </c>
      <c r="AB101" s="1">
        <f t="shared" si="14"/>
        <v>16.666666666666664</v>
      </c>
      <c r="AC101" s="1">
        <f t="shared" si="15"/>
        <v>3.7037037037037033</v>
      </c>
      <c r="AD101" s="2">
        <f t="shared" si="16"/>
        <v>2.16</v>
      </c>
      <c r="AE101" s="2">
        <f t="shared" si="17"/>
        <v>-5.5555555555555536</v>
      </c>
      <c r="AF101" s="2">
        <f t="shared" si="19"/>
        <v>-5.8373679263019316</v>
      </c>
    </row>
    <row r="102" spans="1:32" x14ac:dyDescent="0.35">
      <c r="A102" s="2" t="s">
        <v>490</v>
      </c>
      <c r="B102" s="2" t="s">
        <v>390</v>
      </c>
      <c r="C102" s="2">
        <v>25</v>
      </c>
      <c r="D102" s="2">
        <v>0</v>
      </c>
      <c r="E102" s="7">
        <v>0</v>
      </c>
      <c r="F102" s="7">
        <v>0</v>
      </c>
      <c r="G102" s="7">
        <v>0</v>
      </c>
      <c r="H102" s="7">
        <v>1</v>
      </c>
      <c r="I102" s="7">
        <v>0</v>
      </c>
      <c r="J102" s="7">
        <v>0</v>
      </c>
      <c r="K102" s="7">
        <v>0</v>
      </c>
      <c r="L102" s="7">
        <v>2</v>
      </c>
      <c r="M102" s="7">
        <v>2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1</v>
      </c>
      <c r="T102" s="7">
        <v>0</v>
      </c>
      <c r="U102" s="7">
        <v>2</v>
      </c>
      <c r="V102" s="2" t="e">
        <f t="shared" si="18"/>
        <v>#DIV/0!</v>
      </c>
      <c r="W102" s="7">
        <v>50</v>
      </c>
      <c r="X102" s="2" t="e">
        <f t="shared" si="11"/>
        <v>#DIV/0!</v>
      </c>
      <c r="Y102" s="2"/>
      <c r="Z102" s="2">
        <f t="shared" si="12"/>
        <v>9</v>
      </c>
      <c r="AA102" s="1">
        <f t="shared" si="13"/>
        <v>22.222222222222221</v>
      </c>
      <c r="AB102" s="1">
        <f t="shared" si="14"/>
        <v>11.111111111111111</v>
      </c>
      <c r="AC102" s="1">
        <f t="shared" si="15"/>
        <v>0</v>
      </c>
      <c r="AD102" s="2">
        <f t="shared" si="16"/>
        <v>0.36</v>
      </c>
      <c r="AE102" s="2">
        <f t="shared" si="17"/>
        <v>11.111111111111111</v>
      </c>
      <c r="AF102" s="2" t="e">
        <f t="shared" si="19"/>
        <v>#DIV/0!</v>
      </c>
    </row>
    <row r="103" spans="1:32" x14ac:dyDescent="0.35">
      <c r="A103" s="2" t="s">
        <v>491</v>
      </c>
      <c r="B103" s="2" t="s">
        <v>390</v>
      </c>
      <c r="C103" s="2">
        <v>25</v>
      </c>
      <c r="D103" s="2">
        <v>2.66</v>
      </c>
      <c r="E103" s="7">
        <v>1</v>
      </c>
      <c r="F103" s="7">
        <v>2</v>
      </c>
      <c r="G103" s="7">
        <v>0</v>
      </c>
      <c r="H103" s="7">
        <v>41</v>
      </c>
      <c r="I103" s="7">
        <v>2</v>
      </c>
      <c r="J103" s="7">
        <v>0</v>
      </c>
      <c r="K103" s="7">
        <v>0</v>
      </c>
      <c r="L103" s="7">
        <v>47</v>
      </c>
      <c r="M103" s="7">
        <v>1</v>
      </c>
      <c r="N103" s="7">
        <v>35</v>
      </c>
      <c r="O103" s="7">
        <v>14</v>
      </c>
      <c r="P103" s="7">
        <v>14</v>
      </c>
      <c r="Q103" s="7">
        <v>4</v>
      </c>
      <c r="R103" s="7">
        <v>2</v>
      </c>
      <c r="S103" s="7">
        <v>23</v>
      </c>
      <c r="T103" s="7">
        <v>1</v>
      </c>
      <c r="U103" s="7">
        <v>50</v>
      </c>
      <c r="V103" s="2">
        <f t="shared" si="18"/>
        <v>37.03655653986452</v>
      </c>
      <c r="W103" s="7">
        <v>50</v>
      </c>
      <c r="X103" s="2">
        <f t="shared" si="11"/>
        <v>87.03655653986452</v>
      </c>
      <c r="Y103" s="2"/>
      <c r="Z103" s="2">
        <f t="shared" si="12"/>
        <v>202</v>
      </c>
      <c r="AA103" s="1">
        <f t="shared" si="13"/>
        <v>24.752475247524753</v>
      </c>
      <c r="AB103" s="1">
        <f t="shared" si="14"/>
        <v>12.376237623762377</v>
      </c>
      <c r="AC103" s="1">
        <f t="shared" si="15"/>
        <v>1.9801980198019802</v>
      </c>
      <c r="AD103" s="2">
        <f t="shared" si="16"/>
        <v>8.08</v>
      </c>
      <c r="AE103" s="2">
        <f t="shared" si="17"/>
        <v>12.376237623762377</v>
      </c>
      <c r="AF103" s="2">
        <f t="shared" si="19"/>
        <v>185.18278269932259</v>
      </c>
    </row>
    <row r="104" spans="1:32" x14ac:dyDescent="0.35">
      <c r="A104" s="2" t="s">
        <v>492</v>
      </c>
      <c r="B104" s="2" t="s">
        <v>390</v>
      </c>
      <c r="C104" s="2">
        <v>25</v>
      </c>
      <c r="D104" s="2">
        <v>8.18</v>
      </c>
      <c r="E104" s="7">
        <v>0</v>
      </c>
      <c r="F104" s="7">
        <v>0</v>
      </c>
      <c r="G104" s="7">
        <v>0</v>
      </c>
      <c r="H104" s="7">
        <v>9</v>
      </c>
      <c r="I104" s="7">
        <v>0</v>
      </c>
      <c r="J104" s="7">
        <v>0</v>
      </c>
      <c r="K104" s="7">
        <v>0</v>
      </c>
      <c r="L104" s="7">
        <v>11</v>
      </c>
      <c r="N104" s="7">
        <v>9</v>
      </c>
      <c r="O104" s="7">
        <v>10</v>
      </c>
      <c r="P104" s="7">
        <v>10</v>
      </c>
      <c r="Q104" s="7">
        <v>4</v>
      </c>
      <c r="R104" s="7">
        <v>0</v>
      </c>
      <c r="S104" s="7">
        <v>9</v>
      </c>
      <c r="T104" s="7">
        <v>0</v>
      </c>
      <c r="U104" s="7">
        <v>14</v>
      </c>
      <c r="V104" s="2">
        <f t="shared" si="18"/>
        <v>5.2240671173114723</v>
      </c>
      <c r="W104" s="7">
        <v>50</v>
      </c>
      <c r="X104" s="2">
        <f t="shared" si="11"/>
        <v>55.224067117311471</v>
      </c>
      <c r="Y104" s="2"/>
      <c r="Z104" s="2">
        <f t="shared" si="12"/>
        <v>51</v>
      </c>
      <c r="AA104" s="1">
        <f t="shared" si="13"/>
        <v>27.450980392156865</v>
      </c>
      <c r="AB104" s="1">
        <f t="shared" si="14"/>
        <v>17.647058823529413</v>
      </c>
      <c r="AC104" s="1">
        <f t="shared" si="15"/>
        <v>7.8431372549019605</v>
      </c>
      <c r="AD104" s="2">
        <f t="shared" si="16"/>
        <v>2.04</v>
      </c>
      <c r="AE104" s="2">
        <f t="shared" si="17"/>
        <v>9.8039215686274517</v>
      </c>
      <c r="AF104" s="2">
        <f t="shared" si="19"/>
        <v>26.120335586557363</v>
      </c>
    </row>
    <row r="105" spans="1:32" x14ac:dyDescent="0.35">
      <c r="A105" s="2" t="s">
        <v>493</v>
      </c>
      <c r="B105" s="2" t="s">
        <v>390</v>
      </c>
      <c r="C105" s="2">
        <v>25</v>
      </c>
      <c r="D105" s="2">
        <v>12.27</v>
      </c>
      <c r="E105" s="7">
        <v>0</v>
      </c>
      <c r="F105" s="7">
        <v>0</v>
      </c>
      <c r="G105" s="7">
        <v>0</v>
      </c>
      <c r="H105" s="7">
        <v>3</v>
      </c>
      <c r="I105" s="7">
        <v>0</v>
      </c>
      <c r="J105" s="7">
        <v>0</v>
      </c>
      <c r="K105" s="7">
        <v>0</v>
      </c>
      <c r="L105" s="7">
        <v>3</v>
      </c>
      <c r="M105" s="7">
        <v>2</v>
      </c>
      <c r="N105" s="7">
        <v>4</v>
      </c>
      <c r="O105" s="7">
        <v>5</v>
      </c>
      <c r="P105" s="7">
        <v>5</v>
      </c>
      <c r="Q105" s="7">
        <v>1</v>
      </c>
      <c r="R105" s="7">
        <v>2</v>
      </c>
      <c r="S105" s="7">
        <v>5</v>
      </c>
      <c r="T105" s="7">
        <v>0</v>
      </c>
      <c r="U105" s="7">
        <v>5</v>
      </c>
      <c r="V105" s="2">
        <f t="shared" si="18"/>
        <v>-0.65312528710083717</v>
      </c>
      <c r="W105" s="7">
        <v>50</v>
      </c>
      <c r="X105" s="2">
        <f t="shared" si="11"/>
        <v>49.346874712899165</v>
      </c>
      <c r="Y105" s="2"/>
      <c r="Z105" s="2">
        <f t="shared" si="12"/>
        <v>22</v>
      </c>
      <c r="AA105" s="1">
        <f t="shared" si="13"/>
        <v>22.727272727272727</v>
      </c>
      <c r="AB105" s="1">
        <f t="shared" si="14"/>
        <v>31.818181818181817</v>
      </c>
      <c r="AC105" s="1">
        <f t="shared" si="15"/>
        <v>4.5454545454545459</v>
      </c>
      <c r="AD105" s="2">
        <f t="shared" si="16"/>
        <v>0.88</v>
      </c>
      <c r="AE105" s="2">
        <f t="shared" si="17"/>
        <v>-9.0909090909090899</v>
      </c>
      <c r="AF105" s="2">
        <f t="shared" si="19"/>
        <v>-3.2656264355041857</v>
      </c>
    </row>
    <row r="106" spans="1:32" x14ac:dyDescent="0.35">
      <c r="A106" s="2" t="s">
        <v>494</v>
      </c>
      <c r="B106" s="2" t="s">
        <v>388</v>
      </c>
      <c r="C106" s="2">
        <v>25</v>
      </c>
      <c r="D106" s="2">
        <v>13.5</v>
      </c>
      <c r="E106" s="7">
        <v>0</v>
      </c>
      <c r="F106" s="7">
        <v>1</v>
      </c>
      <c r="G106" s="7">
        <v>0</v>
      </c>
      <c r="H106" s="7">
        <v>2</v>
      </c>
      <c r="I106" s="7">
        <v>1</v>
      </c>
      <c r="J106" s="7">
        <v>0</v>
      </c>
      <c r="K106" s="7">
        <v>0</v>
      </c>
      <c r="L106" s="7">
        <v>4</v>
      </c>
      <c r="N106" s="7">
        <v>5</v>
      </c>
      <c r="O106" s="7">
        <v>6</v>
      </c>
      <c r="P106" s="7">
        <v>6</v>
      </c>
      <c r="Q106" s="7">
        <v>0</v>
      </c>
      <c r="R106" s="7">
        <v>0</v>
      </c>
      <c r="S106" s="7">
        <v>6</v>
      </c>
      <c r="T106" s="7">
        <v>0</v>
      </c>
      <c r="U106" s="7">
        <v>5</v>
      </c>
      <c r="V106" s="2">
        <f t="shared" si="18"/>
        <v>-4.671999999999997E-2</v>
      </c>
      <c r="W106" s="7">
        <v>50</v>
      </c>
      <c r="X106" s="2">
        <f t="shared" si="11"/>
        <v>49.953279999999999</v>
      </c>
      <c r="Y106" s="2"/>
      <c r="Z106" s="2">
        <f t="shared" si="12"/>
        <v>23</v>
      </c>
      <c r="AA106" s="1">
        <f t="shared" si="13"/>
        <v>21.739130434782609</v>
      </c>
      <c r="AB106" s="1">
        <f t="shared" si="14"/>
        <v>26.086956521739129</v>
      </c>
      <c r="AC106" s="1">
        <f t="shared" si="15"/>
        <v>0</v>
      </c>
      <c r="AD106" s="2">
        <f t="shared" si="16"/>
        <v>0.92</v>
      </c>
      <c r="AE106" s="2">
        <f t="shared" si="17"/>
        <v>-4.3478260869565197</v>
      </c>
      <c r="AF106" s="2">
        <f t="shared" si="19"/>
        <v>-0.23359999999999986</v>
      </c>
    </row>
    <row r="107" spans="1:32" x14ac:dyDescent="0.35">
      <c r="A107" s="2" t="s">
        <v>495</v>
      </c>
      <c r="B107" s="2" t="s">
        <v>390</v>
      </c>
      <c r="C107" s="2">
        <v>25</v>
      </c>
      <c r="D107" s="2">
        <v>5.0999999999999996</v>
      </c>
      <c r="E107" s="7">
        <v>0</v>
      </c>
      <c r="F107" s="7">
        <v>3</v>
      </c>
      <c r="G107" s="7">
        <v>0</v>
      </c>
      <c r="H107" s="7">
        <v>14</v>
      </c>
      <c r="I107" s="7">
        <v>3</v>
      </c>
      <c r="J107" s="7">
        <v>0</v>
      </c>
      <c r="K107" s="7">
        <v>0</v>
      </c>
      <c r="L107" s="7">
        <v>30</v>
      </c>
      <c r="N107" s="7">
        <v>38</v>
      </c>
      <c r="O107" s="7">
        <v>22</v>
      </c>
      <c r="P107" s="7">
        <v>17</v>
      </c>
      <c r="Q107" s="7">
        <v>5</v>
      </c>
      <c r="R107" s="7">
        <v>0</v>
      </c>
      <c r="S107" s="7">
        <v>7</v>
      </c>
      <c r="T107" s="7">
        <v>0</v>
      </c>
      <c r="U107" s="7">
        <v>27</v>
      </c>
      <c r="V107" s="2">
        <f t="shared" si="18"/>
        <v>20.135541031227305</v>
      </c>
      <c r="W107" s="7">
        <v>50</v>
      </c>
      <c r="X107" s="2">
        <f t="shared" si="11"/>
        <v>70.135541031227305</v>
      </c>
      <c r="Y107" s="2"/>
      <c r="Z107" s="2">
        <f t="shared" si="12"/>
        <v>135</v>
      </c>
      <c r="AA107" s="1">
        <f t="shared" si="13"/>
        <v>20</v>
      </c>
      <c r="AB107" s="1">
        <f t="shared" si="14"/>
        <v>5.1851851851851851</v>
      </c>
      <c r="AC107" s="1">
        <f t="shared" si="15"/>
        <v>3.7037037037037033</v>
      </c>
      <c r="AD107" s="2">
        <f t="shared" si="16"/>
        <v>5.4</v>
      </c>
      <c r="AE107" s="2">
        <f t="shared" si="17"/>
        <v>14.814814814814815</v>
      </c>
      <c r="AF107" s="2">
        <f t="shared" si="19"/>
        <v>100.67770515613653</v>
      </c>
    </row>
    <row r="108" spans="1:32" x14ac:dyDescent="0.35">
      <c r="A108" s="2" t="s">
        <v>496</v>
      </c>
      <c r="B108" s="2" t="s">
        <v>415</v>
      </c>
      <c r="C108" s="2">
        <v>25</v>
      </c>
      <c r="D108" s="2">
        <v>2.91</v>
      </c>
      <c r="E108" s="7">
        <v>1</v>
      </c>
      <c r="F108" s="7">
        <v>6</v>
      </c>
      <c r="G108" s="7">
        <v>22</v>
      </c>
      <c r="H108" s="7">
        <v>54</v>
      </c>
      <c r="I108" s="7">
        <v>0</v>
      </c>
      <c r="J108" s="7">
        <v>0</v>
      </c>
      <c r="K108" s="7">
        <v>0</v>
      </c>
      <c r="L108" s="7">
        <v>52</v>
      </c>
      <c r="M108" s="7">
        <v>2</v>
      </c>
      <c r="N108" s="7">
        <v>44</v>
      </c>
      <c r="O108" s="7">
        <v>19</v>
      </c>
      <c r="P108" s="7">
        <v>17</v>
      </c>
      <c r="Q108" s="7">
        <v>5</v>
      </c>
      <c r="R108" s="7">
        <v>2</v>
      </c>
      <c r="S108" s="7">
        <v>16</v>
      </c>
      <c r="T108" s="7">
        <v>1</v>
      </c>
      <c r="U108" s="7">
        <v>61</v>
      </c>
      <c r="V108" s="2">
        <f t="shared" si="18"/>
        <v>56.106466729147144</v>
      </c>
      <c r="W108" s="7">
        <v>50</v>
      </c>
      <c r="X108" s="2">
        <f t="shared" si="11"/>
        <v>106.10646672914714</v>
      </c>
      <c r="Y108" s="2"/>
      <c r="Z108" s="2">
        <f t="shared" si="12"/>
        <v>220</v>
      </c>
      <c r="AA108" s="1">
        <f t="shared" si="13"/>
        <v>27.727272727272727</v>
      </c>
      <c r="AB108" s="1">
        <f t="shared" si="14"/>
        <v>8.1818181818181817</v>
      </c>
      <c r="AC108" s="1">
        <f t="shared" si="15"/>
        <v>2.2727272727272729</v>
      </c>
      <c r="AD108" s="2">
        <f t="shared" si="16"/>
        <v>8.8000000000000007</v>
      </c>
      <c r="AE108" s="2">
        <f t="shared" si="17"/>
        <v>19.545454545454547</v>
      </c>
      <c r="AF108" s="2">
        <f t="shared" si="19"/>
        <v>280.53233364573572</v>
      </c>
    </row>
    <row r="109" spans="1:32" x14ac:dyDescent="0.35">
      <c r="A109" s="2" t="s">
        <v>497</v>
      </c>
      <c r="B109" s="2" t="s">
        <v>415</v>
      </c>
      <c r="C109" s="2">
        <v>25</v>
      </c>
      <c r="D109" s="2">
        <v>4.1900000000000004</v>
      </c>
      <c r="E109" s="7">
        <v>3</v>
      </c>
      <c r="F109" s="7">
        <v>2</v>
      </c>
      <c r="G109" s="7">
        <v>3</v>
      </c>
      <c r="H109" s="7">
        <v>12</v>
      </c>
      <c r="I109" s="7">
        <v>4</v>
      </c>
      <c r="J109" s="7">
        <v>0</v>
      </c>
      <c r="K109" s="7">
        <v>0</v>
      </c>
      <c r="L109" s="7">
        <v>38</v>
      </c>
      <c r="M109" s="7">
        <v>2</v>
      </c>
      <c r="N109" s="7">
        <v>27</v>
      </c>
      <c r="O109" s="7">
        <v>18</v>
      </c>
      <c r="P109" s="7">
        <v>18</v>
      </c>
      <c r="Q109" s="7">
        <v>4</v>
      </c>
      <c r="R109" s="7">
        <v>2</v>
      </c>
      <c r="S109" s="7">
        <v>18</v>
      </c>
      <c r="T109" s="7">
        <v>0</v>
      </c>
      <c r="U109" s="7">
        <v>37</v>
      </c>
      <c r="V109" s="2">
        <f t="shared" si="18"/>
        <v>18.219645138146618</v>
      </c>
      <c r="W109" s="7">
        <v>50</v>
      </c>
      <c r="X109" s="2">
        <f t="shared" si="11"/>
        <v>68.219645138146618</v>
      </c>
      <c r="Y109" s="2"/>
      <c r="Z109" s="2">
        <f t="shared" si="12"/>
        <v>163</v>
      </c>
      <c r="AA109" s="1">
        <f t="shared" si="13"/>
        <v>22.699386503067483</v>
      </c>
      <c r="AB109" s="1">
        <f t="shared" si="14"/>
        <v>12.269938650306749</v>
      </c>
      <c r="AC109" s="1">
        <f t="shared" si="15"/>
        <v>2.4539877300613497</v>
      </c>
      <c r="AD109" s="2">
        <f t="shared" si="16"/>
        <v>6.52</v>
      </c>
      <c r="AE109" s="2">
        <f t="shared" si="17"/>
        <v>10.429447852760735</v>
      </c>
      <c r="AF109" s="2">
        <f t="shared" si="19"/>
        <v>91.098225690733088</v>
      </c>
    </row>
    <row r="110" spans="1:32" x14ac:dyDescent="0.35">
      <c r="A110" s="2" t="s">
        <v>498</v>
      </c>
      <c r="B110" s="2" t="s">
        <v>390</v>
      </c>
      <c r="C110" s="2">
        <v>25</v>
      </c>
      <c r="D110" s="2">
        <v>4.54</v>
      </c>
      <c r="E110" s="7">
        <v>0</v>
      </c>
      <c r="F110" s="7">
        <v>3</v>
      </c>
      <c r="G110" s="7">
        <v>0</v>
      </c>
      <c r="H110" s="7">
        <v>34</v>
      </c>
      <c r="I110" s="7">
        <v>0</v>
      </c>
      <c r="J110" s="7">
        <v>0</v>
      </c>
      <c r="K110" s="7">
        <v>0</v>
      </c>
      <c r="L110" s="7">
        <v>37</v>
      </c>
      <c r="M110" s="7">
        <v>2</v>
      </c>
      <c r="N110" s="7">
        <v>37</v>
      </c>
      <c r="O110" s="7">
        <v>25</v>
      </c>
      <c r="P110" s="7">
        <v>19</v>
      </c>
      <c r="Q110" s="7">
        <v>2</v>
      </c>
      <c r="R110" s="7">
        <v>2</v>
      </c>
      <c r="S110" s="7">
        <v>21</v>
      </c>
      <c r="T110" s="7">
        <v>4</v>
      </c>
      <c r="U110" s="7">
        <v>30</v>
      </c>
      <c r="V110" s="2">
        <f t="shared" si="18"/>
        <v>7.2077683787018403</v>
      </c>
      <c r="W110" s="7">
        <v>50</v>
      </c>
      <c r="X110" s="2">
        <f t="shared" si="11"/>
        <v>57.207768378701843</v>
      </c>
      <c r="Y110" s="2"/>
      <c r="Z110" s="2">
        <f t="shared" si="12"/>
        <v>173</v>
      </c>
      <c r="AA110" s="1">
        <f t="shared" si="13"/>
        <v>17.341040462427745</v>
      </c>
      <c r="AB110" s="1">
        <f t="shared" si="14"/>
        <v>13.294797687861271</v>
      </c>
      <c r="AC110" s="1">
        <f t="shared" si="15"/>
        <v>1.1560693641618496</v>
      </c>
      <c r="AD110" s="2">
        <f t="shared" si="16"/>
        <v>6.92</v>
      </c>
      <c r="AE110" s="2">
        <f t="shared" si="17"/>
        <v>4.0462427745664744</v>
      </c>
      <c r="AF110" s="2">
        <f t="shared" si="19"/>
        <v>36.038841893509201</v>
      </c>
    </row>
    <row r="111" spans="1:32" x14ac:dyDescent="0.35">
      <c r="A111" s="2" t="s">
        <v>499</v>
      </c>
      <c r="B111" s="2" t="s">
        <v>390</v>
      </c>
      <c r="C111" s="2">
        <v>25</v>
      </c>
      <c r="D111" s="2">
        <v>5.14</v>
      </c>
      <c r="E111" s="7">
        <v>1</v>
      </c>
      <c r="F111" s="7">
        <v>1</v>
      </c>
      <c r="G111" s="7">
        <v>0</v>
      </c>
      <c r="H111" s="7">
        <v>8</v>
      </c>
      <c r="I111" s="7">
        <v>0</v>
      </c>
      <c r="J111" s="7">
        <v>0</v>
      </c>
      <c r="K111" s="7">
        <v>0</v>
      </c>
      <c r="L111" s="7">
        <v>7</v>
      </c>
      <c r="N111" s="7">
        <v>8</v>
      </c>
      <c r="O111" s="7">
        <v>6</v>
      </c>
      <c r="P111" s="7">
        <v>4</v>
      </c>
      <c r="Q111" s="7">
        <v>0</v>
      </c>
      <c r="R111" s="7">
        <v>0</v>
      </c>
      <c r="S111" s="7">
        <v>8</v>
      </c>
      <c r="T111" s="7">
        <v>2</v>
      </c>
      <c r="U111" s="7">
        <v>0</v>
      </c>
      <c r="V111" s="2">
        <f t="shared" si="18"/>
        <v>-1.1599066147859922</v>
      </c>
      <c r="W111" s="7">
        <v>50</v>
      </c>
      <c r="X111" s="2">
        <f t="shared" si="11"/>
        <v>48.840093385214004</v>
      </c>
      <c r="Y111" s="2"/>
      <c r="Z111" s="2">
        <f t="shared" si="12"/>
        <v>37</v>
      </c>
      <c r="AA111" s="1">
        <f t="shared" si="13"/>
        <v>0</v>
      </c>
      <c r="AB111" s="1">
        <f t="shared" si="14"/>
        <v>21.621621621621621</v>
      </c>
      <c r="AC111" s="1">
        <f t="shared" si="15"/>
        <v>0</v>
      </c>
      <c r="AD111" s="2">
        <f t="shared" si="16"/>
        <v>1.48</v>
      </c>
      <c r="AE111" s="2">
        <f t="shared" si="17"/>
        <v>-21.621621621621621</v>
      </c>
      <c r="AF111" s="2">
        <f t="shared" si="19"/>
        <v>-5.7995330739299611</v>
      </c>
    </row>
    <row r="112" spans="1:32" x14ac:dyDescent="0.35">
      <c r="A112" s="2" t="s">
        <v>500</v>
      </c>
      <c r="B112" s="2" t="s">
        <v>390</v>
      </c>
      <c r="C112" s="2">
        <v>25</v>
      </c>
      <c r="D112" s="2">
        <v>1.64</v>
      </c>
      <c r="E112" s="7">
        <v>0</v>
      </c>
      <c r="F112" s="7">
        <v>0</v>
      </c>
      <c r="G112" s="7">
        <v>0</v>
      </c>
      <c r="H112" s="7">
        <v>10</v>
      </c>
      <c r="I112" s="7">
        <v>0</v>
      </c>
      <c r="J112" s="7">
        <v>0</v>
      </c>
      <c r="K112" s="7">
        <v>0</v>
      </c>
      <c r="L112" s="7">
        <v>11</v>
      </c>
      <c r="N112" s="7">
        <v>10</v>
      </c>
      <c r="O112" s="7">
        <v>2</v>
      </c>
      <c r="P112" s="7">
        <v>2</v>
      </c>
      <c r="Q112" s="7">
        <v>1</v>
      </c>
      <c r="R112" s="7">
        <v>1</v>
      </c>
      <c r="S112" s="7">
        <v>6</v>
      </c>
      <c r="T112" s="7">
        <v>1</v>
      </c>
      <c r="U112" s="7">
        <v>13</v>
      </c>
      <c r="V112" s="2">
        <f t="shared" si="18"/>
        <v>10.24390243902439</v>
      </c>
      <c r="W112" s="7">
        <v>50</v>
      </c>
      <c r="X112" s="2">
        <f t="shared" si="11"/>
        <v>60.243902439024389</v>
      </c>
      <c r="Y112" s="2"/>
      <c r="Z112" s="2">
        <f t="shared" si="12"/>
        <v>50</v>
      </c>
      <c r="AA112" s="1">
        <f t="shared" si="13"/>
        <v>26</v>
      </c>
      <c r="AB112" s="1">
        <f t="shared" si="14"/>
        <v>14.000000000000002</v>
      </c>
      <c r="AC112" s="1">
        <f t="shared" si="15"/>
        <v>2</v>
      </c>
      <c r="AD112" s="2">
        <f t="shared" si="16"/>
        <v>2</v>
      </c>
      <c r="AE112" s="2">
        <f t="shared" si="17"/>
        <v>11.999999999999998</v>
      </c>
      <c r="AF112" s="2">
        <f t="shared" si="19"/>
        <v>51.219512195121951</v>
      </c>
    </row>
    <row r="113" spans="1:32" x14ac:dyDescent="0.35">
      <c r="A113" s="2" t="s">
        <v>501</v>
      </c>
      <c r="B113" s="2" t="s">
        <v>390</v>
      </c>
      <c r="C113" s="2">
        <v>25</v>
      </c>
      <c r="D113" s="2">
        <v>1.38</v>
      </c>
      <c r="E113" s="7">
        <v>1</v>
      </c>
      <c r="F113" s="7">
        <v>0</v>
      </c>
      <c r="G113" s="7">
        <v>0</v>
      </c>
      <c r="H113" s="7">
        <v>7</v>
      </c>
      <c r="I113" s="7">
        <v>0</v>
      </c>
      <c r="J113" s="7">
        <v>0</v>
      </c>
      <c r="K113" s="7">
        <v>0</v>
      </c>
      <c r="L113" s="7">
        <v>13</v>
      </c>
      <c r="N113" s="7">
        <v>6</v>
      </c>
      <c r="O113" s="7">
        <v>2</v>
      </c>
      <c r="P113" s="7">
        <v>2</v>
      </c>
      <c r="Q113" s="7">
        <v>0</v>
      </c>
      <c r="R113" s="7">
        <v>3</v>
      </c>
      <c r="S113" s="7">
        <v>5</v>
      </c>
      <c r="T113" s="7">
        <v>0</v>
      </c>
      <c r="U113" s="7">
        <v>4</v>
      </c>
      <c r="V113" s="2">
        <f t="shared" si="18"/>
        <v>-1.6674782608695655</v>
      </c>
      <c r="W113" s="7">
        <v>50</v>
      </c>
      <c r="X113" s="2">
        <f t="shared" si="11"/>
        <v>48.332521739130435</v>
      </c>
      <c r="Y113" s="2"/>
      <c r="Z113" s="2">
        <f t="shared" si="12"/>
        <v>53</v>
      </c>
      <c r="AA113" s="1">
        <f t="shared" si="13"/>
        <v>7.5471698113207548</v>
      </c>
      <c r="AB113" s="1">
        <f t="shared" si="14"/>
        <v>15.09433962264151</v>
      </c>
      <c r="AC113" s="1">
        <f t="shared" si="15"/>
        <v>0</v>
      </c>
      <c r="AD113" s="2">
        <f t="shared" si="16"/>
        <v>2.12</v>
      </c>
      <c r="AE113" s="2">
        <f t="shared" si="17"/>
        <v>-7.5471698113207548</v>
      </c>
      <c r="AF113" s="2">
        <f t="shared" si="19"/>
        <v>-8.3373913043478272</v>
      </c>
    </row>
    <row r="114" spans="1:32" x14ac:dyDescent="0.35">
      <c r="A114" s="2" t="s">
        <v>502</v>
      </c>
      <c r="B114" s="2" t="s">
        <v>388</v>
      </c>
      <c r="C114" s="2">
        <v>25</v>
      </c>
      <c r="D114" s="2">
        <v>3.81</v>
      </c>
      <c r="E114" s="7">
        <v>7</v>
      </c>
      <c r="F114" s="7">
        <v>8</v>
      </c>
      <c r="G114" s="7">
        <v>0</v>
      </c>
      <c r="H114" s="7">
        <v>29</v>
      </c>
      <c r="I114" s="7">
        <v>29</v>
      </c>
      <c r="J114" s="7">
        <v>0</v>
      </c>
      <c r="K114" s="7">
        <v>0</v>
      </c>
      <c r="L114" s="7">
        <v>146</v>
      </c>
      <c r="M114" s="7">
        <v>1</v>
      </c>
      <c r="N114" s="7">
        <v>117</v>
      </c>
      <c r="O114" s="7">
        <v>70</v>
      </c>
      <c r="P114" s="7">
        <v>62</v>
      </c>
      <c r="Q114" s="7">
        <v>17</v>
      </c>
      <c r="R114" s="7">
        <v>12</v>
      </c>
      <c r="S114" s="7">
        <v>58</v>
      </c>
      <c r="T114" s="7">
        <v>1</v>
      </c>
      <c r="U114" s="7">
        <v>145</v>
      </c>
      <c r="V114" s="2">
        <f t="shared" si="18"/>
        <v>180.80934832666682</v>
      </c>
      <c r="W114" s="7">
        <v>50</v>
      </c>
      <c r="X114" s="2">
        <f t="shared" si="11"/>
        <v>230.80934832666682</v>
      </c>
      <c r="Y114" s="2"/>
      <c r="Z114" s="2">
        <f t="shared" si="12"/>
        <v>626</v>
      </c>
      <c r="AA114" s="1">
        <f t="shared" si="13"/>
        <v>23.162939297124602</v>
      </c>
      <c r="AB114" s="1">
        <f t="shared" si="14"/>
        <v>11.182108626198083</v>
      </c>
      <c r="AC114" s="1">
        <f t="shared" si="15"/>
        <v>2.7156549520766773</v>
      </c>
      <c r="AD114" s="2">
        <f t="shared" si="16"/>
        <v>25.04</v>
      </c>
      <c r="AE114" s="2">
        <f t="shared" si="17"/>
        <v>11.980830670926519</v>
      </c>
      <c r="AF114" s="2">
        <f t="shared" si="19"/>
        <v>904.04674163333414</v>
      </c>
    </row>
    <row r="115" spans="1:32" x14ac:dyDescent="0.35">
      <c r="A115" s="2" t="s">
        <v>503</v>
      </c>
      <c r="B115" s="2" t="s">
        <v>390</v>
      </c>
      <c r="C115" s="2">
        <v>25</v>
      </c>
      <c r="D115" s="2">
        <v>3.97</v>
      </c>
      <c r="E115" s="7">
        <v>5</v>
      </c>
      <c r="F115" s="7">
        <v>5</v>
      </c>
      <c r="G115" s="7">
        <v>1</v>
      </c>
      <c r="H115" s="7">
        <v>70</v>
      </c>
      <c r="I115" s="7">
        <v>0</v>
      </c>
      <c r="J115" s="7">
        <v>0</v>
      </c>
      <c r="K115" s="7">
        <v>0</v>
      </c>
      <c r="L115" s="7">
        <v>77</v>
      </c>
      <c r="N115" s="7">
        <v>81</v>
      </c>
      <c r="O115" s="7">
        <v>39</v>
      </c>
      <c r="P115" s="7">
        <v>34</v>
      </c>
      <c r="Q115" s="7">
        <v>10</v>
      </c>
      <c r="R115" s="7">
        <v>7</v>
      </c>
      <c r="S115" s="7">
        <v>23</v>
      </c>
      <c r="T115" s="7">
        <v>4</v>
      </c>
      <c r="U115" s="7">
        <v>54</v>
      </c>
      <c r="V115" s="2">
        <f t="shared" si="18"/>
        <v>55.971997702063717</v>
      </c>
      <c r="W115" s="7">
        <v>50</v>
      </c>
      <c r="X115" s="2">
        <f t="shared" si="11"/>
        <v>105.97199770206372</v>
      </c>
      <c r="Y115" s="2"/>
      <c r="Z115" s="2">
        <f t="shared" si="12"/>
        <v>342</v>
      </c>
      <c r="AA115" s="1">
        <f t="shared" si="13"/>
        <v>15.789473684210526</v>
      </c>
      <c r="AB115" s="1">
        <f t="shared" si="14"/>
        <v>8.7719298245614024</v>
      </c>
      <c r="AC115" s="1">
        <f t="shared" si="15"/>
        <v>2.9239766081871341</v>
      </c>
      <c r="AD115" s="2">
        <f t="shared" si="16"/>
        <v>13.68</v>
      </c>
      <c r="AE115" s="2">
        <f t="shared" si="17"/>
        <v>7.0175438596491233</v>
      </c>
      <c r="AF115" s="2">
        <f t="shared" si="19"/>
        <v>279.8599885103186</v>
      </c>
    </row>
    <row r="116" spans="1:32" x14ac:dyDescent="0.35">
      <c r="A116" s="2" t="s">
        <v>504</v>
      </c>
      <c r="B116" s="2" t="s">
        <v>390</v>
      </c>
      <c r="C116" s="2">
        <v>25</v>
      </c>
      <c r="D116" s="2">
        <v>2.5</v>
      </c>
      <c r="E116" s="7">
        <v>5</v>
      </c>
      <c r="F116" s="7">
        <v>3</v>
      </c>
      <c r="G116" s="7">
        <v>4</v>
      </c>
      <c r="H116" s="7">
        <v>47</v>
      </c>
      <c r="I116" s="7">
        <v>3</v>
      </c>
      <c r="J116" s="7">
        <v>0</v>
      </c>
      <c r="K116" s="7">
        <v>0</v>
      </c>
      <c r="L116" s="7">
        <v>101</v>
      </c>
      <c r="N116" s="7">
        <v>74</v>
      </c>
      <c r="O116" s="7">
        <v>32</v>
      </c>
      <c r="P116" s="7">
        <v>28</v>
      </c>
      <c r="Q116" s="7">
        <v>8</v>
      </c>
      <c r="R116" s="7">
        <v>8</v>
      </c>
      <c r="S116" s="7">
        <v>52</v>
      </c>
      <c r="T116" s="7">
        <v>5</v>
      </c>
      <c r="U116" s="7">
        <v>82</v>
      </c>
      <c r="V116" s="2">
        <f t="shared" si="18"/>
        <v>89.120703853546928</v>
      </c>
      <c r="W116" s="7">
        <v>50</v>
      </c>
      <c r="X116" s="2">
        <f t="shared" si="11"/>
        <v>139.12070385354693</v>
      </c>
      <c r="Y116" s="2"/>
      <c r="Z116" s="2">
        <f t="shared" si="12"/>
        <v>437</v>
      </c>
      <c r="AA116" s="1">
        <f t="shared" si="13"/>
        <v>18.764302059496568</v>
      </c>
      <c r="AB116" s="1">
        <f t="shared" si="14"/>
        <v>13.729977116704806</v>
      </c>
      <c r="AC116" s="1">
        <f t="shared" si="15"/>
        <v>1.8306636155606408</v>
      </c>
      <c r="AD116" s="2">
        <f t="shared" si="16"/>
        <v>17.48</v>
      </c>
      <c r="AE116" s="2">
        <f t="shared" si="17"/>
        <v>5.0343249427917627</v>
      </c>
      <c r="AF116" s="2">
        <f t="shared" si="19"/>
        <v>445.60351926773461</v>
      </c>
    </row>
    <row r="117" spans="1:32" x14ac:dyDescent="0.35">
      <c r="A117" s="2" t="s">
        <v>505</v>
      </c>
      <c r="B117" s="2" t="s">
        <v>390</v>
      </c>
      <c r="C117" s="2">
        <v>25</v>
      </c>
      <c r="D117" s="2">
        <v>3.02</v>
      </c>
      <c r="E117" s="7">
        <v>4</v>
      </c>
      <c r="F117" s="7">
        <v>3</v>
      </c>
      <c r="G117" s="7">
        <v>10</v>
      </c>
      <c r="H117" s="7">
        <v>52</v>
      </c>
      <c r="I117" s="7">
        <v>0</v>
      </c>
      <c r="J117" s="7">
        <v>0</v>
      </c>
      <c r="K117" s="7">
        <v>0</v>
      </c>
      <c r="L117" s="7">
        <v>50</v>
      </c>
      <c r="M117" s="7">
        <v>2</v>
      </c>
      <c r="N117" s="7">
        <v>45</v>
      </c>
      <c r="O117" s="7">
        <v>19</v>
      </c>
      <c r="P117" s="7">
        <v>17</v>
      </c>
      <c r="Q117" s="7">
        <v>4</v>
      </c>
      <c r="R117" s="7">
        <v>0</v>
      </c>
      <c r="S117" s="7">
        <v>26</v>
      </c>
      <c r="T117" s="7">
        <v>2</v>
      </c>
      <c r="U117" s="7">
        <v>49</v>
      </c>
      <c r="V117" s="2">
        <f t="shared" si="18"/>
        <v>31.742306061236008</v>
      </c>
      <c r="W117" s="7">
        <v>50</v>
      </c>
      <c r="X117" s="2">
        <f t="shared" si="11"/>
        <v>81.742306061236008</v>
      </c>
      <c r="Y117" s="2"/>
      <c r="Z117" s="2">
        <f t="shared" si="12"/>
        <v>223</v>
      </c>
      <c r="AA117" s="1">
        <f t="shared" si="13"/>
        <v>21.973094170403588</v>
      </c>
      <c r="AB117" s="1">
        <f t="shared" si="14"/>
        <v>11.659192825112108</v>
      </c>
      <c r="AC117" s="1">
        <f t="shared" si="15"/>
        <v>1.7937219730941705</v>
      </c>
      <c r="AD117" s="2">
        <f t="shared" si="16"/>
        <v>8.92</v>
      </c>
      <c r="AE117" s="2">
        <f t="shared" si="17"/>
        <v>10.31390134529148</v>
      </c>
      <c r="AF117" s="2">
        <f t="shared" si="19"/>
        <v>158.71153030618004</v>
      </c>
    </row>
    <row r="118" spans="1:32" x14ac:dyDescent="0.35">
      <c r="A118" s="2" t="s">
        <v>506</v>
      </c>
      <c r="B118" s="2" t="s">
        <v>390</v>
      </c>
      <c r="C118" s="2">
        <v>25</v>
      </c>
      <c r="D118" s="2">
        <v>9</v>
      </c>
      <c r="E118" s="7">
        <v>0</v>
      </c>
      <c r="F118" s="7">
        <v>0</v>
      </c>
      <c r="G118" s="7">
        <v>0</v>
      </c>
      <c r="H118" s="7">
        <v>3</v>
      </c>
      <c r="I118" s="7">
        <v>0</v>
      </c>
      <c r="J118" s="7">
        <v>0</v>
      </c>
      <c r="K118" s="7">
        <v>0</v>
      </c>
      <c r="L118" s="7">
        <v>7</v>
      </c>
      <c r="N118" s="7">
        <v>14</v>
      </c>
      <c r="O118" s="7">
        <v>7</v>
      </c>
      <c r="P118" s="7">
        <v>7</v>
      </c>
      <c r="Q118" s="7">
        <v>1</v>
      </c>
      <c r="R118" s="7">
        <v>0</v>
      </c>
      <c r="S118" s="7">
        <v>3</v>
      </c>
      <c r="T118" s="7">
        <v>0</v>
      </c>
      <c r="U118" s="7">
        <v>6</v>
      </c>
      <c r="V118" s="2">
        <f t="shared" si="18"/>
        <v>1.1548743859649122</v>
      </c>
      <c r="W118" s="7">
        <v>50</v>
      </c>
      <c r="X118" s="2">
        <f t="shared" si="11"/>
        <v>51.154874385964909</v>
      </c>
      <c r="Y118" s="2"/>
      <c r="Z118" s="2">
        <f t="shared" si="12"/>
        <v>38</v>
      </c>
      <c r="AA118" s="1">
        <f t="shared" si="13"/>
        <v>15.789473684210526</v>
      </c>
      <c r="AB118" s="1">
        <f t="shared" si="14"/>
        <v>7.8947368421052628</v>
      </c>
      <c r="AC118" s="1">
        <f t="shared" si="15"/>
        <v>2.6315789473684208</v>
      </c>
      <c r="AD118" s="2">
        <f t="shared" si="16"/>
        <v>1.52</v>
      </c>
      <c r="AE118" s="2">
        <f t="shared" si="17"/>
        <v>7.8947368421052628</v>
      </c>
      <c r="AF118" s="2">
        <f t="shared" si="19"/>
        <v>5.7743719298245608</v>
      </c>
    </row>
    <row r="119" spans="1:32" x14ac:dyDescent="0.35">
      <c r="A119" s="2" t="s">
        <v>507</v>
      </c>
      <c r="B119" s="2" t="s">
        <v>390</v>
      </c>
      <c r="C119" s="2">
        <v>25</v>
      </c>
      <c r="D119" s="2">
        <v>27</v>
      </c>
      <c r="E119" s="7">
        <v>0</v>
      </c>
      <c r="F119" s="7">
        <v>0</v>
      </c>
      <c r="G119" s="7">
        <v>0</v>
      </c>
      <c r="H119" s="7">
        <v>1</v>
      </c>
      <c r="I119" s="7">
        <v>0</v>
      </c>
      <c r="J119" s="7">
        <v>0</v>
      </c>
      <c r="K119" s="7">
        <v>0</v>
      </c>
      <c r="L119" s="7">
        <v>1</v>
      </c>
      <c r="N119" s="7">
        <v>4</v>
      </c>
      <c r="O119" s="7">
        <v>7</v>
      </c>
      <c r="P119" s="7">
        <v>3</v>
      </c>
      <c r="Q119" s="7">
        <v>0</v>
      </c>
      <c r="R119" s="7">
        <v>0</v>
      </c>
      <c r="S119" s="7">
        <v>3</v>
      </c>
      <c r="T119" s="7">
        <v>0</v>
      </c>
      <c r="U119" s="7">
        <v>1</v>
      </c>
      <c r="V119" s="2">
        <f t="shared" si="18"/>
        <v>-5.8074074074074077E-2</v>
      </c>
      <c r="W119" s="7">
        <v>50</v>
      </c>
      <c r="X119" s="2">
        <f t="shared" si="11"/>
        <v>49.941925925925929</v>
      </c>
      <c r="Y119" s="2"/>
      <c r="Z119" s="2">
        <f t="shared" si="12"/>
        <v>10</v>
      </c>
      <c r="AA119" s="1">
        <f t="shared" si="13"/>
        <v>10</v>
      </c>
      <c r="AB119" s="1">
        <f t="shared" si="14"/>
        <v>30</v>
      </c>
      <c r="AC119" s="1">
        <f t="shared" si="15"/>
        <v>0</v>
      </c>
      <c r="AD119" s="2">
        <f t="shared" si="16"/>
        <v>0.4</v>
      </c>
      <c r="AE119" s="2">
        <f t="shared" si="17"/>
        <v>-20</v>
      </c>
      <c r="AF119" s="2">
        <f t="shared" si="19"/>
        <v>-0.29037037037037039</v>
      </c>
    </row>
    <row r="120" spans="1:32" x14ac:dyDescent="0.35">
      <c r="A120" s="2" t="s">
        <v>508</v>
      </c>
      <c r="B120" s="2" t="s">
        <v>390</v>
      </c>
      <c r="C120" s="2">
        <v>25</v>
      </c>
      <c r="D120" s="2">
        <v>1.51</v>
      </c>
      <c r="E120" s="7">
        <v>0</v>
      </c>
      <c r="F120" s="7">
        <v>1</v>
      </c>
      <c r="G120" s="7">
        <v>0</v>
      </c>
      <c r="H120" s="7">
        <v>33</v>
      </c>
      <c r="I120" s="7">
        <v>0</v>
      </c>
      <c r="J120" s="7">
        <v>0</v>
      </c>
      <c r="K120" s="7">
        <v>0</v>
      </c>
      <c r="L120" s="7">
        <v>41</v>
      </c>
      <c r="M120" s="7">
        <v>2</v>
      </c>
      <c r="N120" s="7">
        <v>23</v>
      </c>
      <c r="O120" s="7">
        <v>8</v>
      </c>
      <c r="P120" s="7">
        <v>7</v>
      </c>
      <c r="Q120" s="7">
        <v>3</v>
      </c>
      <c r="R120" s="7">
        <v>4</v>
      </c>
      <c r="S120" s="7">
        <v>17</v>
      </c>
      <c r="T120" s="7">
        <v>2</v>
      </c>
      <c r="U120" s="7">
        <v>35</v>
      </c>
      <c r="V120" s="2">
        <f t="shared" si="18"/>
        <v>37.380911791214388</v>
      </c>
      <c r="W120" s="7">
        <v>50</v>
      </c>
      <c r="X120" s="2">
        <f t="shared" si="11"/>
        <v>87.380911791214388</v>
      </c>
      <c r="Y120" s="2"/>
      <c r="Z120" s="2">
        <f t="shared" si="12"/>
        <v>169</v>
      </c>
      <c r="AA120" s="1">
        <f t="shared" si="13"/>
        <v>20.710059171597635</v>
      </c>
      <c r="AB120" s="1">
        <f t="shared" si="14"/>
        <v>12.42603550295858</v>
      </c>
      <c r="AC120" s="1">
        <f t="shared" si="15"/>
        <v>1.7751479289940828</v>
      </c>
      <c r="AD120" s="2">
        <f t="shared" si="16"/>
        <v>6.76</v>
      </c>
      <c r="AE120" s="2">
        <f t="shared" si="17"/>
        <v>8.2840236686390547</v>
      </c>
      <c r="AF120" s="2">
        <f t="shared" si="19"/>
        <v>186.90455895607195</v>
      </c>
    </row>
    <row r="121" spans="1:32" x14ac:dyDescent="0.35">
      <c r="A121" s="2" t="s">
        <v>509</v>
      </c>
      <c r="B121" s="2" t="s">
        <v>390</v>
      </c>
      <c r="C121" s="2">
        <v>25</v>
      </c>
      <c r="D121" s="2">
        <v>7.27</v>
      </c>
      <c r="E121" s="7">
        <v>0</v>
      </c>
      <c r="F121" s="7">
        <v>0</v>
      </c>
      <c r="G121" s="7">
        <v>0</v>
      </c>
      <c r="H121" s="7">
        <v>8</v>
      </c>
      <c r="I121" s="7">
        <v>0</v>
      </c>
      <c r="J121" s="7">
        <v>0</v>
      </c>
      <c r="K121" s="7">
        <v>0</v>
      </c>
      <c r="L121" s="7">
        <v>8</v>
      </c>
      <c r="M121" s="7">
        <v>2</v>
      </c>
      <c r="N121" s="7">
        <v>8</v>
      </c>
      <c r="O121" s="7">
        <v>7</v>
      </c>
      <c r="P121" s="7">
        <v>7</v>
      </c>
      <c r="Q121" s="7">
        <v>1</v>
      </c>
      <c r="R121" s="7">
        <v>1</v>
      </c>
      <c r="S121" s="7">
        <v>9</v>
      </c>
      <c r="T121" s="7">
        <v>0</v>
      </c>
      <c r="U121" s="7">
        <v>7</v>
      </c>
      <c r="V121" s="2">
        <f t="shared" si="18"/>
        <v>-0.80151656871326771</v>
      </c>
      <c r="W121" s="7">
        <v>50</v>
      </c>
      <c r="X121" s="2">
        <f t="shared" si="11"/>
        <v>49.198483431286732</v>
      </c>
      <c r="Y121" s="2"/>
      <c r="Z121" s="2">
        <f t="shared" si="12"/>
        <v>44</v>
      </c>
      <c r="AA121" s="1">
        <f t="shared" si="13"/>
        <v>15.909090909090908</v>
      </c>
      <c r="AB121" s="1">
        <f t="shared" si="14"/>
        <v>22.727272727272727</v>
      </c>
      <c r="AC121" s="1">
        <f t="shared" si="15"/>
        <v>2.2727272727272729</v>
      </c>
      <c r="AD121" s="2">
        <f t="shared" si="16"/>
        <v>1.76</v>
      </c>
      <c r="AE121" s="2">
        <f t="shared" si="17"/>
        <v>-6.8181818181818183</v>
      </c>
      <c r="AF121" s="2">
        <f t="shared" si="19"/>
        <v>-4.0075828435663388</v>
      </c>
    </row>
    <row r="122" spans="1:32" x14ac:dyDescent="0.35">
      <c r="A122" s="2" t="s">
        <v>510</v>
      </c>
      <c r="B122" s="2" t="s">
        <v>390</v>
      </c>
      <c r="C122" s="2">
        <v>26</v>
      </c>
      <c r="D122" s="2">
        <v>3.19</v>
      </c>
      <c r="E122" s="7">
        <v>1</v>
      </c>
      <c r="F122" s="7">
        <v>1</v>
      </c>
      <c r="G122" s="7">
        <v>0</v>
      </c>
      <c r="H122" s="7">
        <v>37</v>
      </c>
      <c r="I122" s="7">
        <v>0</v>
      </c>
      <c r="J122" s="7">
        <v>0</v>
      </c>
      <c r="K122" s="7">
        <v>0</v>
      </c>
      <c r="L122" s="7">
        <v>42</v>
      </c>
      <c r="M122" s="7">
        <v>1</v>
      </c>
      <c r="N122" s="7">
        <v>34</v>
      </c>
      <c r="O122" s="7">
        <v>17</v>
      </c>
      <c r="P122" s="7">
        <v>15</v>
      </c>
      <c r="Q122" s="7">
        <v>6</v>
      </c>
      <c r="R122" s="7">
        <v>2</v>
      </c>
      <c r="S122" s="7">
        <v>22</v>
      </c>
      <c r="T122" s="7">
        <v>1</v>
      </c>
      <c r="U122" s="7">
        <v>50</v>
      </c>
      <c r="V122" s="2">
        <f t="shared" si="18"/>
        <v>40.072364011356058</v>
      </c>
      <c r="W122" s="7">
        <v>50</v>
      </c>
      <c r="X122" s="2">
        <f t="shared" si="11"/>
        <v>90.072364011356058</v>
      </c>
      <c r="Y122" s="2"/>
      <c r="Z122" s="2">
        <f t="shared" si="12"/>
        <v>185</v>
      </c>
      <c r="AA122" s="1">
        <f t="shared" si="13"/>
        <v>27.027027027027028</v>
      </c>
      <c r="AB122" s="1">
        <f t="shared" si="14"/>
        <v>12.972972972972974</v>
      </c>
      <c r="AC122" s="1">
        <f t="shared" si="15"/>
        <v>3.2432432432432434</v>
      </c>
      <c r="AD122" s="2">
        <f t="shared" si="16"/>
        <v>7.115384615384615</v>
      </c>
      <c r="AE122" s="2">
        <f t="shared" si="17"/>
        <v>14.054054054054054</v>
      </c>
      <c r="AF122" s="2">
        <f t="shared" si="19"/>
        <v>200.36182005678029</v>
      </c>
    </row>
    <row r="123" spans="1:32" x14ac:dyDescent="0.35">
      <c r="A123" s="2" t="s">
        <v>511</v>
      </c>
      <c r="B123" s="2" t="s">
        <v>388</v>
      </c>
      <c r="C123" s="2">
        <v>26</v>
      </c>
      <c r="D123" s="2">
        <v>2.31</v>
      </c>
      <c r="E123" s="7">
        <v>1</v>
      </c>
      <c r="F123" s="7">
        <v>1</v>
      </c>
      <c r="G123" s="7">
        <v>0</v>
      </c>
      <c r="H123" s="7">
        <v>5</v>
      </c>
      <c r="I123" s="7">
        <v>5</v>
      </c>
      <c r="J123" s="7">
        <v>0</v>
      </c>
      <c r="K123" s="7">
        <v>0</v>
      </c>
      <c r="L123" s="7">
        <v>23</v>
      </c>
      <c r="M123" s="7">
        <v>1</v>
      </c>
      <c r="N123" s="7">
        <v>16</v>
      </c>
      <c r="O123" s="7">
        <v>8</v>
      </c>
      <c r="P123" s="7">
        <v>6</v>
      </c>
      <c r="Q123" s="7">
        <v>1</v>
      </c>
      <c r="R123" s="7">
        <v>1</v>
      </c>
      <c r="S123" s="7">
        <v>10</v>
      </c>
      <c r="T123" s="7">
        <v>0</v>
      </c>
      <c r="U123" s="7">
        <v>20</v>
      </c>
      <c r="V123" s="2">
        <f t="shared" si="18"/>
        <v>8.5341211788475864</v>
      </c>
      <c r="W123" s="7">
        <v>50</v>
      </c>
      <c r="X123" s="2">
        <f t="shared" si="11"/>
        <v>58.534121178847585</v>
      </c>
      <c r="Y123" s="2"/>
      <c r="Z123" s="2">
        <f t="shared" si="12"/>
        <v>97</v>
      </c>
      <c r="AA123" s="1">
        <f t="shared" si="13"/>
        <v>20.618556701030926</v>
      </c>
      <c r="AB123" s="1">
        <f t="shared" si="14"/>
        <v>11.340206185567011</v>
      </c>
      <c r="AC123" s="1">
        <f t="shared" si="15"/>
        <v>1.0309278350515463</v>
      </c>
      <c r="AD123" s="2">
        <f t="shared" si="16"/>
        <v>3.7307692307692308</v>
      </c>
      <c r="AE123" s="2">
        <f t="shared" si="17"/>
        <v>9.2783505154639148</v>
      </c>
      <c r="AF123" s="2">
        <f t="shared" si="19"/>
        <v>42.67060589423793</v>
      </c>
    </row>
    <row r="124" spans="1:32" x14ac:dyDescent="0.35">
      <c r="A124" s="2" t="s">
        <v>512</v>
      </c>
      <c r="B124" s="2" t="s">
        <v>390</v>
      </c>
      <c r="C124" s="2">
        <v>26</v>
      </c>
      <c r="D124" s="2">
        <v>4.26</v>
      </c>
      <c r="E124" s="7">
        <v>0</v>
      </c>
      <c r="F124" s="7">
        <v>3</v>
      </c>
      <c r="G124" s="7">
        <v>1</v>
      </c>
      <c r="H124" s="7">
        <v>26</v>
      </c>
      <c r="I124" s="7">
        <v>0</v>
      </c>
      <c r="J124" s="7">
        <v>0</v>
      </c>
      <c r="K124" s="7">
        <v>0</v>
      </c>
      <c r="L124" s="7">
        <v>25</v>
      </c>
      <c r="M124" s="7">
        <v>1</v>
      </c>
      <c r="N124" s="7">
        <v>13</v>
      </c>
      <c r="O124" s="7">
        <v>12</v>
      </c>
      <c r="P124" s="7">
        <v>12</v>
      </c>
      <c r="Q124" s="7">
        <v>3</v>
      </c>
      <c r="R124" s="7">
        <v>0</v>
      </c>
      <c r="S124" s="7">
        <v>18</v>
      </c>
      <c r="T124" s="7">
        <v>0</v>
      </c>
      <c r="U124" s="7">
        <v>33</v>
      </c>
      <c r="V124" s="2">
        <f t="shared" si="18"/>
        <v>13.327137983201609</v>
      </c>
      <c r="W124" s="7">
        <v>50</v>
      </c>
      <c r="X124" s="2">
        <f t="shared" si="11"/>
        <v>63.327137983201609</v>
      </c>
      <c r="Y124" s="2"/>
      <c r="Z124" s="2">
        <f t="shared" si="12"/>
        <v>107</v>
      </c>
      <c r="AA124" s="1">
        <f t="shared" si="13"/>
        <v>30.841121495327101</v>
      </c>
      <c r="AB124" s="1">
        <f t="shared" si="14"/>
        <v>16.822429906542055</v>
      </c>
      <c r="AC124" s="1">
        <f t="shared" si="15"/>
        <v>2.8037383177570092</v>
      </c>
      <c r="AD124" s="2">
        <f t="shared" si="16"/>
        <v>4.115384615384615</v>
      </c>
      <c r="AE124" s="2">
        <f t="shared" si="17"/>
        <v>14.018691588785046</v>
      </c>
      <c r="AF124" s="2">
        <f t="shared" si="19"/>
        <v>66.635689916008047</v>
      </c>
    </row>
    <row r="125" spans="1:32" x14ac:dyDescent="0.35">
      <c r="A125" s="2" t="s">
        <v>513</v>
      </c>
      <c r="B125" s="2" t="s">
        <v>390</v>
      </c>
      <c r="C125" s="2">
        <v>26</v>
      </c>
      <c r="D125" s="2">
        <v>9</v>
      </c>
      <c r="E125" s="7">
        <v>0</v>
      </c>
      <c r="F125" s="7">
        <v>0</v>
      </c>
      <c r="G125" s="7">
        <v>0</v>
      </c>
      <c r="H125" s="7">
        <v>1</v>
      </c>
      <c r="I125" s="7">
        <v>0</v>
      </c>
      <c r="J125" s="7">
        <v>0</v>
      </c>
      <c r="K125" s="7">
        <v>0</v>
      </c>
      <c r="L125" s="7">
        <v>3</v>
      </c>
      <c r="N125" s="7">
        <v>4</v>
      </c>
      <c r="O125" s="7">
        <v>3</v>
      </c>
      <c r="P125" s="7">
        <v>3</v>
      </c>
      <c r="Q125" s="7">
        <v>1</v>
      </c>
      <c r="R125" s="7">
        <v>1</v>
      </c>
      <c r="S125" s="7">
        <v>2</v>
      </c>
      <c r="T125" s="7">
        <v>0</v>
      </c>
      <c r="U125" s="7">
        <v>1</v>
      </c>
      <c r="V125" s="2">
        <f t="shared" si="18"/>
        <v>-1.1783037475345168</v>
      </c>
      <c r="W125" s="7">
        <v>50</v>
      </c>
      <c r="X125" s="2">
        <f t="shared" si="11"/>
        <v>48.821696252465486</v>
      </c>
      <c r="Y125" s="2"/>
      <c r="Z125" s="2">
        <f t="shared" si="12"/>
        <v>16</v>
      </c>
      <c r="AA125" s="1">
        <f t="shared" si="13"/>
        <v>6.25</v>
      </c>
      <c r="AB125" s="1">
        <f t="shared" si="14"/>
        <v>18.75</v>
      </c>
      <c r="AC125" s="1">
        <f t="shared" si="15"/>
        <v>6.25</v>
      </c>
      <c r="AD125" s="2">
        <f t="shared" si="16"/>
        <v>0.61538461538461542</v>
      </c>
      <c r="AE125" s="2">
        <f t="shared" si="17"/>
        <v>-12.5</v>
      </c>
      <c r="AF125" s="2">
        <f t="shared" si="19"/>
        <v>-5.8915187376725839</v>
      </c>
    </row>
    <row r="126" spans="1:32" x14ac:dyDescent="0.35">
      <c r="A126" s="2" t="s">
        <v>514</v>
      </c>
      <c r="B126" s="2" t="s">
        <v>388</v>
      </c>
      <c r="C126" s="2">
        <v>26</v>
      </c>
      <c r="D126" s="2">
        <v>4.25</v>
      </c>
      <c r="E126" s="7">
        <v>3</v>
      </c>
      <c r="F126" s="7">
        <v>1</v>
      </c>
      <c r="G126" s="7">
        <v>0</v>
      </c>
      <c r="H126" s="7">
        <v>10</v>
      </c>
      <c r="I126" s="7">
        <v>10</v>
      </c>
      <c r="J126" s="7">
        <v>0</v>
      </c>
      <c r="K126" s="7">
        <v>0</v>
      </c>
      <c r="L126" s="7">
        <v>48</v>
      </c>
      <c r="M126" s="7">
        <v>2</v>
      </c>
      <c r="N126" s="7">
        <v>57</v>
      </c>
      <c r="O126" s="7">
        <v>28</v>
      </c>
      <c r="P126" s="7">
        <v>23</v>
      </c>
      <c r="Q126" s="7">
        <v>7</v>
      </c>
      <c r="R126" s="7">
        <v>4</v>
      </c>
      <c r="S126" s="7">
        <v>15</v>
      </c>
      <c r="T126" s="7">
        <v>0</v>
      </c>
      <c r="U126" s="7">
        <v>40</v>
      </c>
      <c r="V126" s="2">
        <f t="shared" si="18"/>
        <v>30.034539656259113</v>
      </c>
      <c r="W126" s="7">
        <v>50</v>
      </c>
      <c r="X126" s="2">
        <f t="shared" si="11"/>
        <v>80.034539656259113</v>
      </c>
      <c r="Y126" s="2"/>
      <c r="Z126" s="2">
        <f t="shared" si="12"/>
        <v>222</v>
      </c>
      <c r="AA126" s="1">
        <f t="shared" si="13"/>
        <v>18.018018018018019</v>
      </c>
      <c r="AB126" s="1">
        <f t="shared" si="14"/>
        <v>8.5585585585585591</v>
      </c>
      <c r="AC126" s="1">
        <f t="shared" si="15"/>
        <v>3.1531531531531529</v>
      </c>
      <c r="AD126" s="2">
        <f t="shared" si="16"/>
        <v>8.5384615384615383</v>
      </c>
      <c r="AE126" s="2">
        <f t="shared" si="17"/>
        <v>9.4594594594594597</v>
      </c>
      <c r="AF126" s="2">
        <f t="shared" si="19"/>
        <v>150.17269828129557</v>
      </c>
    </row>
    <row r="127" spans="1:32" x14ac:dyDescent="0.35">
      <c r="A127" s="2" t="s">
        <v>515</v>
      </c>
      <c r="B127" s="2" t="s">
        <v>390</v>
      </c>
      <c r="C127" s="2">
        <v>26</v>
      </c>
      <c r="D127" s="2">
        <v>4.91</v>
      </c>
      <c r="E127" s="7">
        <v>0</v>
      </c>
      <c r="F127" s="7">
        <v>0</v>
      </c>
      <c r="G127" s="7">
        <v>0</v>
      </c>
      <c r="H127" s="7">
        <v>2</v>
      </c>
      <c r="I127" s="7">
        <v>0</v>
      </c>
      <c r="J127" s="7">
        <v>0</v>
      </c>
      <c r="K127" s="7">
        <v>0</v>
      </c>
      <c r="L127" s="7">
        <v>3</v>
      </c>
      <c r="M127" s="7">
        <v>2</v>
      </c>
      <c r="N127" s="7">
        <v>4</v>
      </c>
      <c r="O127" s="7">
        <v>2</v>
      </c>
      <c r="P127" s="7">
        <v>2</v>
      </c>
      <c r="Q127" s="7">
        <v>0</v>
      </c>
      <c r="R127" s="7">
        <v>0</v>
      </c>
      <c r="S127" s="7">
        <v>3</v>
      </c>
      <c r="T127" s="7">
        <v>0</v>
      </c>
      <c r="U127" s="7">
        <v>5</v>
      </c>
      <c r="V127" s="2">
        <f t="shared" si="18"/>
        <v>0.3328553007387412</v>
      </c>
      <c r="W127" s="7">
        <v>50</v>
      </c>
      <c r="X127" s="2">
        <f t="shared" si="11"/>
        <v>50.332855300738743</v>
      </c>
      <c r="Y127" s="2"/>
      <c r="Z127" s="2">
        <f t="shared" si="12"/>
        <v>18</v>
      </c>
      <c r="AA127" s="1">
        <f t="shared" si="13"/>
        <v>27.777777777777779</v>
      </c>
      <c r="AB127" s="1">
        <f t="shared" si="14"/>
        <v>16.666666666666664</v>
      </c>
      <c r="AC127" s="1">
        <f t="shared" si="15"/>
        <v>0</v>
      </c>
      <c r="AD127" s="2">
        <f t="shared" si="16"/>
        <v>0.69230769230769229</v>
      </c>
      <c r="AE127" s="2">
        <f t="shared" si="17"/>
        <v>11.111111111111114</v>
      </c>
      <c r="AF127" s="2">
        <f t="shared" si="19"/>
        <v>1.6642765036937059</v>
      </c>
    </row>
    <row r="128" spans="1:32" x14ac:dyDescent="0.35">
      <c r="A128" s="2" t="s">
        <v>516</v>
      </c>
      <c r="B128" s="2" t="s">
        <v>390</v>
      </c>
      <c r="C128" s="2">
        <v>26</v>
      </c>
      <c r="D128" s="2">
        <v>3.74</v>
      </c>
      <c r="E128" s="7">
        <v>3</v>
      </c>
      <c r="F128" s="7">
        <v>1</v>
      </c>
      <c r="G128" s="7">
        <v>0</v>
      </c>
      <c r="H128" s="7">
        <v>47</v>
      </c>
      <c r="I128" s="7">
        <v>0</v>
      </c>
      <c r="J128" s="7">
        <v>0</v>
      </c>
      <c r="K128" s="7">
        <v>0</v>
      </c>
      <c r="L128" s="7">
        <v>45</v>
      </c>
      <c r="M128" s="7">
        <v>2</v>
      </c>
      <c r="N128" s="7">
        <v>36</v>
      </c>
      <c r="O128" s="7">
        <v>20</v>
      </c>
      <c r="P128" s="7">
        <v>19</v>
      </c>
      <c r="Q128" s="7">
        <v>5</v>
      </c>
      <c r="R128" s="7">
        <v>1</v>
      </c>
      <c r="S128" s="7">
        <v>18</v>
      </c>
      <c r="T128" s="7">
        <v>1</v>
      </c>
      <c r="U128" s="7">
        <v>38</v>
      </c>
      <c r="V128" s="2">
        <f t="shared" si="18"/>
        <v>24.594961976183694</v>
      </c>
      <c r="W128" s="7">
        <v>50</v>
      </c>
      <c r="X128" s="2">
        <f t="shared" si="11"/>
        <v>74.594961976183697</v>
      </c>
      <c r="Y128" s="2"/>
      <c r="Z128" s="2">
        <f t="shared" si="12"/>
        <v>192</v>
      </c>
      <c r="AA128" s="1">
        <f t="shared" si="13"/>
        <v>19.791666666666664</v>
      </c>
      <c r="AB128" s="1">
        <f t="shared" si="14"/>
        <v>9.8958333333333321</v>
      </c>
      <c r="AC128" s="1">
        <f t="shared" si="15"/>
        <v>2.604166666666667</v>
      </c>
      <c r="AD128" s="2">
        <f t="shared" si="16"/>
        <v>7.384615384615385</v>
      </c>
      <c r="AE128" s="2">
        <f t="shared" si="17"/>
        <v>9.8958333333333321</v>
      </c>
      <c r="AF128" s="2">
        <f t="shared" si="19"/>
        <v>122.97480988091847</v>
      </c>
    </row>
    <row r="129" spans="1:32" x14ac:dyDescent="0.35">
      <c r="A129" s="2" t="s">
        <v>517</v>
      </c>
      <c r="B129" s="2" t="s">
        <v>390</v>
      </c>
      <c r="C129" s="2">
        <v>26</v>
      </c>
      <c r="D129" s="2">
        <v>6</v>
      </c>
      <c r="E129" s="7">
        <v>0</v>
      </c>
      <c r="F129" s="7">
        <v>1</v>
      </c>
      <c r="G129" s="7">
        <v>0</v>
      </c>
      <c r="H129" s="7">
        <v>3</v>
      </c>
      <c r="I129" s="7">
        <v>0</v>
      </c>
      <c r="J129" s="7">
        <v>0</v>
      </c>
      <c r="K129" s="7">
        <v>0</v>
      </c>
      <c r="L129" s="7">
        <v>3</v>
      </c>
      <c r="N129" s="7">
        <v>4</v>
      </c>
      <c r="O129" s="7">
        <v>4</v>
      </c>
      <c r="P129" s="7">
        <v>2</v>
      </c>
      <c r="Q129" s="7">
        <v>0</v>
      </c>
      <c r="R129" s="7">
        <v>0</v>
      </c>
      <c r="S129" s="7">
        <v>3</v>
      </c>
      <c r="T129" s="7">
        <v>0</v>
      </c>
      <c r="U129" s="7">
        <v>1</v>
      </c>
      <c r="V129" s="2">
        <f t="shared" si="18"/>
        <v>-0.24378698224852072</v>
      </c>
      <c r="W129" s="7">
        <v>50</v>
      </c>
      <c r="X129" s="2">
        <f t="shared" si="11"/>
        <v>49.756213017751477</v>
      </c>
      <c r="Y129" s="2"/>
      <c r="Z129" s="2">
        <f t="shared" si="12"/>
        <v>16</v>
      </c>
      <c r="AA129" s="1">
        <f t="shared" si="13"/>
        <v>6.25</v>
      </c>
      <c r="AB129" s="1">
        <f t="shared" si="14"/>
        <v>18.75</v>
      </c>
      <c r="AC129" s="1">
        <f t="shared" si="15"/>
        <v>0</v>
      </c>
      <c r="AD129" s="2">
        <f t="shared" si="16"/>
        <v>0.61538461538461542</v>
      </c>
      <c r="AE129" s="2">
        <f t="shared" si="17"/>
        <v>-12.5</v>
      </c>
      <c r="AF129" s="2">
        <f t="shared" si="19"/>
        <v>-1.2189349112426036</v>
      </c>
    </row>
    <row r="130" spans="1:32" x14ac:dyDescent="0.35">
      <c r="A130" s="2" t="s">
        <v>518</v>
      </c>
      <c r="B130" s="2" t="s">
        <v>390</v>
      </c>
      <c r="C130" s="2">
        <v>26</v>
      </c>
      <c r="D130" s="2">
        <v>2.95</v>
      </c>
      <c r="E130" s="7">
        <v>3</v>
      </c>
      <c r="F130" s="7">
        <v>2</v>
      </c>
      <c r="G130" s="7">
        <v>4</v>
      </c>
      <c r="H130" s="7">
        <v>67</v>
      </c>
      <c r="I130" s="7">
        <v>5</v>
      </c>
      <c r="J130" s="7">
        <v>0</v>
      </c>
      <c r="K130" s="7">
        <v>0</v>
      </c>
      <c r="L130" s="7">
        <v>76</v>
      </c>
      <c r="M130" s="7">
        <v>1</v>
      </c>
      <c r="N130" s="7">
        <v>56</v>
      </c>
      <c r="O130" s="7">
        <v>26</v>
      </c>
      <c r="P130" s="7">
        <v>25</v>
      </c>
      <c r="Q130" s="7">
        <v>4</v>
      </c>
      <c r="R130" s="7">
        <v>0</v>
      </c>
      <c r="S130" s="7">
        <v>24</v>
      </c>
      <c r="T130" s="7">
        <v>5</v>
      </c>
      <c r="U130" s="7">
        <v>74</v>
      </c>
      <c r="V130" s="2">
        <f t="shared" si="18"/>
        <v>51.887051413500458</v>
      </c>
      <c r="W130" s="7">
        <v>50</v>
      </c>
      <c r="X130" s="2">
        <f t="shared" si="11"/>
        <v>101.88705141350046</v>
      </c>
      <c r="Y130" s="2"/>
      <c r="Z130" s="2">
        <f t="shared" si="12"/>
        <v>309</v>
      </c>
      <c r="AA130" s="1">
        <f t="shared" si="13"/>
        <v>23.948220064724918</v>
      </c>
      <c r="AB130" s="1">
        <f t="shared" si="14"/>
        <v>7.7669902912621351</v>
      </c>
      <c r="AC130" s="1">
        <f t="shared" si="15"/>
        <v>1.2944983818770228</v>
      </c>
      <c r="AD130" s="2">
        <f t="shared" si="16"/>
        <v>11.884615384615385</v>
      </c>
      <c r="AE130" s="2">
        <f t="shared" si="17"/>
        <v>16.181229773462782</v>
      </c>
      <c r="AF130" s="2">
        <f t="shared" si="19"/>
        <v>259.43525706750228</v>
      </c>
    </row>
    <row r="131" spans="1:32" x14ac:dyDescent="0.35">
      <c r="A131" s="2" t="s">
        <v>519</v>
      </c>
      <c r="B131" s="2" t="s">
        <v>390</v>
      </c>
      <c r="C131" s="2">
        <v>26</v>
      </c>
      <c r="D131" s="2">
        <v>4.91</v>
      </c>
      <c r="E131" s="7">
        <v>0</v>
      </c>
      <c r="F131" s="7">
        <v>1</v>
      </c>
      <c r="G131" s="7">
        <v>0</v>
      </c>
      <c r="H131" s="7">
        <v>8</v>
      </c>
      <c r="I131" s="7">
        <v>0</v>
      </c>
      <c r="J131" s="7">
        <v>0</v>
      </c>
      <c r="K131" s="7">
        <v>0</v>
      </c>
      <c r="L131" s="7">
        <v>18</v>
      </c>
      <c r="M131" s="7">
        <v>1</v>
      </c>
      <c r="N131" s="7">
        <v>15</v>
      </c>
      <c r="O131" s="7">
        <v>10</v>
      </c>
      <c r="P131" s="7">
        <v>10</v>
      </c>
      <c r="Q131" s="7">
        <v>3</v>
      </c>
      <c r="R131" s="7">
        <v>1</v>
      </c>
      <c r="S131" s="7">
        <v>9</v>
      </c>
      <c r="T131" s="7">
        <v>1</v>
      </c>
      <c r="U131" s="7">
        <v>15</v>
      </c>
      <c r="V131" s="2">
        <f t="shared" si="18"/>
        <v>5.5526096964292178</v>
      </c>
      <c r="W131" s="7">
        <v>50</v>
      </c>
      <c r="X131" s="2">
        <f t="shared" ref="X131:X194" si="20">V131+W131</f>
        <v>55.552609696429215</v>
      </c>
      <c r="Y131" s="2"/>
      <c r="Z131" s="2">
        <f t="shared" ref="Z131:Z194" si="21">((L131*3)+M131)+(R131+S131)+N131</f>
        <v>80</v>
      </c>
      <c r="AA131" s="1">
        <f t="shared" ref="AA131:AA194" si="22">(U131/Z131)*100</f>
        <v>18.75</v>
      </c>
      <c r="AB131" s="1">
        <f t="shared" ref="AB131:AB194" si="23">((R131+S131)/Z131)*100</f>
        <v>12.5</v>
      </c>
      <c r="AC131" s="1">
        <f t="shared" ref="AC131:AC194" si="24">(Q131/Z131)*100</f>
        <v>3.75</v>
      </c>
      <c r="AD131" s="2">
        <f t="shared" ref="AD131:AD194" si="25">(Z131/C131)</f>
        <v>3.0769230769230771</v>
      </c>
      <c r="AE131" s="2">
        <f t="shared" ref="AE131:AE194" si="26">AA131-AB131</f>
        <v>6.25</v>
      </c>
      <c r="AF131" s="2">
        <f t="shared" si="19"/>
        <v>27.76304848214609</v>
      </c>
    </row>
    <row r="132" spans="1:32" x14ac:dyDescent="0.35">
      <c r="A132" s="2" t="s">
        <v>520</v>
      </c>
      <c r="B132" s="2" t="s">
        <v>390</v>
      </c>
      <c r="C132" s="2">
        <v>26</v>
      </c>
      <c r="D132" s="2">
        <v>8.59</v>
      </c>
      <c r="E132" s="7">
        <v>0</v>
      </c>
      <c r="F132" s="7">
        <v>0</v>
      </c>
      <c r="G132" s="7">
        <v>0</v>
      </c>
      <c r="H132" s="7">
        <v>2</v>
      </c>
      <c r="I132" s="7">
        <v>0</v>
      </c>
      <c r="J132" s="7">
        <v>0</v>
      </c>
      <c r="K132" s="7">
        <v>0</v>
      </c>
      <c r="L132" s="7">
        <v>7</v>
      </c>
      <c r="M132" s="7">
        <v>1</v>
      </c>
      <c r="N132" s="7">
        <v>10</v>
      </c>
      <c r="O132" s="7">
        <v>7</v>
      </c>
      <c r="P132" s="7">
        <v>7</v>
      </c>
      <c r="Q132" s="7">
        <v>2</v>
      </c>
      <c r="R132" s="7">
        <v>2</v>
      </c>
      <c r="S132" s="7">
        <v>1</v>
      </c>
      <c r="T132" s="7">
        <v>0</v>
      </c>
      <c r="U132" s="7">
        <v>10</v>
      </c>
      <c r="V132" s="2">
        <f t="shared" si="18"/>
        <v>4.4921161940056908</v>
      </c>
      <c r="W132" s="7">
        <v>50</v>
      </c>
      <c r="X132" s="2">
        <f t="shared" si="20"/>
        <v>54.492116194005689</v>
      </c>
      <c r="Y132" s="2"/>
      <c r="Z132" s="2">
        <f t="shared" si="21"/>
        <v>35</v>
      </c>
      <c r="AA132" s="1">
        <f t="shared" si="22"/>
        <v>28.571428571428569</v>
      </c>
      <c r="AB132" s="1">
        <f t="shared" si="23"/>
        <v>8.5714285714285712</v>
      </c>
      <c r="AC132" s="1">
        <f t="shared" si="24"/>
        <v>5.7142857142857144</v>
      </c>
      <c r="AD132" s="2">
        <f t="shared" si="25"/>
        <v>1.3461538461538463</v>
      </c>
      <c r="AE132" s="2">
        <f t="shared" si="26"/>
        <v>20</v>
      </c>
      <c r="AF132" s="2">
        <f t="shared" si="19"/>
        <v>22.460580970028452</v>
      </c>
    </row>
    <row r="133" spans="1:32" x14ac:dyDescent="0.35">
      <c r="A133" s="2" t="s">
        <v>521</v>
      </c>
      <c r="B133" s="2" t="s">
        <v>388</v>
      </c>
      <c r="C133" s="2">
        <v>26</v>
      </c>
      <c r="D133" s="2">
        <v>3.18</v>
      </c>
      <c r="E133" s="7">
        <v>0</v>
      </c>
      <c r="F133" s="7">
        <v>2</v>
      </c>
      <c r="G133" s="7">
        <v>0</v>
      </c>
      <c r="H133" s="7">
        <v>2</v>
      </c>
      <c r="I133" s="7">
        <v>2</v>
      </c>
      <c r="J133" s="7">
        <v>0</v>
      </c>
      <c r="K133" s="7">
        <v>0</v>
      </c>
      <c r="L133" s="7">
        <v>5</v>
      </c>
      <c r="M133" s="7">
        <v>2</v>
      </c>
      <c r="N133" s="7">
        <v>5</v>
      </c>
      <c r="O133" s="7">
        <v>6</v>
      </c>
      <c r="P133" s="7">
        <v>2</v>
      </c>
      <c r="Q133" s="7">
        <v>1</v>
      </c>
      <c r="R133" s="7">
        <v>2</v>
      </c>
      <c r="S133" s="7">
        <v>4</v>
      </c>
      <c r="T133" s="7">
        <v>0</v>
      </c>
      <c r="U133" s="7">
        <v>5</v>
      </c>
      <c r="V133" s="2">
        <f t="shared" si="18"/>
        <v>-0.77236744870997343</v>
      </c>
      <c r="W133" s="7">
        <v>50</v>
      </c>
      <c r="X133" s="2">
        <f t="shared" si="20"/>
        <v>49.227632551290029</v>
      </c>
      <c r="Y133" s="2"/>
      <c r="Z133" s="2">
        <f t="shared" si="21"/>
        <v>28</v>
      </c>
      <c r="AA133" s="1">
        <f t="shared" si="22"/>
        <v>17.857142857142858</v>
      </c>
      <c r="AB133" s="1">
        <f t="shared" si="23"/>
        <v>21.428571428571427</v>
      </c>
      <c r="AC133" s="1">
        <f t="shared" si="24"/>
        <v>3.5714285714285712</v>
      </c>
      <c r="AD133" s="2">
        <f t="shared" si="25"/>
        <v>1.0769230769230769</v>
      </c>
      <c r="AE133" s="2">
        <f t="shared" si="26"/>
        <v>-3.5714285714285694</v>
      </c>
      <c r="AF133" s="2">
        <f t="shared" si="19"/>
        <v>-3.8618372435498673</v>
      </c>
    </row>
    <row r="134" spans="1:32" x14ac:dyDescent="0.35">
      <c r="A134" s="2" t="s">
        <v>522</v>
      </c>
      <c r="B134" s="2" t="s">
        <v>388</v>
      </c>
      <c r="C134" s="2">
        <v>26</v>
      </c>
      <c r="D134" s="2">
        <v>5.34</v>
      </c>
      <c r="E134" s="7">
        <v>6</v>
      </c>
      <c r="F134" s="7">
        <v>4</v>
      </c>
      <c r="G134" s="7">
        <v>1</v>
      </c>
      <c r="H134" s="7">
        <v>20</v>
      </c>
      <c r="I134" s="7">
        <v>14</v>
      </c>
      <c r="J134" s="7">
        <v>0</v>
      </c>
      <c r="K134" s="7">
        <v>0</v>
      </c>
      <c r="L134" s="7">
        <v>86</v>
      </c>
      <c r="N134" s="7">
        <v>103</v>
      </c>
      <c r="O134" s="7">
        <v>54</v>
      </c>
      <c r="P134" s="7">
        <v>51</v>
      </c>
      <c r="Q134" s="7">
        <v>21</v>
      </c>
      <c r="R134" s="7">
        <v>2</v>
      </c>
      <c r="S134" s="7">
        <v>19</v>
      </c>
      <c r="T134" s="7">
        <v>2</v>
      </c>
      <c r="U134" s="7">
        <v>72</v>
      </c>
      <c r="V134" s="2">
        <f t="shared" si="18"/>
        <v>100.26355071588502</v>
      </c>
      <c r="W134" s="7">
        <v>50</v>
      </c>
      <c r="X134" s="2">
        <f t="shared" si="20"/>
        <v>150.263550715885</v>
      </c>
      <c r="Y134" s="2"/>
      <c r="Z134" s="2">
        <f t="shared" si="21"/>
        <v>382</v>
      </c>
      <c r="AA134" s="1">
        <f t="shared" si="22"/>
        <v>18.848167539267017</v>
      </c>
      <c r="AB134" s="1">
        <f t="shared" si="23"/>
        <v>5.4973821989528799</v>
      </c>
      <c r="AC134" s="1">
        <f t="shared" si="24"/>
        <v>5.4973821989528799</v>
      </c>
      <c r="AD134" s="2">
        <f t="shared" si="25"/>
        <v>14.692307692307692</v>
      </c>
      <c r="AE134" s="2">
        <f t="shared" si="26"/>
        <v>13.350785340314136</v>
      </c>
      <c r="AF134" s="2">
        <f t="shared" si="19"/>
        <v>501.31775357942507</v>
      </c>
    </row>
    <row r="135" spans="1:32" x14ac:dyDescent="0.35">
      <c r="A135" s="2" t="s">
        <v>523</v>
      </c>
      <c r="B135" s="2" t="s">
        <v>388</v>
      </c>
      <c r="C135" s="2">
        <v>26</v>
      </c>
      <c r="D135" s="2">
        <v>5.67</v>
      </c>
      <c r="E135" s="7">
        <v>7</v>
      </c>
      <c r="F135" s="7">
        <v>7</v>
      </c>
      <c r="G135" s="7">
        <v>0</v>
      </c>
      <c r="H135" s="7">
        <v>27</v>
      </c>
      <c r="I135" s="7">
        <v>17</v>
      </c>
      <c r="J135" s="7">
        <v>0</v>
      </c>
      <c r="K135" s="7">
        <v>0</v>
      </c>
      <c r="L135" s="7">
        <v>101</v>
      </c>
      <c r="M135" s="7">
        <v>2</v>
      </c>
      <c r="N135" s="7">
        <v>114</v>
      </c>
      <c r="O135" s="7">
        <v>67</v>
      </c>
      <c r="P135" s="7">
        <v>64</v>
      </c>
      <c r="Q135" s="7">
        <v>17</v>
      </c>
      <c r="R135" s="7">
        <v>5</v>
      </c>
      <c r="S135" s="7">
        <v>36</v>
      </c>
      <c r="T135" s="7">
        <v>0</v>
      </c>
      <c r="U135" s="7">
        <v>97</v>
      </c>
      <c r="V135" s="2">
        <f t="shared" si="18"/>
        <v>87.52006076420794</v>
      </c>
      <c r="W135" s="7">
        <v>50</v>
      </c>
      <c r="X135" s="2">
        <f t="shared" si="20"/>
        <v>137.52006076420793</v>
      </c>
      <c r="Y135" s="2"/>
      <c r="Z135" s="2">
        <f t="shared" si="21"/>
        <v>460</v>
      </c>
      <c r="AA135" s="1">
        <f t="shared" si="22"/>
        <v>21.086956521739133</v>
      </c>
      <c r="AB135" s="1">
        <f t="shared" si="23"/>
        <v>8.9130434782608692</v>
      </c>
      <c r="AC135" s="1">
        <f t="shared" si="24"/>
        <v>3.6956521739130435</v>
      </c>
      <c r="AD135" s="2">
        <f t="shared" si="25"/>
        <v>17.692307692307693</v>
      </c>
      <c r="AE135" s="2">
        <f t="shared" si="26"/>
        <v>12.173913043478263</v>
      </c>
      <c r="AF135" s="2">
        <f t="shared" si="19"/>
        <v>437.60030382103969</v>
      </c>
    </row>
    <row r="136" spans="1:32" x14ac:dyDescent="0.35">
      <c r="A136" s="2" t="s">
        <v>524</v>
      </c>
      <c r="B136" s="2" t="s">
        <v>390</v>
      </c>
      <c r="C136" s="2">
        <v>26</v>
      </c>
      <c r="D136" s="2">
        <v>0</v>
      </c>
      <c r="E136" s="7">
        <v>0</v>
      </c>
      <c r="F136" s="7">
        <v>0</v>
      </c>
      <c r="G136" s="7">
        <v>0</v>
      </c>
      <c r="H136" s="7">
        <v>1</v>
      </c>
      <c r="I136" s="7">
        <v>0</v>
      </c>
      <c r="J136" s="7">
        <v>0</v>
      </c>
      <c r="K136" s="7">
        <v>0</v>
      </c>
      <c r="L136" s="7">
        <v>1</v>
      </c>
      <c r="N136" s="7">
        <v>3</v>
      </c>
      <c r="O136" s="7">
        <v>0</v>
      </c>
      <c r="P136" s="7">
        <v>0</v>
      </c>
      <c r="Q136" s="7">
        <v>0</v>
      </c>
      <c r="R136" s="7">
        <v>1</v>
      </c>
      <c r="S136" s="7">
        <v>0</v>
      </c>
      <c r="T136" s="7">
        <v>0</v>
      </c>
      <c r="U136" s="7">
        <v>0</v>
      </c>
      <c r="V136" s="2" t="e">
        <f t="shared" ref="V136:V199" si="27">(AF136*2)/10</f>
        <v>#DIV/0!</v>
      </c>
      <c r="W136" s="7">
        <v>50</v>
      </c>
      <c r="X136" s="2" t="e">
        <f t="shared" si="20"/>
        <v>#DIV/0!</v>
      </c>
      <c r="Y136" s="2"/>
      <c r="Z136" s="2">
        <f t="shared" si="21"/>
        <v>7</v>
      </c>
      <c r="AA136" s="1">
        <f t="shared" si="22"/>
        <v>0</v>
      </c>
      <c r="AB136" s="1">
        <f t="shared" si="23"/>
        <v>14.285714285714285</v>
      </c>
      <c r="AC136" s="1">
        <f t="shared" si="24"/>
        <v>0</v>
      </c>
      <c r="AD136" s="2">
        <f t="shared" si="25"/>
        <v>0.26923076923076922</v>
      </c>
      <c r="AE136" s="2">
        <f t="shared" si="26"/>
        <v>-14.285714285714285</v>
      </c>
      <c r="AF136" s="2" t="e">
        <f t="shared" si="19"/>
        <v>#DIV/0!</v>
      </c>
    </row>
    <row r="137" spans="1:32" x14ac:dyDescent="0.35">
      <c r="A137" s="2" t="s">
        <v>525</v>
      </c>
      <c r="B137" s="2" t="s">
        <v>390</v>
      </c>
      <c r="C137" s="2">
        <v>26</v>
      </c>
      <c r="D137" s="2">
        <v>3.38</v>
      </c>
      <c r="E137" s="7">
        <v>0</v>
      </c>
      <c r="F137" s="7">
        <v>0</v>
      </c>
      <c r="G137" s="7">
        <v>0</v>
      </c>
      <c r="H137" s="7">
        <v>3</v>
      </c>
      <c r="I137" s="7">
        <v>0</v>
      </c>
      <c r="J137" s="7">
        <v>0</v>
      </c>
      <c r="K137" s="7">
        <v>0</v>
      </c>
      <c r="L137" s="7">
        <v>2</v>
      </c>
      <c r="M137" s="7">
        <v>2</v>
      </c>
      <c r="N137" s="7">
        <v>3</v>
      </c>
      <c r="O137" s="7">
        <v>1</v>
      </c>
      <c r="P137" s="7">
        <v>1</v>
      </c>
      <c r="Q137" s="7">
        <v>0</v>
      </c>
      <c r="R137" s="7">
        <v>0</v>
      </c>
      <c r="S137" s="7">
        <v>2</v>
      </c>
      <c r="T137" s="7">
        <v>0</v>
      </c>
      <c r="U137" s="7">
        <v>0</v>
      </c>
      <c r="V137" s="2">
        <f t="shared" si="27"/>
        <v>-0.44037323623122437</v>
      </c>
      <c r="W137" s="7">
        <v>50</v>
      </c>
      <c r="X137" s="2">
        <f t="shared" si="20"/>
        <v>49.559626763768776</v>
      </c>
      <c r="Y137" s="2"/>
      <c r="Z137" s="2">
        <f t="shared" si="21"/>
        <v>13</v>
      </c>
      <c r="AA137" s="1">
        <f t="shared" si="22"/>
        <v>0</v>
      </c>
      <c r="AB137" s="1">
        <f t="shared" si="23"/>
        <v>15.384615384615385</v>
      </c>
      <c r="AC137" s="1">
        <f t="shared" si="24"/>
        <v>0</v>
      </c>
      <c r="AD137" s="2">
        <f t="shared" si="25"/>
        <v>0.5</v>
      </c>
      <c r="AE137" s="2">
        <f t="shared" si="26"/>
        <v>-15.384615384615385</v>
      </c>
      <c r="AF137" s="2">
        <f t="shared" si="19"/>
        <v>-2.201866181156122</v>
      </c>
    </row>
    <row r="138" spans="1:32" x14ac:dyDescent="0.35">
      <c r="A138" s="2" t="s">
        <v>526</v>
      </c>
      <c r="B138" s="2" t="s">
        <v>390</v>
      </c>
      <c r="C138" s="2">
        <v>26</v>
      </c>
      <c r="D138" s="2">
        <v>4.26</v>
      </c>
      <c r="E138" s="7">
        <v>1</v>
      </c>
      <c r="F138" s="7">
        <v>1</v>
      </c>
      <c r="G138" s="7">
        <v>0</v>
      </c>
      <c r="H138" s="7">
        <v>10</v>
      </c>
      <c r="I138" s="7">
        <v>0</v>
      </c>
      <c r="J138" s="7">
        <v>0</v>
      </c>
      <c r="K138" s="7">
        <v>0</v>
      </c>
      <c r="L138" s="7">
        <v>12</v>
      </c>
      <c r="M138" s="7">
        <v>2</v>
      </c>
      <c r="N138" s="7">
        <v>11</v>
      </c>
      <c r="O138" s="7">
        <v>8</v>
      </c>
      <c r="P138" s="7">
        <v>6</v>
      </c>
      <c r="Q138" s="7">
        <v>3</v>
      </c>
      <c r="R138" s="7">
        <v>0</v>
      </c>
      <c r="S138" s="7">
        <v>4</v>
      </c>
      <c r="T138" s="7">
        <v>0</v>
      </c>
      <c r="U138" s="7">
        <v>17</v>
      </c>
      <c r="V138" s="2">
        <f t="shared" si="27"/>
        <v>16.934033024764641</v>
      </c>
      <c r="W138" s="7">
        <v>50</v>
      </c>
      <c r="X138" s="2">
        <f t="shared" si="20"/>
        <v>66.934033024764645</v>
      </c>
      <c r="Y138" s="2"/>
      <c r="Z138" s="2">
        <f t="shared" si="21"/>
        <v>53</v>
      </c>
      <c r="AA138" s="1">
        <f t="shared" si="22"/>
        <v>32.075471698113205</v>
      </c>
      <c r="AB138" s="1">
        <f t="shared" si="23"/>
        <v>7.5471698113207548</v>
      </c>
      <c r="AC138" s="1">
        <f t="shared" si="24"/>
        <v>5.6603773584905666</v>
      </c>
      <c r="AD138" s="2">
        <f t="shared" si="25"/>
        <v>2.0384615384615383</v>
      </c>
      <c r="AE138" s="2">
        <f t="shared" si="26"/>
        <v>24.528301886792448</v>
      </c>
      <c r="AF138" s="2">
        <f t="shared" si="19"/>
        <v>84.67016512382321</v>
      </c>
    </row>
    <row r="139" spans="1:32" x14ac:dyDescent="0.35">
      <c r="A139" s="2" t="s">
        <v>527</v>
      </c>
      <c r="B139" s="2" t="s">
        <v>390</v>
      </c>
      <c r="C139" s="2">
        <v>26</v>
      </c>
      <c r="D139" s="2">
        <v>4.79</v>
      </c>
      <c r="E139" s="7">
        <v>1</v>
      </c>
      <c r="F139" s="7">
        <v>1</v>
      </c>
      <c r="G139" s="7">
        <v>1</v>
      </c>
      <c r="H139" s="7">
        <v>36</v>
      </c>
      <c r="I139" s="7">
        <v>0</v>
      </c>
      <c r="J139" s="7">
        <v>0</v>
      </c>
      <c r="K139" s="7">
        <v>0</v>
      </c>
      <c r="L139" s="7">
        <v>41</v>
      </c>
      <c r="M139" s="7">
        <v>1</v>
      </c>
      <c r="N139" s="7">
        <v>41</v>
      </c>
      <c r="O139" s="7">
        <v>23</v>
      </c>
      <c r="P139" s="7">
        <v>22</v>
      </c>
      <c r="Q139" s="7">
        <v>7</v>
      </c>
      <c r="R139" s="7">
        <v>0</v>
      </c>
      <c r="S139" s="7">
        <v>12</v>
      </c>
      <c r="T139" s="7">
        <v>0</v>
      </c>
      <c r="U139" s="7">
        <v>26</v>
      </c>
      <c r="V139" s="2">
        <f t="shared" si="27"/>
        <v>20.727588433736894</v>
      </c>
      <c r="W139" s="7">
        <v>50</v>
      </c>
      <c r="X139" s="2">
        <f t="shared" si="20"/>
        <v>70.727588433736898</v>
      </c>
      <c r="Y139" s="2"/>
      <c r="Z139" s="2">
        <f t="shared" si="21"/>
        <v>177</v>
      </c>
      <c r="AA139" s="1">
        <f t="shared" si="22"/>
        <v>14.689265536723164</v>
      </c>
      <c r="AB139" s="1">
        <f t="shared" si="23"/>
        <v>6.7796610169491522</v>
      </c>
      <c r="AC139" s="1">
        <f t="shared" si="24"/>
        <v>3.9548022598870061</v>
      </c>
      <c r="AD139" s="2">
        <f t="shared" si="25"/>
        <v>6.8076923076923075</v>
      </c>
      <c r="AE139" s="2">
        <f t="shared" si="26"/>
        <v>7.9096045197740121</v>
      </c>
      <c r="AF139" s="2">
        <f t="shared" si="19"/>
        <v>103.63794216868448</v>
      </c>
    </row>
    <row r="140" spans="1:32" x14ac:dyDescent="0.35">
      <c r="A140" s="2" t="s">
        <v>528</v>
      </c>
      <c r="B140" s="2" t="s">
        <v>390</v>
      </c>
      <c r="C140" s="2">
        <v>26</v>
      </c>
      <c r="D140" s="2">
        <v>3.92</v>
      </c>
      <c r="E140" s="7">
        <v>5</v>
      </c>
      <c r="F140" s="7">
        <v>6</v>
      </c>
      <c r="G140" s="7">
        <v>7</v>
      </c>
      <c r="H140" s="7">
        <v>68</v>
      </c>
      <c r="I140" s="7">
        <v>1</v>
      </c>
      <c r="J140" s="7">
        <v>0</v>
      </c>
      <c r="K140" s="7">
        <v>0</v>
      </c>
      <c r="L140" s="7">
        <v>64</v>
      </c>
      <c r="M140" s="7">
        <v>1</v>
      </c>
      <c r="N140" s="7">
        <v>49</v>
      </c>
      <c r="O140" s="7">
        <v>30</v>
      </c>
      <c r="P140" s="7">
        <v>28</v>
      </c>
      <c r="Q140" s="7">
        <v>12</v>
      </c>
      <c r="R140" s="7">
        <v>1</v>
      </c>
      <c r="S140" s="7">
        <v>30</v>
      </c>
      <c r="T140" s="7">
        <v>1</v>
      </c>
      <c r="U140" s="7">
        <v>81</v>
      </c>
      <c r="V140" s="2">
        <f t="shared" si="27"/>
        <v>83.289878292821783</v>
      </c>
      <c r="W140" s="7">
        <v>50</v>
      </c>
      <c r="X140" s="2">
        <f t="shared" si="20"/>
        <v>133.28987829282178</v>
      </c>
      <c r="Y140" s="2"/>
      <c r="Z140" s="2">
        <f t="shared" si="21"/>
        <v>273</v>
      </c>
      <c r="AA140" s="1">
        <f t="shared" si="22"/>
        <v>29.670329670329672</v>
      </c>
      <c r="AB140" s="1">
        <f t="shared" si="23"/>
        <v>11.355311355311356</v>
      </c>
      <c r="AC140" s="1">
        <f t="shared" si="24"/>
        <v>4.395604395604396</v>
      </c>
      <c r="AD140" s="2">
        <f t="shared" si="25"/>
        <v>10.5</v>
      </c>
      <c r="AE140" s="2">
        <f t="shared" si="26"/>
        <v>18.315018315018314</v>
      </c>
      <c r="AF140" s="2">
        <f t="shared" ref="AF140:AF203" si="28">(AD140+AE140)/(D140/(1+AC140))*AD140</f>
        <v>416.44939146410888</v>
      </c>
    </row>
    <row r="141" spans="1:32" x14ac:dyDescent="0.35">
      <c r="A141" s="2" t="s">
        <v>529</v>
      </c>
      <c r="B141" s="2" t="s">
        <v>390</v>
      </c>
      <c r="C141" s="2">
        <v>26</v>
      </c>
      <c r="D141" s="2">
        <v>4.0999999999999996</v>
      </c>
      <c r="E141" s="7">
        <v>4</v>
      </c>
      <c r="F141" s="7">
        <v>1</v>
      </c>
      <c r="G141" s="7">
        <v>0</v>
      </c>
      <c r="H141" s="7">
        <v>32</v>
      </c>
      <c r="I141" s="7">
        <v>0</v>
      </c>
      <c r="J141" s="7">
        <v>0</v>
      </c>
      <c r="K141" s="7">
        <v>0</v>
      </c>
      <c r="L141" s="7">
        <v>37</v>
      </c>
      <c r="M141" s="7">
        <v>1</v>
      </c>
      <c r="N141" s="7">
        <v>32</v>
      </c>
      <c r="O141" s="7">
        <v>17</v>
      </c>
      <c r="P141" s="7">
        <v>17</v>
      </c>
      <c r="Q141" s="7">
        <v>7</v>
      </c>
      <c r="R141" s="7">
        <v>2</v>
      </c>
      <c r="S141" s="7">
        <v>9</v>
      </c>
      <c r="T141" s="7">
        <v>1</v>
      </c>
      <c r="U141" s="7">
        <v>36</v>
      </c>
      <c r="V141" s="2">
        <f t="shared" si="27"/>
        <v>35.436093743453185</v>
      </c>
      <c r="W141" s="7">
        <v>50</v>
      </c>
      <c r="X141" s="2">
        <f t="shared" si="20"/>
        <v>85.436093743453185</v>
      </c>
      <c r="Y141" s="2"/>
      <c r="Z141" s="2">
        <f t="shared" si="21"/>
        <v>155</v>
      </c>
      <c r="AA141" s="1">
        <f t="shared" si="22"/>
        <v>23.225806451612904</v>
      </c>
      <c r="AB141" s="1">
        <f t="shared" si="23"/>
        <v>7.096774193548387</v>
      </c>
      <c r="AC141" s="1">
        <f t="shared" si="24"/>
        <v>4.5161290322580641</v>
      </c>
      <c r="AD141" s="2">
        <f t="shared" si="25"/>
        <v>5.9615384615384617</v>
      </c>
      <c r="AE141" s="2">
        <f t="shared" si="26"/>
        <v>16.129032258064516</v>
      </c>
      <c r="AF141" s="2">
        <f t="shared" si="28"/>
        <v>177.18046871726594</v>
      </c>
    </row>
    <row r="142" spans="1:32" x14ac:dyDescent="0.35">
      <c r="A142" s="2" t="s">
        <v>530</v>
      </c>
      <c r="B142" s="2" t="s">
        <v>390</v>
      </c>
      <c r="C142" s="2">
        <v>26</v>
      </c>
      <c r="D142" s="2">
        <v>12.75</v>
      </c>
      <c r="E142" s="7">
        <v>1</v>
      </c>
      <c r="F142" s="7">
        <v>0</v>
      </c>
      <c r="G142" s="7">
        <v>0</v>
      </c>
      <c r="H142" s="7">
        <v>12</v>
      </c>
      <c r="I142" s="7">
        <v>0</v>
      </c>
      <c r="J142" s="7">
        <v>0</v>
      </c>
      <c r="K142" s="7">
        <v>0</v>
      </c>
      <c r="L142" s="7">
        <v>12</v>
      </c>
      <c r="N142" s="7">
        <v>20</v>
      </c>
      <c r="O142" s="7">
        <v>21</v>
      </c>
      <c r="P142" s="7">
        <v>17</v>
      </c>
      <c r="Q142" s="7">
        <v>4</v>
      </c>
      <c r="R142" s="7">
        <v>2</v>
      </c>
      <c r="S142" s="7">
        <v>8</v>
      </c>
      <c r="T142" s="7">
        <v>0</v>
      </c>
      <c r="U142" s="7">
        <v>8</v>
      </c>
      <c r="V142" s="2">
        <f t="shared" si="27"/>
        <v>-0.13827941791742723</v>
      </c>
      <c r="W142" s="7">
        <v>50</v>
      </c>
      <c r="X142" s="2">
        <f t="shared" si="20"/>
        <v>49.861720582082576</v>
      </c>
      <c r="Y142" s="2"/>
      <c r="Z142" s="2">
        <f t="shared" si="21"/>
        <v>66</v>
      </c>
      <c r="AA142" s="1">
        <f t="shared" si="22"/>
        <v>12.121212121212121</v>
      </c>
      <c r="AB142" s="1">
        <f t="shared" si="23"/>
        <v>15.151515151515152</v>
      </c>
      <c r="AC142" s="1">
        <f t="shared" si="24"/>
        <v>6.0606060606060606</v>
      </c>
      <c r="AD142" s="2">
        <f t="shared" si="25"/>
        <v>2.5384615384615383</v>
      </c>
      <c r="AE142" s="2">
        <f t="shared" si="26"/>
        <v>-3.0303030303030312</v>
      </c>
      <c r="AF142" s="2">
        <f t="shared" si="28"/>
        <v>-0.69139708958713619</v>
      </c>
    </row>
    <row r="143" spans="1:32" x14ac:dyDescent="0.35">
      <c r="A143" s="2" t="s">
        <v>531</v>
      </c>
      <c r="B143" s="2" t="s">
        <v>390</v>
      </c>
      <c r="C143" s="2">
        <v>26</v>
      </c>
      <c r="D143" s="2">
        <v>15.58</v>
      </c>
      <c r="E143" s="7">
        <v>0</v>
      </c>
      <c r="F143" s="7">
        <v>1</v>
      </c>
      <c r="G143" s="7">
        <v>0</v>
      </c>
      <c r="H143" s="7">
        <v>4</v>
      </c>
      <c r="I143" s="7">
        <v>1</v>
      </c>
      <c r="J143" s="7">
        <v>0</v>
      </c>
      <c r="K143" s="7">
        <v>0</v>
      </c>
      <c r="L143" s="7">
        <v>8</v>
      </c>
      <c r="M143" s="7">
        <v>2</v>
      </c>
      <c r="N143" s="7">
        <v>12</v>
      </c>
      <c r="O143" s="7">
        <v>15</v>
      </c>
      <c r="P143" s="7">
        <v>15</v>
      </c>
      <c r="Q143" s="7">
        <v>3</v>
      </c>
      <c r="R143" s="7">
        <v>1</v>
      </c>
      <c r="S143" s="7">
        <v>12</v>
      </c>
      <c r="T143" s="7">
        <v>0</v>
      </c>
      <c r="U143" s="7">
        <v>9</v>
      </c>
      <c r="V143" s="2">
        <f t="shared" si="27"/>
        <v>-1.0192757857561898</v>
      </c>
      <c r="W143" s="7">
        <v>50</v>
      </c>
      <c r="X143" s="2">
        <f t="shared" si="20"/>
        <v>48.980724214243807</v>
      </c>
      <c r="Y143" s="2"/>
      <c r="Z143" s="2">
        <f t="shared" si="21"/>
        <v>51</v>
      </c>
      <c r="AA143" s="1">
        <f t="shared" si="22"/>
        <v>17.647058823529413</v>
      </c>
      <c r="AB143" s="1">
        <f t="shared" si="23"/>
        <v>25.490196078431371</v>
      </c>
      <c r="AC143" s="1">
        <f t="shared" si="24"/>
        <v>5.8823529411764701</v>
      </c>
      <c r="AD143" s="2">
        <f t="shared" si="25"/>
        <v>1.9615384615384615</v>
      </c>
      <c r="AE143" s="2">
        <f t="shared" si="26"/>
        <v>-7.8431372549019578</v>
      </c>
      <c r="AF143" s="2">
        <f t="shared" si="28"/>
        <v>-5.0963789287809487</v>
      </c>
    </row>
    <row r="144" spans="1:32" x14ac:dyDescent="0.35">
      <c r="A144" s="2" t="s">
        <v>532</v>
      </c>
      <c r="B144" s="2" t="s">
        <v>390</v>
      </c>
      <c r="C144" s="2">
        <v>26</v>
      </c>
      <c r="D144" s="2">
        <v>15</v>
      </c>
      <c r="E144" s="7">
        <v>0</v>
      </c>
      <c r="F144" s="7">
        <v>0</v>
      </c>
      <c r="G144" s="7">
        <v>0</v>
      </c>
      <c r="H144" s="7">
        <v>3</v>
      </c>
      <c r="I144" s="7">
        <v>0</v>
      </c>
      <c r="J144" s="7">
        <v>0</v>
      </c>
      <c r="K144" s="7">
        <v>0</v>
      </c>
      <c r="L144" s="7">
        <v>3</v>
      </c>
      <c r="N144" s="7">
        <v>7</v>
      </c>
      <c r="O144" s="7">
        <v>5</v>
      </c>
      <c r="P144" s="7">
        <v>5</v>
      </c>
      <c r="Q144" s="7">
        <v>1</v>
      </c>
      <c r="R144" s="7">
        <v>0</v>
      </c>
      <c r="S144" s="7">
        <v>4</v>
      </c>
      <c r="T144" s="7">
        <v>0</v>
      </c>
      <c r="U144" s="7">
        <v>4</v>
      </c>
      <c r="V144" s="2">
        <f t="shared" si="27"/>
        <v>4.7337278106508882E-2</v>
      </c>
      <c r="W144" s="7">
        <v>50</v>
      </c>
      <c r="X144" s="2">
        <f t="shared" si="20"/>
        <v>50.047337278106511</v>
      </c>
      <c r="Y144" s="2"/>
      <c r="Z144" s="2">
        <f t="shared" si="21"/>
        <v>20</v>
      </c>
      <c r="AA144" s="1">
        <f t="shared" si="22"/>
        <v>20</v>
      </c>
      <c r="AB144" s="1">
        <f t="shared" si="23"/>
        <v>20</v>
      </c>
      <c r="AC144" s="1">
        <f t="shared" si="24"/>
        <v>5</v>
      </c>
      <c r="AD144" s="2">
        <f t="shared" si="25"/>
        <v>0.76923076923076927</v>
      </c>
      <c r="AE144" s="2">
        <f t="shared" si="26"/>
        <v>0</v>
      </c>
      <c r="AF144" s="2">
        <f t="shared" si="28"/>
        <v>0.23668639053254439</v>
      </c>
    </row>
    <row r="145" spans="1:32" x14ac:dyDescent="0.35">
      <c r="A145" s="2" t="s">
        <v>533</v>
      </c>
      <c r="B145" s="2" t="s">
        <v>390</v>
      </c>
      <c r="C145" s="2">
        <v>26</v>
      </c>
      <c r="D145" s="2">
        <v>4.1900000000000004</v>
      </c>
      <c r="E145" s="7">
        <v>0</v>
      </c>
      <c r="F145" s="7">
        <v>3</v>
      </c>
      <c r="G145" s="7">
        <v>1</v>
      </c>
      <c r="H145" s="7">
        <v>42</v>
      </c>
      <c r="I145" s="7">
        <v>0</v>
      </c>
      <c r="J145" s="7">
        <v>0</v>
      </c>
      <c r="K145" s="7">
        <v>0</v>
      </c>
      <c r="L145" s="7">
        <v>34</v>
      </c>
      <c r="M145" s="7">
        <v>1</v>
      </c>
      <c r="N145" s="7">
        <v>38</v>
      </c>
      <c r="O145" s="7">
        <v>19</v>
      </c>
      <c r="P145" s="7">
        <v>16</v>
      </c>
      <c r="Q145" s="7">
        <v>2</v>
      </c>
      <c r="R145" s="7">
        <v>1</v>
      </c>
      <c r="S145" s="7">
        <v>20</v>
      </c>
      <c r="T145" s="7">
        <v>0</v>
      </c>
      <c r="U145" s="7">
        <v>36</v>
      </c>
      <c r="V145" s="2">
        <f t="shared" si="27"/>
        <v>10.294456239012876</v>
      </c>
      <c r="W145" s="7">
        <v>50</v>
      </c>
      <c r="X145" s="2">
        <f t="shared" si="20"/>
        <v>60.294456239012874</v>
      </c>
      <c r="Y145" s="2"/>
      <c r="Z145" s="2">
        <f t="shared" si="21"/>
        <v>162</v>
      </c>
      <c r="AA145" s="1">
        <f t="shared" si="22"/>
        <v>22.222222222222221</v>
      </c>
      <c r="AB145" s="1">
        <f t="shared" si="23"/>
        <v>12.962962962962962</v>
      </c>
      <c r="AC145" s="1">
        <f t="shared" si="24"/>
        <v>1.2345679012345678</v>
      </c>
      <c r="AD145" s="2">
        <f t="shared" si="25"/>
        <v>6.2307692307692308</v>
      </c>
      <c r="AE145" s="2">
        <f t="shared" si="26"/>
        <v>9.2592592592592595</v>
      </c>
      <c r="AF145" s="2">
        <f t="shared" si="28"/>
        <v>51.472281195064376</v>
      </c>
    </row>
    <row r="146" spans="1:32" x14ac:dyDescent="0.35">
      <c r="A146" s="2" t="s">
        <v>534</v>
      </c>
      <c r="B146" s="2" t="s">
        <v>390</v>
      </c>
      <c r="C146" s="2">
        <v>26</v>
      </c>
      <c r="D146" s="2">
        <v>13.24</v>
      </c>
      <c r="E146" s="7">
        <v>1</v>
      </c>
      <c r="F146" s="7">
        <v>1</v>
      </c>
      <c r="G146" s="7">
        <v>0</v>
      </c>
      <c r="H146" s="7">
        <v>14</v>
      </c>
      <c r="I146" s="7">
        <v>0</v>
      </c>
      <c r="J146" s="7">
        <v>0</v>
      </c>
      <c r="K146" s="7">
        <v>0</v>
      </c>
      <c r="L146" s="7">
        <v>17</v>
      </c>
      <c r="N146" s="7">
        <v>26</v>
      </c>
      <c r="O146" s="7">
        <v>25</v>
      </c>
      <c r="P146" s="7">
        <v>25</v>
      </c>
      <c r="Q146" s="7">
        <v>0</v>
      </c>
      <c r="R146" s="7">
        <v>2</v>
      </c>
      <c r="S146" s="7">
        <v>20</v>
      </c>
      <c r="T146" s="7">
        <v>3</v>
      </c>
      <c r="U146" s="7">
        <v>21</v>
      </c>
      <c r="V146" s="2">
        <f t="shared" si="27"/>
        <v>0.16091188616171181</v>
      </c>
      <c r="W146" s="7">
        <v>50</v>
      </c>
      <c r="X146" s="2">
        <f t="shared" si="20"/>
        <v>50.160911886161713</v>
      </c>
      <c r="Y146" s="2"/>
      <c r="Z146" s="2">
        <f t="shared" si="21"/>
        <v>99</v>
      </c>
      <c r="AA146" s="1">
        <f t="shared" si="22"/>
        <v>21.212121212121211</v>
      </c>
      <c r="AB146" s="1">
        <f t="shared" si="23"/>
        <v>22.222222222222221</v>
      </c>
      <c r="AC146" s="1">
        <f t="shared" si="24"/>
        <v>0</v>
      </c>
      <c r="AD146" s="2">
        <f t="shared" si="25"/>
        <v>3.8076923076923075</v>
      </c>
      <c r="AE146" s="2">
        <f t="shared" si="26"/>
        <v>-1.0101010101010104</v>
      </c>
      <c r="AF146" s="2">
        <f t="shared" si="28"/>
        <v>0.80455943080855907</v>
      </c>
    </row>
    <row r="147" spans="1:32" x14ac:dyDescent="0.35">
      <c r="A147" s="2" t="s">
        <v>535</v>
      </c>
      <c r="B147" s="2" t="s">
        <v>390</v>
      </c>
      <c r="C147" s="2">
        <v>26</v>
      </c>
      <c r="D147" s="2">
        <v>4.74</v>
      </c>
      <c r="E147" s="7">
        <v>1</v>
      </c>
      <c r="F147" s="7">
        <v>2</v>
      </c>
      <c r="G147" s="7">
        <v>0</v>
      </c>
      <c r="H147" s="7">
        <v>31</v>
      </c>
      <c r="I147" s="7">
        <v>0</v>
      </c>
      <c r="J147" s="7">
        <v>0</v>
      </c>
      <c r="K147" s="7">
        <v>0</v>
      </c>
      <c r="L147" s="7">
        <v>38</v>
      </c>
      <c r="N147" s="7">
        <v>34</v>
      </c>
      <c r="O147" s="7">
        <v>21</v>
      </c>
      <c r="P147" s="7">
        <v>20</v>
      </c>
      <c r="Q147" s="7">
        <v>3</v>
      </c>
      <c r="R147" s="7">
        <v>2</v>
      </c>
      <c r="S147" s="7">
        <v>18</v>
      </c>
      <c r="T147" s="7">
        <v>0</v>
      </c>
      <c r="U147" s="7">
        <v>34</v>
      </c>
      <c r="V147" s="2">
        <f t="shared" si="27"/>
        <v>11.236611489776047</v>
      </c>
      <c r="W147" s="7">
        <v>50</v>
      </c>
      <c r="X147" s="2">
        <f t="shared" si="20"/>
        <v>61.236611489776045</v>
      </c>
      <c r="Y147" s="2"/>
      <c r="Z147" s="2">
        <f t="shared" si="21"/>
        <v>168</v>
      </c>
      <c r="AA147" s="1">
        <f t="shared" si="22"/>
        <v>20.238095238095237</v>
      </c>
      <c r="AB147" s="1">
        <f t="shared" si="23"/>
        <v>11.904761904761903</v>
      </c>
      <c r="AC147" s="1">
        <f t="shared" si="24"/>
        <v>1.7857142857142856</v>
      </c>
      <c r="AD147" s="2">
        <f t="shared" si="25"/>
        <v>6.4615384615384617</v>
      </c>
      <c r="AE147" s="2">
        <f t="shared" si="26"/>
        <v>8.3333333333333339</v>
      </c>
      <c r="AF147" s="2">
        <f t="shared" si="28"/>
        <v>56.183057448880234</v>
      </c>
    </row>
    <row r="148" spans="1:32" x14ac:dyDescent="0.35">
      <c r="A148" s="2" t="s">
        <v>536</v>
      </c>
      <c r="B148" s="2" t="s">
        <v>390</v>
      </c>
      <c r="C148" s="2">
        <v>26</v>
      </c>
      <c r="D148" s="2">
        <v>7.11</v>
      </c>
      <c r="E148" s="7">
        <v>1</v>
      </c>
      <c r="F148" s="7">
        <v>0</v>
      </c>
      <c r="G148" s="7">
        <v>0</v>
      </c>
      <c r="H148" s="7">
        <v>10</v>
      </c>
      <c r="I148" s="7">
        <v>0</v>
      </c>
      <c r="J148" s="7">
        <v>0</v>
      </c>
      <c r="K148" s="7">
        <v>0</v>
      </c>
      <c r="L148" s="7">
        <v>12</v>
      </c>
      <c r="M148" s="7">
        <v>2</v>
      </c>
      <c r="N148" s="7">
        <v>13</v>
      </c>
      <c r="O148" s="7">
        <v>10</v>
      </c>
      <c r="P148" s="7">
        <v>10</v>
      </c>
      <c r="Q148" s="7">
        <v>2</v>
      </c>
      <c r="R148" s="7">
        <v>3</v>
      </c>
      <c r="S148" s="7">
        <v>11</v>
      </c>
      <c r="T148" s="7">
        <v>0</v>
      </c>
      <c r="U148" s="7">
        <v>11</v>
      </c>
      <c r="V148" s="2">
        <f t="shared" si="27"/>
        <v>-0.60648806997395155</v>
      </c>
      <c r="W148" s="7">
        <v>50</v>
      </c>
      <c r="X148" s="2">
        <f t="shared" si="20"/>
        <v>49.393511930026051</v>
      </c>
      <c r="Y148" s="2"/>
      <c r="Z148" s="2">
        <f t="shared" si="21"/>
        <v>65</v>
      </c>
      <c r="AA148" s="1">
        <f t="shared" si="22"/>
        <v>16.923076923076923</v>
      </c>
      <c r="AB148" s="1">
        <f t="shared" si="23"/>
        <v>21.53846153846154</v>
      </c>
      <c r="AC148" s="1">
        <f t="shared" si="24"/>
        <v>3.0769230769230771</v>
      </c>
      <c r="AD148" s="2">
        <f t="shared" si="25"/>
        <v>2.5</v>
      </c>
      <c r="AE148" s="2">
        <f t="shared" si="26"/>
        <v>-4.6153846153846168</v>
      </c>
      <c r="AF148" s="2">
        <f t="shared" si="28"/>
        <v>-3.0324403498697579</v>
      </c>
    </row>
    <row r="149" spans="1:32" x14ac:dyDescent="0.35">
      <c r="A149" s="2" t="s">
        <v>537</v>
      </c>
      <c r="B149" s="2" t="s">
        <v>388</v>
      </c>
      <c r="C149" s="2">
        <v>26</v>
      </c>
      <c r="D149" s="2">
        <v>4.3600000000000003</v>
      </c>
      <c r="E149" s="7">
        <v>4</v>
      </c>
      <c r="F149" s="7">
        <v>9</v>
      </c>
      <c r="G149" s="7">
        <v>0</v>
      </c>
      <c r="H149" s="7">
        <v>16</v>
      </c>
      <c r="I149" s="7">
        <v>16</v>
      </c>
      <c r="J149" s="7">
        <v>0</v>
      </c>
      <c r="K149" s="7">
        <v>0</v>
      </c>
      <c r="L149" s="7">
        <v>88</v>
      </c>
      <c r="M149" s="7">
        <v>2</v>
      </c>
      <c r="N149" s="7">
        <v>80</v>
      </c>
      <c r="O149" s="7">
        <v>44</v>
      </c>
      <c r="P149" s="7">
        <v>43</v>
      </c>
      <c r="Q149" s="7">
        <v>12</v>
      </c>
      <c r="R149" s="7">
        <v>1</v>
      </c>
      <c r="S149" s="7">
        <v>42</v>
      </c>
      <c r="T149" s="7">
        <v>0</v>
      </c>
      <c r="U149" s="7">
        <v>96</v>
      </c>
      <c r="V149" s="2">
        <f t="shared" si="27"/>
        <v>80.140259370627206</v>
      </c>
      <c r="W149" s="7">
        <v>50</v>
      </c>
      <c r="X149" s="2">
        <f t="shared" si="20"/>
        <v>130.14025937062721</v>
      </c>
      <c r="Y149" s="2"/>
      <c r="Z149" s="2">
        <f t="shared" si="21"/>
        <v>389</v>
      </c>
      <c r="AA149" s="1">
        <f t="shared" si="22"/>
        <v>24.678663239074549</v>
      </c>
      <c r="AB149" s="1">
        <f t="shared" si="23"/>
        <v>11.053984575835475</v>
      </c>
      <c r="AC149" s="1">
        <f t="shared" si="24"/>
        <v>3.0848329048843186</v>
      </c>
      <c r="AD149" s="2">
        <f t="shared" si="25"/>
        <v>14.961538461538462</v>
      </c>
      <c r="AE149" s="2">
        <f t="shared" si="26"/>
        <v>13.624678663239074</v>
      </c>
      <c r="AF149" s="2">
        <f t="shared" si="28"/>
        <v>400.701296853136</v>
      </c>
    </row>
    <row r="150" spans="1:32" x14ac:dyDescent="0.35">
      <c r="A150" s="2" t="s">
        <v>538</v>
      </c>
      <c r="B150" s="2" t="s">
        <v>390</v>
      </c>
      <c r="C150" s="2">
        <v>26</v>
      </c>
      <c r="D150" s="2">
        <v>18</v>
      </c>
      <c r="E150" s="7">
        <v>0</v>
      </c>
      <c r="F150" s="7">
        <v>0</v>
      </c>
      <c r="G150" s="7">
        <v>0</v>
      </c>
      <c r="H150" s="7">
        <v>1</v>
      </c>
      <c r="I150" s="7">
        <v>0</v>
      </c>
      <c r="J150" s="7">
        <v>0</v>
      </c>
      <c r="K150" s="7">
        <v>0</v>
      </c>
      <c r="L150" s="7">
        <v>1</v>
      </c>
      <c r="N150" s="7">
        <v>3</v>
      </c>
      <c r="O150" s="7">
        <v>2</v>
      </c>
      <c r="P150" s="7">
        <v>2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2">
        <f t="shared" si="27"/>
        <v>5.9171597633136106E-4</v>
      </c>
      <c r="W150" s="7">
        <v>50</v>
      </c>
      <c r="X150" s="2">
        <f t="shared" si="20"/>
        <v>50.000591715976334</v>
      </c>
      <c r="Y150" s="2"/>
      <c r="Z150" s="2">
        <f t="shared" si="21"/>
        <v>6</v>
      </c>
      <c r="AA150" s="1">
        <f t="shared" si="22"/>
        <v>0</v>
      </c>
      <c r="AB150" s="1">
        <f t="shared" si="23"/>
        <v>0</v>
      </c>
      <c r="AC150" s="1">
        <f t="shared" si="24"/>
        <v>0</v>
      </c>
      <c r="AD150" s="2">
        <f t="shared" si="25"/>
        <v>0.23076923076923078</v>
      </c>
      <c r="AE150" s="2">
        <f t="shared" si="26"/>
        <v>0</v>
      </c>
      <c r="AF150" s="2">
        <f t="shared" si="28"/>
        <v>2.9585798816568051E-3</v>
      </c>
    </row>
    <row r="151" spans="1:32" x14ac:dyDescent="0.35">
      <c r="A151" s="2" t="s">
        <v>539</v>
      </c>
      <c r="B151" s="2" t="s">
        <v>388</v>
      </c>
      <c r="C151" s="2">
        <v>26</v>
      </c>
      <c r="D151" s="2">
        <v>3.53</v>
      </c>
      <c r="E151" s="7">
        <v>3</v>
      </c>
      <c r="F151" s="7">
        <v>8</v>
      </c>
      <c r="G151" s="7">
        <v>0</v>
      </c>
      <c r="H151" s="7">
        <v>27</v>
      </c>
      <c r="I151" s="7">
        <v>23</v>
      </c>
      <c r="J151" s="7">
        <v>0</v>
      </c>
      <c r="K151" s="7">
        <v>0</v>
      </c>
      <c r="L151" s="7">
        <v>119</v>
      </c>
      <c r="M151" s="7">
        <v>2</v>
      </c>
      <c r="N151" s="7">
        <v>113</v>
      </c>
      <c r="O151" s="7">
        <v>49</v>
      </c>
      <c r="P151" s="7">
        <v>47</v>
      </c>
      <c r="Q151" s="7">
        <v>13</v>
      </c>
      <c r="R151" s="7">
        <v>4</v>
      </c>
      <c r="S151" s="7">
        <v>40</v>
      </c>
      <c r="T151" s="7">
        <v>1</v>
      </c>
      <c r="U151" s="7">
        <v>127</v>
      </c>
      <c r="V151" s="2">
        <f t="shared" si="27"/>
        <v>142.19103965524886</v>
      </c>
      <c r="W151" s="7">
        <v>50</v>
      </c>
      <c r="X151" s="2">
        <f t="shared" si="20"/>
        <v>192.19103965524886</v>
      </c>
      <c r="Y151" s="2"/>
      <c r="Z151" s="2">
        <f t="shared" si="21"/>
        <v>516</v>
      </c>
      <c r="AA151" s="1">
        <f t="shared" si="22"/>
        <v>24.612403100775193</v>
      </c>
      <c r="AB151" s="1">
        <f t="shared" si="23"/>
        <v>8.5271317829457356</v>
      </c>
      <c r="AC151" s="1">
        <f t="shared" si="24"/>
        <v>2.5193798449612403</v>
      </c>
      <c r="AD151" s="2">
        <f t="shared" si="25"/>
        <v>19.846153846153847</v>
      </c>
      <c r="AE151" s="2">
        <f t="shared" si="26"/>
        <v>16.085271317829459</v>
      </c>
      <c r="AF151" s="2">
        <f t="shared" si="28"/>
        <v>710.95519827624423</v>
      </c>
    </row>
    <row r="152" spans="1:32" x14ac:dyDescent="0.35">
      <c r="A152" s="2" t="s">
        <v>540</v>
      </c>
      <c r="B152" s="2" t="s">
        <v>390</v>
      </c>
      <c r="C152" s="2">
        <v>26</v>
      </c>
      <c r="D152" s="2">
        <v>7.71</v>
      </c>
      <c r="E152" s="7">
        <v>0</v>
      </c>
      <c r="F152" s="7">
        <v>0</v>
      </c>
      <c r="G152" s="7">
        <v>0</v>
      </c>
      <c r="H152" s="7">
        <v>2</v>
      </c>
      <c r="I152" s="7">
        <v>0</v>
      </c>
      <c r="J152" s="7">
        <v>0</v>
      </c>
      <c r="K152" s="7">
        <v>0</v>
      </c>
      <c r="L152" s="7">
        <v>2</v>
      </c>
      <c r="M152" s="7">
        <v>1</v>
      </c>
      <c r="N152" s="7">
        <v>5</v>
      </c>
      <c r="O152" s="7">
        <v>4</v>
      </c>
      <c r="P152" s="7">
        <v>2</v>
      </c>
      <c r="Q152" s="7">
        <v>1</v>
      </c>
      <c r="R152" s="7">
        <v>0</v>
      </c>
      <c r="S152" s="7">
        <v>1</v>
      </c>
      <c r="T152" s="7">
        <v>0</v>
      </c>
      <c r="U152" s="7">
        <v>1</v>
      </c>
      <c r="V152" s="2">
        <f t="shared" si="27"/>
        <v>5.6370348199141981E-2</v>
      </c>
      <c r="W152" s="7">
        <v>50</v>
      </c>
      <c r="X152" s="2">
        <f t="shared" si="20"/>
        <v>50.056370348199145</v>
      </c>
      <c r="Y152" s="2"/>
      <c r="Z152" s="2">
        <f t="shared" si="21"/>
        <v>13</v>
      </c>
      <c r="AA152" s="1">
        <f t="shared" si="22"/>
        <v>7.6923076923076925</v>
      </c>
      <c r="AB152" s="1">
        <f t="shared" si="23"/>
        <v>7.6923076923076925</v>
      </c>
      <c r="AC152" s="1">
        <f t="shared" si="24"/>
        <v>7.6923076923076925</v>
      </c>
      <c r="AD152" s="2">
        <f t="shared" si="25"/>
        <v>0.5</v>
      </c>
      <c r="AE152" s="2">
        <f t="shared" si="26"/>
        <v>0</v>
      </c>
      <c r="AF152" s="2">
        <f t="shared" si="28"/>
        <v>0.28185174099570992</v>
      </c>
    </row>
    <row r="153" spans="1:32" x14ac:dyDescent="0.35">
      <c r="A153" s="2" t="s">
        <v>541</v>
      </c>
      <c r="B153" s="2" t="s">
        <v>390</v>
      </c>
      <c r="C153" s="2">
        <v>26</v>
      </c>
      <c r="D153" s="2">
        <v>0</v>
      </c>
      <c r="E153" s="7">
        <v>0</v>
      </c>
      <c r="F153" s="7">
        <v>0</v>
      </c>
      <c r="G153" s="7">
        <v>0</v>
      </c>
      <c r="H153" s="7">
        <v>1</v>
      </c>
      <c r="I153" s="7">
        <v>0</v>
      </c>
      <c r="J153" s="7">
        <v>0</v>
      </c>
      <c r="K153" s="7">
        <v>0</v>
      </c>
      <c r="L153" s="7">
        <v>2</v>
      </c>
      <c r="N153" s="7">
        <v>2</v>
      </c>
      <c r="O153" s="7">
        <v>0</v>
      </c>
      <c r="P153" s="7">
        <v>0</v>
      </c>
      <c r="Q153" s="7">
        <v>0</v>
      </c>
      <c r="R153" s="7">
        <v>0</v>
      </c>
      <c r="S153" s="7">
        <v>1</v>
      </c>
      <c r="T153" s="7">
        <v>0</v>
      </c>
      <c r="U153" s="7">
        <v>1</v>
      </c>
      <c r="V153" s="2" t="e">
        <f t="shared" si="27"/>
        <v>#DIV/0!</v>
      </c>
      <c r="W153" s="7">
        <v>50</v>
      </c>
      <c r="X153" s="2" t="e">
        <f t="shared" si="20"/>
        <v>#DIV/0!</v>
      </c>
      <c r="Y153" s="2"/>
      <c r="Z153" s="2">
        <f t="shared" si="21"/>
        <v>9</v>
      </c>
      <c r="AA153" s="1">
        <f t="shared" si="22"/>
        <v>11.111111111111111</v>
      </c>
      <c r="AB153" s="1">
        <f t="shared" si="23"/>
        <v>11.111111111111111</v>
      </c>
      <c r="AC153" s="1">
        <f t="shared" si="24"/>
        <v>0</v>
      </c>
      <c r="AD153" s="2">
        <f t="shared" si="25"/>
        <v>0.34615384615384615</v>
      </c>
      <c r="AE153" s="2">
        <f t="shared" si="26"/>
        <v>0</v>
      </c>
      <c r="AF153" s="2" t="e">
        <f t="shared" si="28"/>
        <v>#DIV/0!</v>
      </c>
    </row>
    <row r="154" spans="1:32" x14ac:dyDescent="0.35">
      <c r="A154" s="2" t="s">
        <v>542</v>
      </c>
      <c r="B154" s="2" t="s">
        <v>390</v>
      </c>
      <c r="C154" s="2">
        <v>26</v>
      </c>
      <c r="D154" s="2">
        <v>0</v>
      </c>
      <c r="E154" s="7">
        <v>0</v>
      </c>
      <c r="F154" s="7">
        <v>0</v>
      </c>
      <c r="G154" s="7">
        <v>0</v>
      </c>
      <c r="H154" s="7">
        <v>2</v>
      </c>
      <c r="I154" s="7">
        <v>0</v>
      </c>
      <c r="J154" s="7">
        <v>0</v>
      </c>
      <c r="K154" s="7">
        <v>0</v>
      </c>
      <c r="L154" s="7">
        <v>3</v>
      </c>
      <c r="N154" s="7">
        <v>1</v>
      </c>
      <c r="O154" s="7">
        <v>0</v>
      </c>
      <c r="P154" s="7">
        <v>0</v>
      </c>
      <c r="Q154" s="7">
        <v>0</v>
      </c>
      <c r="R154" s="7">
        <v>0</v>
      </c>
      <c r="S154" s="7">
        <v>3</v>
      </c>
      <c r="T154" s="7">
        <v>0</v>
      </c>
      <c r="U154" s="7">
        <v>3</v>
      </c>
      <c r="V154" s="2" t="e">
        <f t="shared" si="27"/>
        <v>#DIV/0!</v>
      </c>
      <c r="W154" s="7">
        <v>50</v>
      </c>
      <c r="X154" s="2" t="e">
        <f t="shared" si="20"/>
        <v>#DIV/0!</v>
      </c>
      <c r="Y154" s="2"/>
      <c r="Z154" s="2">
        <f t="shared" si="21"/>
        <v>13</v>
      </c>
      <c r="AA154" s="1">
        <f t="shared" si="22"/>
        <v>23.076923076923077</v>
      </c>
      <c r="AB154" s="1">
        <f t="shared" si="23"/>
        <v>23.076923076923077</v>
      </c>
      <c r="AC154" s="1">
        <f t="shared" si="24"/>
        <v>0</v>
      </c>
      <c r="AD154" s="2">
        <f t="shared" si="25"/>
        <v>0.5</v>
      </c>
      <c r="AE154" s="2">
        <f t="shared" si="26"/>
        <v>0</v>
      </c>
      <c r="AF154" s="2" t="e">
        <f t="shared" si="28"/>
        <v>#DIV/0!</v>
      </c>
    </row>
    <row r="155" spans="1:32" x14ac:dyDescent="0.35">
      <c r="A155" s="2" t="s">
        <v>543</v>
      </c>
      <c r="B155" s="2" t="s">
        <v>390</v>
      </c>
      <c r="C155" s="2">
        <v>26</v>
      </c>
      <c r="D155" s="2">
        <v>5.77</v>
      </c>
      <c r="E155" s="7">
        <v>4</v>
      </c>
      <c r="F155" s="7">
        <v>2</v>
      </c>
      <c r="G155" s="7">
        <v>0</v>
      </c>
      <c r="H155" s="7">
        <v>63</v>
      </c>
      <c r="I155" s="7">
        <v>0</v>
      </c>
      <c r="J155" s="7">
        <v>0</v>
      </c>
      <c r="K155" s="7">
        <v>0</v>
      </c>
      <c r="L155" s="7">
        <v>73</v>
      </c>
      <c r="M155" s="7">
        <v>1</v>
      </c>
      <c r="N155" s="7">
        <v>87</v>
      </c>
      <c r="O155" s="7">
        <v>49</v>
      </c>
      <c r="P155" s="7">
        <v>47</v>
      </c>
      <c r="Q155" s="7">
        <v>16</v>
      </c>
      <c r="R155" s="7">
        <v>7</v>
      </c>
      <c r="S155" s="7">
        <v>24</v>
      </c>
      <c r="T155" s="7">
        <v>0</v>
      </c>
      <c r="U155" s="7">
        <v>65</v>
      </c>
      <c r="V155" s="2">
        <f t="shared" si="27"/>
        <v>59.576955814175484</v>
      </c>
      <c r="W155" s="7">
        <v>50</v>
      </c>
      <c r="X155" s="2">
        <f t="shared" si="20"/>
        <v>109.57695581417548</v>
      </c>
      <c r="Y155" s="2"/>
      <c r="Z155" s="2">
        <f t="shared" si="21"/>
        <v>338</v>
      </c>
      <c r="AA155" s="1">
        <f t="shared" si="22"/>
        <v>19.230769230769234</v>
      </c>
      <c r="AB155" s="1">
        <f t="shared" si="23"/>
        <v>9.1715976331360949</v>
      </c>
      <c r="AC155" s="1">
        <f t="shared" si="24"/>
        <v>4.7337278106508878</v>
      </c>
      <c r="AD155" s="2">
        <f t="shared" si="25"/>
        <v>13</v>
      </c>
      <c r="AE155" s="2">
        <f t="shared" si="26"/>
        <v>10.059171597633139</v>
      </c>
      <c r="AF155" s="2">
        <f t="shared" si="28"/>
        <v>297.88477907087741</v>
      </c>
    </row>
    <row r="156" spans="1:32" x14ac:dyDescent="0.35">
      <c r="A156" s="2" t="s">
        <v>544</v>
      </c>
      <c r="B156" s="2" t="s">
        <v>390</v>
      </c>
      <c r="C156" s="2">
        <v>26</v>
      </c>
      <c r="D156" s="2">
        <v>27</v>
      </c>
      <c r="E156" s="7">
        <v>0</v>
      </c>
      <c r="F156" s="7">
        <v>0</v>
      </c>
      <c r="G156" s="7">
        <v>0</v>
      </c>
      <c r="H156" s="7">
        <v>1</v>
      </c>
      <c r="I156" s="7">
        <v>0</v>
      </c>
      <c r="J156" s="7">
        <v>0</v>
      </c>
      <c r="K156" s="7">
        <v>0</v>
      </c>
      <c r="L156" s="7">
        <v>0</v>
      </c>
      <c r="M156" s="7">
        <v>2</v>
      </c>
      <c r="N156" s="7">
        <v>1</v>
      </c>
      <c r="O156" s="7">
        <v>2</v>
      </c>
      <c r="P156" s="7">
        <v>2</v>
      </c>
      <c r="Q156" s="7">
        <v>1</v>
      </c>
      <c r="R156" s="7">
        <v>1</v>
      </c>
      <c r="S156" s="7">
        <v>2</v>
      </c>
      <c r="T156" s="7">
        <v>0</v>
      </c>
      <c r="U156" s="7">
        <v>2</v>
      </c>
      <c r="V156" s="2">
        <f t="shared" si="27"/>
        <v>-0.49635473738037861</v>
      </c>
      <c r="W156" s="7">
        <v>50</v>
      </c>
      <c r="X156" s="2">
        <f t="shared" si="20"/>
        <v>49.503645262619621</v>
      </c>
      <c r="Y156" s="2"/>
      <c r="Z156" s="2">
        <f t="shared" si="21"/>
        <v>6</v>
      </c>
      <c r="AA156" s="1">
        <f t="shared" si="22"/>
        <v>33.333333333333329</v>
      </c>
      <c r="AB156" s="1">
        <f t="shared" si="23"/>
        <v>50</v>
      </c>
      <c r="AC156" s="1">
        <f t="shared" si="24"/>
        <v>16.666666666666664</v>
      </c>
      <c r="AD156" s="2">
        <f t="shared" si="25"/>
        <v>0.23076923076923078</v>
      </c>
      <c r="AE156" s="2">
        <f t="shared" si="26"/>
        <v>-16.666666666666671</v>
      </c>
      <c r="AF156" s="2">
        <f t="shared" si="28"/>
        <v>-2.4817736869018932</v>
      </c>
    </row>
    <row r="157" spans="1:32" x14ac:dyDescent="0.35">
      <c r="A157" s="2" t="s">
        <v>545</v>
      </c>
      <c r="B157" s="2" t="s">
        <v>390</v>
      </c>
      <c r="C157" s="2">
        <v>26</v>
      </c>
      <c r="D157" s="2">
        <v>6.37</v>
      </c>
      <c r="E157" s="7">
        <v>2</v>
      </c>
      <c r="F157" s="7">
        <v>1</v>
      </c>
      <c r="G157" s="7">
        <v>1</v>
      </c>
      <c r="H157" s="7">
        <v>10</v>
      </c>
      <c r="I157" s="7">
        <v>1</v>
      </c>
      <c r="J157" s="7">
        <v>0</v>
      </c>
      <c r="K157" s="7">
        <v>0</v>
      </c>
      <c r="L157" s="7">
        <v>29</v>
      </c>
      <c r="M157" s="7">
        <v>2</v>
      </c>
      <c r="N157" s="7">
        <v>35</v>
      </c>
      <c r="O157" s="7">
        <v>23</v>
      </c>
      <c r="P157" s="7">
        <v>21</v>
      </c>
      <c r="Q157" s="7">
        <v>6</v>
      </c>
      <c r="R157" s="7">
        <v>2</v>
      </c>
      <c r="S157" s="7">
        <v>8</v>
      </c>
      <c r="T157" s="7">
        <v>0</v>
      </c>
      <c r="U157" s="7">
        <v>24</v>
      </c>
      <c r="V157" s="2">
        <f t="shared" si="27"/>
        <v>13.82874024072091</v>
      </c>
      <c r="W157" s="7">
        <v>50</v>
      </c>
      <c r="X157" s="2">
        <f t="shared" si="20"/>
        <v>63.828740240720911</v>
      </c>
      <c r="Y157" s="2"/>
      <c r="Z157" s="2">
        <f t="shared" si="21"/>
        <v>134</v>
      </c>
      <c r="AA157" s="1">
        <f t="shared" si="22"/>
        <v>17.910447761194028</v>
      </c>
      <c r="AB157" s="1">
        <f t="shared" si="23"/>
        <v>7.4626865671641784</v>
      </c>
      <c r="AC157" s="1">
        <f t="shared" si="24"/>
        <v>4.4776119402985071</v>
      </c>
      <c r="AD157" s="2">
        <f t="shared" si="25"/>
        <v>5.1538461538461542</v>
      </c>
      <c r="AE157" s="2">
        <f t="shared" si="26"/>
        <v>10.44776119402985</v>
      </c>
      <c r="AF157" s="2">
        <f t="shared" si="28"/>
        <v>69.14370120360455</v>
      </c>
    </row>
    <row r="158" spans="1:32" x14ac:dyDescent="0.35">
      <c r="A158" s="2" t="s">
        <v>546</v>
      </c>
      <c r="B158" s="2" t="s">
        <v>390</v>
      </c>
      <c r="C158" s="2">
        <v>26</v>
      </c>
      <c r="D158" s="2">
        <v>4.75</v>
      </c>
      <c r="E158" s="7">
        <v>1</v>
      </c>
      <c r="F158" s="7">
        <v>3</v>
      </c>
      <c r="G158" s="7">
        <v>0</v>
      </c>
      <c r="H158" s="7">
        <v>16</v>
      </c>
      <c r="I158" s="7">
        <v>3</v>
      </c>
      <c r="J158" s="7">
        <v>0</v>
      </c>
      <c r="K158" s="7">
        <v>0</v>
      </c>
      <c r="L158" s="7">
        <v>36</v>
      </c>
      <c r="N158" s="7">
        <v>37</v>
      </c>
      <c r="O158" s="7">
        <v>21</v>
      </c>
      <c r="P158" s="7">
        <v>19</v>
      </c>
      <c r="Q158" s="7">
        <v>9</v>
      </c>
      <c r="R158" s="7">
        <v>1</v>
      </c>
      <c r="S158" s="7">
        <v>13</v>
      </c>
      <c r="T158" s="7">
        <v>0</v>
      </c>
      <c r="U158" s="7">
        <v>26</v>
      </c>
      <c r="V158" s="2">
        <f t="shared" si="27"/>
        <v>23.431004271872041</v>
      </c>
      <c r="W158" s="7">
        <v>50</v>
      </c>
      <c r="X158" s="2">
        <f t="shared" si="20"/>
        <v>73.431004271872041</v>
      </c>
      <c r="Y158" s="2"/>
      <c r="Z158" s="2">
        <f t="shared" si="21"/>
        <v>159</v>
      </c>
      <c r="AA158" s="1">
        <f t="shared" si="22"/>
        <v>16.352201257861633</v>
      </c>
      <c r="AB158" s="1">
        <f t="shared" si="23"/>
        <v>8.8050314465408803</v>
      </c>
      <c r="AC158" s="1">
        <f t="shared" si="24"/>
        <v>5.6603773584905666</v>
      </c>
      <c r="AD158" s="2">
        <f t="shared" si="25"/>
        <v>6.115384615384615</v>
      </c>
      <c r="AE158" s="2">
        <f t="shared" si="26"/>
        <v>7.547169811320753</v>
      </c>
      <c r="AF158" s="2">
        <f t="shared" si="28"/>
        <v>117.15502135936021</v>
      </c>
    </row>
    <row r="159" spans="1:32" x14ac:dyDescent="0.35">
      <c r="A159" s="2" t="s">
        <v>547</v>
      </c>
      <c r="B159" s="2" t="s">
        <v>390</v>
      </c>
      <c r="C159" s="2">
        <v>26</v>
      </c>
      <c r="D159" s="2">
        <v>3.63</v>
      </c>
      <c r="E159" s="7">
        <v>4</v>
      </c>
      <c r="F159" s="7">
        <v>3</v>
      </c>
      <c r="G159" s="7">
        <v>0</v>
      </c>
      <c r="H159" s="7">
        <v>19</v>
      </c>
      <c r="I159" s="7">
        <v>5</v>
      </c>
      <c r="J159" s="7">
        <v>0</v>
      </c>
      <c r="K159" s="7">
        <v>0</v>
      </c>
      <c r="L159" s="7">
        <v>57</v>
      </c>
      <c r="N159" s="7">
        <v>48</v>
      </c>
      <c r="O159" s="7">
        <v>33</v>
      </c>
      <c r="P159" s="7">
        <v>23</v>
      </c>
      <c r="Q159" s="7">
        <v>5</v>
      </c>
      <c r="R159" s="7">
        <v>3</v>
      </c>
      <c r="S159" s="7">
        <v>19</v>
      </c>
      <c r="T159" s="7">
        <v>1</v>
      </c>
      <c r="U159" s="7">
        <v>64</v>
      </c>
      <c r="V159" s="2">
        <f t="shared" si="27"/>
        <v>41.920307154181174</v>
      </c>
      <c r="W159" s="7">
        <v>50</v>
      </c>
      <c r="X159" s="2">
        <f t="shared" si="20"/>
        <v>91.920307154181174</v>
      </c>
      <c r="Y159" s="2"/>
      <c r="Z159" s="2">
        <f t="shared" si="21"/>
        <v>241</v>
      </c>
      <c r="AA159" s="1">
        <f t="shared" si="22"/>
        <v>26.556016597510375</v>
      </c>
      <c r="AB159" s="1">
        <f t="shared" si="23"/>
        <v>9.1286307053941904</v>
      </c>
      <c r="AC159" s="1">
        <f t="shared" si="24"/>
        <v>2.0746887966804977</v>
      </c>
      <c r="AD159" s="2">
        <f t="shared" si="25"/>
        <v>9.2692307692307701</v>
      </c>
      <c r="AE159" s="2">
        <f t="shared" si="26"/>
        <v>17.427385892116185</v>
      </c>
      <c r="AF159" s="2">
        <f t="shared" si="28"/>
        <v>209.60153577090585</v>
      </c>
    </row>
    <row r="160" spans="1:32" x14ac:dyDescent="0.35">
      <c r="A160" s="2" t="s">
        <v>548</v>
      </c>
      <c r="B160" s="2" t="s">
        <v>390</v>
      </c>
      <c r="C160" s="2">
        <v>26</v>
      </c>
      <c r="D160" s="2">
        <v>8.0399999999999991</v>
      </c>
      <c r="E160" s="7">
        <v>0</v>
      </c>
      <c r="F160" s="7">
        <v>0</v>
      </c>
      <c r="G160" s="7">
        <v>0</v>
      </c>
      <c r="H160" s="7">
        <v>12</v>
      </c>
      <c r="I160" s="7">
        <v>2</v>
      </c>
      <c r="J160" s="7">
        <v>0</v>
      </c>
      <c r="K160" s="7">
        <v>0</v>
      </c>
      <c r="L160" s="7">
        <v>15</v>
      </c>
      <c r="M160" s="7">
        <v>2</v>
      </c>
      <c r="N160" s="7">
        <v>27</v>
      </c>
      <c r="O160" s="7">
        <v>15</v>
      </c>
      <c r="P160" s="7">
        <v>14</v>
      </c>
      <c r="Q160" s="7">
        <v>0</v>
      </c>
      <c r="R160" s="7">
        <v>2</v>
      </c>
      <c r="S160" s="7">
        <v>5</v>
      </c>
      <c r="T160" s="7">
        <v>2</v>
      </c>
      <c r="U160" s="7">
        <v>12</v>
      </c>
      <c r="V160" s="2">
        <f t="shared" si="27"/>
        <v>0.71981070976478556</v>
      </c>
      <c r="W160" s="7">
        <v>50</v>
      </c>
      <c r="X160" s="2">
        <f t="shared" si="20"/>
        <v>50.719810709764786</v>
      </c>
      <c r="Y160" s="2"/>
      <c r="Z160" s="2">
        <f t="shared" si="21"/>
        <v>81</v>
      </c>
      <c r="AA160" s="1">
        <f t="shared" si="22"/>
        <v>14.814814814814813</v>
      </c>
      <c r="AB160" s="1">
        <f t="shared" si="23"/>
        <v>8.6419753086419746</v>
      </c>
      <c r="AC160" s="1">
        <f t="shared" si="24"/>
        <v>0</v>
      </c>
      <c r="AD160" s="2">
        <f t="shared" si="25"/>
        <v>3.1153846153846154</v>
      </c>
      <c r="AE160" s="2">
        <f t="shared" si="26"/>
        <v>6.1728395061728385</v>
      </c>
      <c r="AF160" s="2">
        <f t="shared" si="28"/>
        <v>3.5990535488239277</v>
      </c>
    </row>
    <row r="161" spans="1:32" x14ac:dyDescent="0.35">
      <c r="A161" s="2" t="s">
        <v>549</v>
      </c>
      <c r="B161" s="2" t="s">
        <v>390</v>
      </c>
      <c r="C161" s="2">
        <v>26</v>
      </c>
      <c r="D161" s="2">
        <v>8.35</v>
      </c>
      <c r="E161" s="7">
        <v>2</v>
      </c>
      <c r="F161" s="7">
        <v>0</v>
      </c>
      <c r="G161" s="7">
        <v>1</v>
      </c>
      <c r="H161" s="7">
        <v>24</v>
      </c>
      <c r="I161" s="7">
        <v>0</v>
      </c>
      <c r="J161" s="7">
        <v>0</v>
      </c>
      <c r="K161" s="7">
        <v>0</v>
      </c>
      <c r="L161" s="7">
        <v>36</v>
      </c>
      <c r="M161" s="7">
        <v>2</v>
      </c>
      <c r="N161" s="7">
        <v>46</v>
      </c>
      <c r="O161" s="7">
        <v>36</v>
      </c>
      <c r="P161" s="7">
        <v>34</v>
      </c>
      <c r="Q161" s="7">
        <v>10</v>
      </c>
      <c r="R161" s="7">
        <v>2</v>
      </c>
      <c r="S161" s="7">
        <v>19</v>
      </c>
      <c r="T161" s="7">
        <v>1</v>
      </c>
      <c r="U161" s="7">
        <v>36</v>
      </c>
      <c r="V161" s="2">
        <f t="shared" si="27"/>
        <v>16.57045611915273</v>
      </c>
      <c r="W161" s="7">
        <v>50</v>
      </c>
      <c r="X161" s="2">
        <f t="shared" si="20"/>
        <v>66.570456119152738</v>
      </c>
      <c r="Y161" s="2"/>
      <c r="Z161" s="2">
        <f t="shared" si="21"/>
        <v>177</v>
      </c>
      <c r="AA161" s="1">
        <f t="shared" si="22"/>
        <v>20.33898305084746</v>
      </c>
      <c r="AB161" s="1">
        <f t="shared" si="23"/>
        <v>11.864406779661017</v>
      </c>
      <c r="AC161" s="1">
        <f t="shared" si="24"/>
        <v>5.6497175141242941</v>
      </c>
      <c r="AD161" s="2">
        <f t="shared" si="25"/>
        <v>6.8076923076923075</v>
      </c>
      <c r="AE161" s="2">
        <f t="shared" si="26"/>
        <v>8.474576271186443</v>
      </c>
      <c r="AF161" s="2">
        <f t="shared" si="28"/>
        <v>82.852280595763659</v>
      </c>
    </row>
    <row r="162" spans="1:32" x14ac:dyDescent="0.35">
      <c r="A162" s="2" t="s">
        <v>550</v>
      </c>
      <c r="B162" s="2" t="s">
        <v>390</v>
      </c>
      <c r="C162" s="2">
        <v>26</v>
      </c>
      <c r="D162" s="2">
        <v>1.94</v>
      </c>
      <c r="E162" s="7">
        <v>4</v>
      </c>
      <c r="F162" s="7">
        <v>0</v>
      </c>
      <c r="G162" s="7">
        <v>0</v>
      </c>
      <c r="H162" s="7">
        <v>39</v>
      </c>
      <c r="I162" s="7">
        <v>0</v>
      </c>
      <c r="J162" s="7">
        <v>0</v>
      </c>
      <c r="K162" s="7">
        <v>0</v>
      </c>
      <c r="L162" s="7">
        <v>60</v>
      </c>
      <c r="M162" s="7">
        <v>1</v>
      </c>
      <c r="N162" s="7">
        <v>33</v>
      </c>
      <c r="O162" s="7">
        <v>14</v>
      </c>
      <c r="P162" s="7">
        <v>13</v>
      </c>
      <c r="Q162" s="7">
        <v>3</v>
      </c>
      <c r="R162" s="7">
        <v>4</v>
      </c>
      <c r="S162" s="7">
        <v>20</v>
      </c>
      <c r="T162" s="7">
        <v>0</v>
      </c>
      <c r="U162" s="7">
        <v>68</v>
      </c>
      <c r="V162" s="2">
        <f t="shared" si="27"/>
        <v>58.965058359096687</v>
      </c>
      <c r="W162" s="7">
        <v>50</v>
      </c>
      <c r="X162" s="2">
        <f t="shared" si="20"/>
        <v>108.96505835909669</v>
      </c>
      <c r="Y162" s="2"/>
      <c r="Z162" s="2">
        <f t="shared" si="21"/>
        <v>238</v>
      </c>
      <c r="AA162" s="1">
        <f t="shared" si="22"/>
        <v>28.571428571428569</v>
      </c>
      <c r="AB162" s="1">
        <f t="shared" si="23"/>
        <v>10.084033613445378</v>
      </c>
      <c r="AC162" s="1">
        <f t="shared" si="24"/>
        <v>1.2605042016806722</v>
      </c>
      <c r="AD162" s="2">
        <f t="shared" si="25"/>
        <v>9.1538461538461533</v>
      </c>
      <c r="AE162" s="2">
        <f t="shared" si="26"/>
        <v>18.487394957983192</v>
      </c>
      <c r="AF162" s="2">
        <f t="shared" si="28"/>
        <v>294.82529179548345</v>
      </c>
    </row>
    <row r="163" spans="1:32" x14ac:dyDescent="0.35">
      <c r="A163" s="2" t="s">
        <v>551</v>
      </c>
      <c r="B163" s="2" t="s">
        <v>390</v>
      </c>
      <c r="C163" s="2">
        <v>26</v>
      </c>
      <c r="D163" s="2">
        <v>2.4500000000000002</v>
      </c>
      <c r="E163" s="7">
        <v>1</v>
      </c>
      <c r="F163" s="7">
        <v>0</v>
      </c>
      <c r="G163" s="7">
        <v>1</v>
      </c>
      <c r="H163" s="7">
        <v>5</v>
      </c>
      <c r="I163" s="7">
        <v>0</v>
      </c>
      <c r="J163" s="7">
        <v>0</v>
      </c>
      <c r="K163" s="7">
        <v>0</v>
      </c>
      <c r="L163" s="7">
        <v>7</v>
      </c>
      <c r="M163" s="7">
        <v>1</v>
      </c>
      <c r="N163" s="7">
        <v>1</v>
      </c>
      <c r="O163" s="7">
        <v>2</v>
      </c>
      <c r="P163" s="7">
        <v>2</v>
      </c>
      <c r="Q163" s="7">
        <v>1</v>
      </c>
      <c r="R163" s="7">
        <v>1</v>
      </c>
      <c r="S163" s="7">
        <v>4</v>
      </c>
      <c r="T163" s="7">
        <v>0</v>
      </c>
      <c r="U163" s="7">
        <v>10</v>
      </c>
      <c r="V163" s="2">
        <f t="shared" si="27"/>
        <v>7.6092949436748487</v>
      </c>
      <c r="W163" s="7">
        <v>50</v>
      </c>
      <c r="X163" s="2">
        <f t="shared" si="20"/>
        <v>57.609294943674847</v>
      </c>
      <c r="Y163" s="2"/>
      <c r="Z163" s="2">
        <f t="shared" si="21"/>
        <v>28</v>
      </c>
      <c r="AA163" s="1">
        <f t="shared" si="22"/>
        <v>35.714285714285715</v>
      </c>
      <c r="AB163" s="1">
        <f t="shared" si="23"/>
        <v>17.857142857142858</v>
      </c>
      <c r="AC163" s="1">
        <f t="shared" si="24"/>
        <v>3.5714285714285712</v>
      </c>
      <c r="AD163" s="2">
        <f t="shared" si="25"/>
        <v>1.0769230769230769</v>
      </c>
      <c r="AE163" s="2">
        <f t="shared" si="26"/>
        <v>17.857142857142858</v>
      </c>
      <c r="AF163" s="2">
        <f t="shared" si="28"/>
        <v>38.046474718374242</v>
      </c>
    </row>
    <row r="164" spans="1:32" x14ac:dyDescent="0.35">
      <c r="A164" s="2" t="s">
        <v>552</v>
      </c>
      <c r="B164" s="2" t="s">
        <v>388</v>
      </c>
      <c r="C164" s="2">
        <v>26</v>
      </c>
      <c r="D164" s="2">
        <v>6.37</v>
      </c>
      <c r="E164" s="7">
        <v>2</v>
      </c>
      <c r="F164" s="7">
        <v>4</v>
      </c>
      <c r="G164" s="7">
        <v>0</v>
      </c>
      <c r="H164" s="7">
        <v>8</v>
      </c>
      <c r="I164" s="7">
        <v>7</v>
      </c>
      <c r="J164" s="7">
        <v>0</v>
      </c>
      <c r="K164" s="7">
        <v>0</v>
      </c>
      <c r="L164" s="7">
        <v>29</v>
      </c>
      <c r="M164" s="7">
        <v>2</v>
      </c>
      <c r="N164" s="7">
        <v>29</v>
      </c>
      <c r="O164" s="7">
        <v>24</v>
      </c>
      <c r="P164" s="7">
        <v>21</v>
      </c>
      <c r="Q164" s="7">
        <v>2</v>
      </c>
      <c r="R164" s="7">
        <v>7</v>
      </c>
      <c r="S164" s="7">
        <v>17</v>
      </c>
      <c r="T164" s="7">
        <v>0</v>
      </c>
      <c r="U164" s="7">
        <v>39</v>
      </c>
      <c r="V164" s="2">
        <f t="shared" si="27"/>
        <v>6.6181888783772278</v>
      </c>
      <c r="W164" s="7">
        <v>50</v>
      </c>
      <c r="X164" s="2">
        <f t="shared" si="20"/>
        <v>56.618188878377225</v>
      </c>
      <c r="Y164" s="2"/>
      <c r="Z164" s="2">
        <f t="shared" si="21"/>
        <v>142</v>
      </c>
      <c r="AA164" s="1">
        <f t="shared" si="22"/>
        <v>27.464788732394368</v>
      </c>
      <c r="AB164" s="1">
        <f t="shared" si="23"/>
        <v>16.901408450704224</v>
      </c>
      <c r="AC164" s="1">
        <f t="shared" si="24"/>
        <v>1.4084507042253522</v>
      </c>
      <c r="AD164" s="2">
        <f t="shared" si="25"/>
        <v>5.4615384615384617</v>
      </c>
      <c r="AE164" s="2">
        <f t="shared" si="26"/>
        <v>10.563380281690144</v>
      </c>
      <c r="AF164" s="2">
        <f t="shared" si="28"/>
        <v>33.09094439188614</v>
      </c>
    </row>
    <row r="165" spans="1:32" x14ac:dyDescent="0.35">
      <c r="A165" s="2" t="s">
        <v>553</v>
      </c>
      <c r="B165" s="2" t="s">
        <v>390</v>
      </c>
      <c r="C165" s="2">
        <v>26</v>
      </c>
      <c r="D165" s="2">
        <v>5.0599999999999996</v>
      </c>
      <c r="E165" s="7">
        <v>0</v>
      </c>
      <c r="F165" s="7">
        <v>0</v>
      </c>
      <c r="G165" s="7">
        <v>0</v>
      </c>
      <c r="H165" s="7">
        <v>9</v>
      </c>
      <c r="I165" s="7">
        <v>0</v>
      </c>
      <c r="J165" s="7">
        <v>0</v>
      </c>
      <c r="K165" s="7">
        <v>0</v>
      </c>
      <c r="L165" s="7">
        <v>10</v>
      </c>
      <c r="M165" s="7">
        <v>2</v>
      </c>
      <c r="N165" s="7">
        <v>15</v>
      </c>
      <c r="O165" s="7">
        <v>7</v>
      </c>
      <c r="P165" s="7">
        <v>6</v>
      </c>
      <c r="Q165" s="7">
        <v>2</v>
      </c>
      <c r="R165" s="7">
        <v>1</v>
      </c>
      <c r="S165" s="7">
        <v>3</v>
      </c>
      <c r="T165" s="7">
        <v>0</v>
      </c>
      <c r="U165" s="7">
        <v>7</v>
      </c>
      <c r="V165" s="2">
        <f t="shared" si="27"/>
        <v>2.993032444635829</v>
      </c>
      <c r="W165" s="7">
        <v>50</v>
      </c>
      <c r="X165" s="2">
        <f t="shared" si="20"/>
        <v>52.99303244463583</v>
      </c>
      <c r="Y165" s="2"/>
      <c r="Z165" s="2">
        <f t="shared" si="21"/>
        <v>51</v>
      </c>
      <c r="AA165" s="1">
        <f t="shared" si="22"/>
        <v>13.725490196078432</v>
      </c>
      <c r="AB165" s="1">
        <f t="shared" si="23"/>
        <v>7.8431372549019605</v>
      </c>
      <c r="AC165" s="1">
        <f t="shared" si="24"/>
        <v>3.9215686274509802</v>
      </c>
      <c r="AD165" s="2">
        <f t="shared" si="25"/>
        <v>1.9615384615384615</v>
      </c>
      <c r="AE165" s="2">
        <f t="shared" si="26"/>
        <v>5.8823529411764719</v>
      </c>
      <c r="AF165" s="2">
        <f t="shared" si="28"/>
        <v>14.965162223179146</v>
      </c>
    </row>
    <row r="166" spans="1:32" x14ac:dyDescent="0.35">
      <c r="A166" s="2" t="s">
        <v>554</v>
      </c>
      <c r="B166" s="2" t="s">
        <v>390</v>
      </c>
      <c r="C166" s="2">
        <v>26</v>
      </c>
      <c r="D166" s="2">
        <v>27</v>
      </c>
      <c r="E166" s="7">
        <v>0</v>
      </c>
      <c r="F166" s="7">
        <v>0</v>
      </c>
      <c r="G166" s="7">
        <v>0</v>
      </c>
      <c r="H166" s="7">
        <v>1</v>
      </c>
      <c r="I166" s="7">
        <v>0</v>
      </c>
      <c r="J166" s="7">
        <v>0</v>
      </c>
      <c r="K166" s="7">
        <v>0</v>
      </c>
      <c r="L166" s="7">
        <v>1</v>
      </c>
      <c r="N166" s="7">
        <v>4</v>
      </c>
      <c r="O166" s="7">
        <v>3</v>
      </c>
      <c r="P166" s="7">
        <v>3</v>
      </c>
      <c r="Q166" s="7">
        <v>0</v>
      </c>
      <c r="R166" s="7">
        <v>0</v>
      </c>
      <c r="S166" s="7">
        <v>0</v>
      </c>
      <c r="T166" s="7">
        <v>0</v>
      </c>
      <c r="U166" s="7">
        <v>1</v>
      </c>
      <c r="V166" s="2">
        <f t="shared" si="27"/>
        <v>2.9026955950032868E-2</v>
      </c>
      <c r="W166" s="7">
        <v>50</v>
      </c>
      <c r="X166" s="2">
        <f t="shared" si="20"/>
        <v>50.02902695595003</v>
      </c>
      <c r="Y166" s="2"/>
      <c r="Z166" s="2">
        <f t="shared" si="21"/>
        <v>7</v>
      </c>
      <c r="AA166" s="1">
        <f t="shared" si="22"/>
        <v>14.285714285714285</v>
      </c>
      <c r="AB166" s="1">
        <f t="shared" si="23"/>
        <v>0</v>
      </c>
      <c r="AC166" s="1">
        <f t="shared" si="24"/>
        <v>0</v>
      </c>
      <c r="AD166" s="2">
        <f t="shared" si="25"/>
        <v>0.26923076923076922</v>
      </c>
      <c r="AE166" s="2">
        <f t="shared" si="26"/>
        <v>14.285714285714285</v>
      </c>
      <c r="AF166" s="2">
        <f t="shared" si="28"/>
        <v>0.14513477975016434</v>
      </c>
    </row>
    <row r="167" spans="1:32" x14ac:dyDescent="0.35">
      <c r="A167" s="2" t="s">
        <v>555</v>
      </c>
      <c r="B167" s="2" t="s">
        <v>388</v>
      </c>
      <c r="C167" s="2">
        <v>26</v>
      </c>
      <c r="D167" s="2">
        <v>6.24</v>
      </c>
      <c r="E167" s="7">
        <v>1</v>
      </c>
      <c r="F167" s="7">
        <v>7</v>
      </c>
      <c r="G167" s="7">
        <v>0</v>
      </c>
      <c r="H167" s="7">
        <v>12</v>
      </c>
      <c r="I167" s="7">
        <v>12</v>
      </c>
      <c r="J167" s="7">
        <v>0</v>
      </c>
      <c r="K167" s="7">
        <v>0</v>
      </c>
      <c r="L167" s="7">
        <v>57</v>
      </c>
      <c r="M167" s="7">
        <v>2</v>
      </c>
      <c r="N167" s="7">
        <v>67</v>
      </c>
      <c r="O167" s="7">
        <v>42</v>
      </c>
      <c r="P167" s="7">
        <v>40</v>
      </c>
      <c r="Q167" s="7">
        <v>12</v>
      </c>
      <c r="R167" s="7">
        <v>0</v>
      </c>
      <c r="S167" s="7">
        <v>22</v>
      </c>
      <c r="T167" s="7">
        <v>0</v>
      </c>
      <c r="U167" s="7">
        <v>47</v>
      </c>
      <c r="V167" s="2">
        <f t="shared" si="27"/>
        <v>35.358534538770769</v>
      </c>
      <c r="W167" s="7">
        <v>50</v>
      </c>
      <c r="X167" s="2">
        <f t="shared" si="20"/>
        <v>85.358534538770769</v>
      </c>
      <c r="Y167" s="2"/>
      <c r="Z167" s="2">
        <f t="shared" si="21"/>
        <v>262</v>
      </c>
      <c r="AA167" s="1">
        <f t="shared" si="22"/>
        <v>17.938931297709924</v>
      </c>
      <c r="AB167" s="1">
        <f t="shared" si="23"/>
        <v>8.3969465648854964</v>
      </c>
      <c r="AC167" s="1">
        <f t="shared" si="24"/>
        <v>4.5801526717557248</v>
      </c>
      <c r="AD167" s="2">
        <f t="shared" si="25"/>
        <v>10.076923076923077</v>
      </c>
      <c r="AE167" s="2">
        <f t="shared" si="26"/>
        <v>9.5419847328244281</v>
      </c>
      <c r="AF167" s="2">
        <f t="shared" si="28"/>
        <v>176.79267269385386</v>
      </c>
    </row>
    <row r="168" spans="1:32" x14ac:dyDescent="0.35">
      <c r="A168" s="2" t="s">
        <v>556</v>
      </c>
      <c r="B168" s="2" t="s">
        <v>390</v>
      </c>
      <c r="C168" s="2">
        <v>27</v>
      </c>
      <c r="D168" s="2">
        <v>0</v>
      </c>
      <c r="E168" s="7">
        <v>0</v>
      </c>
      <c r="F168" s="7">
        <v>0</v>
      </c>
      <c r="G168" s="7">
        <v>0</v>
      </c>
      <c r="H168" s="7">
        <v>1</v>
      </c>
      <c r="I168" s="7">
        <v>0</v>
      </c>
      <c r="J168" s="7">
        <v>0</v>
      </c>
      <c r="K168" s="7">
        <v>0</v>
      </c>
      <c r="L168" s="7">
        <v>1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2</v>
      </c>
      <c r="T168" s="7">
        <v>0</v>
      </c>
      <c r="U168" s="7">
        <v>0</v>
      </c>
      <c r="V168" s="2" t="e">
        <f t="shared" si="27"/>
        <v>#DIV/0!</v>
      </c>
      <c r="W168" s="7">
        <v>50</v>
      </c>
      <c r="X168" s="2" t="e">
        <f t="shared" si="20"/>
        <v>#DIV/0!</v>
      </c>
      <c r="Y168" s="2"/>
      <c r="Z168" s="2">
        <f t="shared" si="21"/>
        <v>5</v>
      </c>
      <c r="AA168" s="1">
        <f t="shared" si="22"/>
        <v>0</v>
      </c>
      <c r="AB168" s="1">
        <f t="shared" si="23"/>
        <v>40</v>
      </c>
      <c r="AC168" s="1">
        <f t="shared" si="24"/>
        <v>0</v>
      </c>
      <c r="AD168" s="2">
        <f t="shared" si="25"/>
        <v>0.18518518518518517</v>
      </c>
      <c r="AE168" s="2">
        <f t="shared" si="26"/>
        <v>-40</v>
      </c>
      <c r="AF168" s="2" t="e">
        <f t="shared" si="28"/>
        <v>#DIV/0!</v>
      </c>
    </row>
    <row r="169" spans="1:32" x14ac:dyDescent="0.35">
      <c r="A169" s="2" t="s">
        <v>557</v>
      </c>
      <c r="B169" s="2" t="s">
        <v>390</v>
      </c>
      <c r="C169" s="2">
        <v>27</v>
      </c>
      <c r="D169" s="2">
        <v>2.63</v>
      </c>
      <c r="E169" s="7">
        <v>2</v>
      </c>
      <c r="F169" s="7">
        <v>2</v>
      </c>
      <c r="G169" s="7">
        <v>0</v>
      </c>
      <c r="H169" s="7">
        <v>33</v>
      </c>
      <c r="I169" s="7">
        <v>2</v>
      </c>
      <c r="J169" s="7">
        <v>0</v>
      </c>
      <c r="K169" s="7">
        <v>0</v>
      </c>
      <c r="L169" s="7">
        <v>65</v>
      </c>
      <c r="N169" s="7">
        <v>64</v>
      </c>
      <c r="O169" s="7">
        <v>22</v>
      </c>
      <c r="P169" s="7">
        <v>19</v>
      </c>
      <c r="Q169" s="7">
        <v>5</v>
      </c>
      <c r="R169" s="7">
        <v>1</v>
      </c>
      <c r="S169" s="7">
        <v>14</v>
      </c>
      <c r="T169" s="7">
        <v>3</v>
      </c>
      <c r="U169" s="7">
        <v>42</v>
      </c>
      <c r="V169" s="2">
        <f t="shared" si="27"/>
        <v>43.604207762108828</v>
      </c>
      <c r="W169" s="7">
        <v>50</v>
      </c>
      <c r="X169" s="2">
        <f t="shared" si="20"/>
        <v>93.604207762108828</v>
      </c>
      <c r="Y169" s="2"/>
      <c r="Z169" s="2">
        <f t="shared" si="21"/>
        <v>274</v>
      </c>
      <c r="AA169" s="1">
        <f t="shared" si="22"/>
        <v>15.328467153284672</v>
      </c>
      <c r="AB169" s="1">
        <f t="shared" si="23"/>
        <v>5.4744525547445262</v>
      </c>
      <c r="AC169" s="1">
        <f t="shared" si="24"/>
        <v>1.824817518248175</v>
      </c>
      <c r="AD169" s="2">
        <f t="shared" si="25"/>
        <v>10.148148148148149</v>
      </c>
      <c r="AE169" s="2">
        <f t="shared" si="26"/>
        <v>9.8540145985401466</v>
      </c>
      <c r="AF169" s="2">
        <f t="shared" si="28"/>
        <v>218.02103881054416</v>
      </c>
    </row>
    <row r="170" spans="1:32" x14ac:dyDescent="0.35">
      <c r="A170" s="2" t="s">
        <v>558</v>
      </c>
      <c r="B170" s="2" t="s">
        <v>390</v>
      </c>
      <c r="C170" s="2">
        <v>27</v>
      </c>
      <c r="D170" s="2">
        <v>11.57</v>
      </c>
      <c r="E170" s="7">
        <v>0</v>
      </c>
      <c r="F170" s="7">
        <v>1</v>
      </c>
      <c r="G170" s="7">
        <v>0</v>
      </c>
      <c r="H170" s="7">
        <v>7</v>
      </c>
      <c r="I170" s="7">
        <v>0</v>
      </c>
      <c r="J170" s="7">
        <v>0</v>
      </c>
      <c r="K170" s="7">
        <v>0</v>
      </c>
      <c r="L170" s="7">
        <v>9</v>
      </c>
      <c r="M170" s="7">
        <v>1</v>
      </c>
      <c r="N170" s="7">
        <v>17</v>
      </c>
      <c r="O170" s="7">
        <v>13</v>
      </c>
      <c r="P170" s="7">
        <v>12</v>
      </c>
      <c r="Q170" s="7">
        <v>2</v>
      </c>
      <c r="R170" s="7">
        <v>0</v>
      </c>
      <c r="S170" s="7">
        <v>7</v>
      </c>
      <c r="T170" s="7">
        <v>1</v>
      </c>
      <c r="U170" s="7">
        <v>8</v>
      </c>
      <c r="V170" s="2">
        <f t="shared" si="27"/>
        <v>0.62098576647697945</v>
      </c>
      <c r="W170" s="7">
        <v>50</v>
      </c>
      <c r="X170" s="2">
        <f t="shared" si="20"/>
        <v>50.620985766476977</v>
      </c>
      <c r="Y170" s="2"/>
      <c r="Z170" s="2">
        <f t="shared" si="21"/>
        <v>52</v>
      </c>
      <c r="AA170" s="1">
        <f t="shared" si="22"/>
        <v>15.384615384615385</v>
      </c>
      <c r="AB170" s="1">
        <f t="shared" si="23"/>
        <v>13.461538461538462</v>
      </c>
      <c r="AC170" s="1">
        <f t="shared" si="24"/>
        <v>3.8461538461538463</v>
      </c>
      <c r="AD170" s="2">
        <f t="shared" si="25"/>
        <v>1.9259259259259258</v>
      </c>
      <c r="AE170" s="2">
        <f t="shared" si="26"/>
        <v>1.9230769230769234</v>
      </c>
      <c r="AF170" s="2">
        <f t="shared" si="28"/>
        <v>3.1049288323848971</v>
      </c>
    </row>
    <row r="171" spans="1:32" x14ac:dyDescent="0.35">
      <c r="A171" s="2" t="s">
        <v>559</v>
      </c>
      <c r="B171" s="2" t="s">
        <v>390</v>
      </c>
      <c r="C171" s="2">
        <v>27</v>
      </c>
      <c r="D171" s="2">
        <v>4.62</v>
      </c>
      <c r="E171" s="7">
        <v>0</v>
      </c>
      <c r="F171" s="7">
        <v>3</v>
      </c>
      <c r="G171" s="7">
        <v>2</v>
      </c>
      <c r="H171" s="7">
        <v>32</v>
      </c>
      <c r="I171" s="7">
        <v>0</v>
      </c>
      <c r="J171" s="7">
        <v>0</v>
      </c>
      <c r="K171" s="7">
        <v>0</v>
      </c>
      <c r="L171" s="7">
        <v>25</v>
      </c>
      <c r="M171" s="7">
        <v>1</v>
      </c>
      <c r="N171" s="7">
        <v>28</v>
      </c>
      <c r="O171" s="7">
        <v>14</v>
      </c>
      <c r="P171" s="7">
        <v>13</v>
      </c>
      <c r="Q171" s="7">
        <v>3</v>
      </c>
      <c r="R171" s="7">
        <v>3</v>
      </c>
      <c r="S171" s="7">
        <v>8</v>
      </c>
      <c r="T171" s="7">
        <v>0</v>
      </c>
      <c r="U171" s="7">
        <v>22</v>
      </c>
      <c r="V171" s="2">
        <f t="shared" si="27"/>
        <v>9.198585553926403</v>
      </c>
      <c r="W171" s="7">
        <v>50</v>
      </c>
      <c r="X171" s="2">
        <f t="shared" si="20"/>
        <v>59.198585553926407</v>
      </c>
      <c r="Y171" s="2"/>
      <c r="Z171" s="2">
        <f t="shared" si="21"/>
        <v>115</v>
      </c>
      <c r="AA171" s="1">
        <f t="shared" si="22"/>
        <v>19.130434782608695</v>
      </c>
      <c r="AB171" s="1">
        <f t="shared" si="23"/>
        <v>9.5652173913043477</v>
      </c>
      <c r="AC171" s="1">
        <f t="shared" si="24"/>
        <v>2.6086956521739131</v>
      </c>
      <c r="AD171" s="2">
        <f t="shared" si="25"/>
        <v>4.2592592592592595</v>
      </c>
      <c r="AE171" s="2">
        <f t="shared" si="26"/>
        <v>9.5652173913043477</v>
      </c>
      <c r="AF171" s="2">
        <f t="shared" si="28"/>
        <v>45.992927769632011</v>
      </c>
    </row>
    <row r="172" spans="1:32" x14ac:dyDescent="0.35">
      <c r="A172" s="2" t="s">
        <v>560</v>
      </c>
      <c r="B172" s="2" t="s">
        <v>390</v>
      </c>
      <c r="C172" s="2">
        <v>27</v>
      </c>
      <c r="D172" s="2">
        <v>2.31</v>
      </c>
      <c r="E172" s="7">
        <v>1</v>
      </c>
      <c r="F172" s="7">
        <v>1</v>
      </c>
      <c r="G172" s="7">
        <v>0</v>
      </c>
      <c r="H172" s="7">
        <v>11</v>
      </c>
      <c r="I172" s="7">
        <v>1</v>
      </c>
      <c r="J172" s="7">
        <v>0</v>
      </c>
      <c r="K172" s="7">
        <v>0</v>
      </c>
      <c r="L172" s="7">
        <v>11</v>
      </c>
      <c r="M172" s="7">
        <v>2</v>
      </c>
      <c r="N172" s="7">
        <v>12</v>
      </c>
      <c r="O172" s="7">
        <v>4</v>
      </c>
      <c r="P172" s="7">
        <v>3</v>
      </c>
      <c r="Q172" s="7">
        <v>0</v>
      </c>
      <c r="R172" s="7">
        <v>0</v>
      </c>
      <c r="S172" s="7">
        <v>9</v>
      </c>
      <c r="T172" s="7">
        <v>1</v>
      </c>
      <c r="U172" s="7">
        <v>8</v>
      </c>
      <c r="V172" s="2">
        <f t="shared" si="27"/>
        <v>5.1781780176841416E-2</v>
      </c>
      <c r="W172" s="7">
        <v>50</v>
      </c>
      <c r="X172" s="2">
        <f t="shared" si="20"/>
        <v>50.051781780176839</v>
      </c>
      <c r="Y172" s="2"/>
      <c r="Z172" s="2">
        <f t="shared" si="21"/>
        <v>56</v>
      </c>
      <c r="AA172" s="1">
        <f t="shared" si="22"/>
        <v>14.285714285714285</v>
      </c>
      <c r="AB172" s="1">
        <f t="shared" si="23"/>
        <v>16.071428571428573</v>
      </c>
      <c r="AC172" s="1">
        <f t="shared" si="24"/>
        <v>0</v>
      </c>
      <c r="AD172" s="2">
        <f t="shared" si="25"/>
        <v>2.074074074074074</v>
      </c>
      <c r="AE172" s="2">
        <f t="shared" si="26"/>
        <v>-1.7857142857142883</v>
      </c>
      <c r="AF172" s="2">
        <f t="shared" si="28"/>
        <v>0.25890890088420709</v>
      </c>
    </row>
    <row r="173" spans="1:32" x14ac:dyDescent="0.35">
      <c r="A173" s="2" t="s">
        <v>561</v>
      </c>
      <c r="B173" s="2" t="s">
        <v>390</v>
      </c>
      <c r="C173" s="2">
        <v>27</v>
      </c>
      <c r="D173" s="2">
        <v>13.5</v>
      </c>
      <c r="E173" s="7">
        <v>0</v>
      </c>
      <c r="F173" s="7">
        <v>0</v>
      </c>
      <c r="G173" s="7">
        <v>0</v>
      </c>
      <c r="H173" s="7">
        <v>1</v>
      </c>
      <c r="I173" s="7">
        <v>0</v>
      </c>
      <c r="J173" s="7">
        <v>0</v>
      </c>
      <c r="K173" s="7">
        <v>0</v>
      </c>
      <c r="L173" s="7">
        <v>2</v>
      </c>
      <c r="N173" s="7">
        <v>4</v>
      </c>
      <c r="O173" s="7">
        <v>3</v>
      </c>
      <c r="P173" s="7">
        <v>3</v>
      </c>
      <c r="Q173" s="7">
        <v>0</v>
      </c>
      <c r="R173" s="7">
        <v>0</v>
      </c>
      <c r="S173" s="7">
        <v>0</v>
      </c>
      <c r="T173" s="7">
        <v>0</v>
      </c>
      <c r="U173" s="7">
        <v>1</v>
      </c>
      <c r="V173" s="2">
        <f t="shared" si="27"/>
        <v>5.6901895036325756E-2</v>
      </c>
      <c r="W173" s="7">
        <v>50</v>
      </c>
      <c r="X173" s="2">
        <f t="shared" si="20"/>
        <v>50.056901895036326</v>
      </c>
      <c r="Y173" s="2"/>
      <c r="Z173" s="2">
        <f t="shared" si="21"/>
        <v>10</v>
      </c>
      <c r="AA173" s="1">
        <f t="shared" si="22"/>
        <v>10</v>
      </c>
      <c r="AB173" s="1">
        <f t="shared" si="23"/>
        <v>0</v>
      </c>
      <c r="AC173" s="1">
        <f t="shared" si="24"/>
        <v>0</v>
      </c>
      <c r="AD173" s="2">
        <f t="shared" si="25"/>
        <v>0.37037037037037035</v>
      </c>
      <c r="AE173" s="2">
        <f t="shared" si="26"/>
        <v>10</v>
      </c>
      <c r="AF173" s="2">
        <f t="shared" si="28"/>
        <v>0.28450947518162878</v>
      </c>
    </row>
    <row r="174" spans="1:32" x14ac:dyDescent="0.35">
      <c r="A174" s="2" t="s">
        <v>562</v>
      </c>
      <c r="B174" s="2" t="s">
        <v>390</v>
      </c>
      <c r="C174" s="2">
        <v>27</v>
      </c>
      <c r="D174" s="2">
        <v>2.4700000000000002</v>
      </c>
      <c r="E174" s="7">
        <v>1</v>
      </c>
      <c r="F174" s="7">
        <v>3</v>
      </c>
      <c r="G174" s="7">
        <v>4</v>
      </c>
      <c r="H174" s="7">
        <v>53</v>
      </c>
      <c r="I174" s="7">
        <v>0</v>
      </c>
      <c r="J174" s="7">
        <v>0</v>
      </c>
      <c r="K174" s="7">
        <v>0</v>
      </c>
      <c r="L174" s="7">
        <v>47</v>
      </c>
      <c r="M174" s="7">
        <v>1</v>
      </c>
      <c r="N174" s="7">
        <v>41</v>
      </c>
      <c r="O174" s="7">
        <v>15</v>
      </c>
      <c r="P174" s="7">
        <v>13</v>
      </c>
      <c r="Q174" s="7">
        <v>4</v>
      </c>
      <c r="R174" s="7">
        <v>2</v>
      </c>
      <c r="S174" s="7">
        <v>18</v>
      </c>
      <c r="T174" s="7">
        <v>2</v>
      </c>
      <c r="U174" s="7">
        <v>58</v>
      </c>
      <c r="V174" s="2">
        <f t="shared" si="27"/>
        <v>47.447447580538928</v>
      </c>
      <c r="W174" s="7">
        <v>50</v>
      </c>
      <c r="X174" s="2">
        <f t="shared" si="20"/>
        <v>97.44744758053892</v>
      </c>
      <c r="Y174" s="2"/>
      <c r="Z174" s="2">
        <f t="shared" si="21"/>
        <v>203</v>
      </c>
      <c r="AA174" s="1">
        <f t="shared" si="22"/>
        <v>28.571428571428569</v>
      </c>
      <c r="AB174" s="1">
        <f t="shared" si="23"/>
        <v>9.8522167487684733</v>
      </c>
      <c r="AC174" s="1">
        <f t="shared" si="24"/>
        <v>1.9704433497536946</v>
      </c>
      <c r="AD174" s="2">
        <f t="shared" si="25"/>
        <v>7.5185185185185182</v>
      </c>
      <c r="AE174" s="2">
        <f t="shared" si="26"/>
        <v>18.719211822660096</v>
      </c>
      <c r="AF174" s="2">
        <f t="shared" si="28"/>
        <v>237.23723790269463</v>
      </c>
    </row>
    <row r="175" spans="1:32" x14ac:dyDescent="0.35">
      <c r="A175" s="2" t="s">
        <v>563</v>
      </c>
      <c r="B175" s="2" t="s">
        <v>390</v>
      </c>
      <c r="C175" s="2">
        <v>27</v>
      </c>
      <c r="D175" s="2">
        <v>3.9</v>
      </c>
      <c r="E175" s="7">
        <v>5</v>
      </c>
      <c r="F175" s="7">
        <v>3</v>
      </c>
      <c r="G175" s="7">
        <v>1</v>
      </c>
      <c r="H175" s="7">
        <v>55</v>
      </c>
      <c r="I175" s="7">
        <v>0</v>
      </c>
      <c r="J175" s="7">
        <v>0</v>
      </c>
      <c r="K175" s="7">
        <v>0</v>
      </c>
      <c r="L175" s="7">
        <v>67</v>
      </c>
      <c r="N175" s="7">
        <v>62</v>
      </c>
      <c r="O175" s="7">
        <v>31</v>
      </c>
      <c r="P175" s="7">
        <v>29</v>
      </c>
      <c r="Q175" s="7">
        <v>4</v>
      </c>
      <c r="R175" s="7">
        <v>2</v>
      </c>
      <c r="S175" s="7">
        <v>32</v>
      </c>
      <c r="T175" s="7">
        <v>2</v>
      </c>
      <c r="U175" s="7">
        <v>58</v>
      </c>
      <c r="V175" s="2">
        <f t="shared" si="27"/>
        <v>25.259873185799115</v>
      </c>
      <c r="W175" s="7">
        <v>50</v>
      </c>
      <c r="X175" s="2">
        <f t="shared" si="20"/>
        <v>75.259873185799108</v>
      </c>
      <c r="Y175" s="2"/>
      <c r="Z175" s="2">
        <f t="shared" si="21"/>
        <v>297</v>
      </c>
      <c r="AA175" s="1">
        <f t="shared" si="22"/>
        <v>19.528619528619529</v>
      </c>
      <c r="AB175" s="1">
        <f t="shared" si="23"/>
        <v>11.447811447811448</v>
      </c>
      <c r="AC175" s="1">
        <f t="shared" si="24"/>
        <v>1.3468013468013467</v>
      </c>
      <c r="AD175" s="2">
        <f t="shared" si="25"/>
        <v>11</v>
      </c>
      <c r="AE175" s="2">
        <f t="shared" si="26"/>
        <v>8.0808080808080813</v>
      </c>
      <c r="AF175" s="2">
        <f t="shared" si="28"/>
        <v>126.29936592899558</v>
      </c>
    </row>
    <row r="176" spans="1:32" x14ac:dyDescent="0.35">
      <c r="A176" s="2" t="s">
        <v>564</v>
      </c>
      <c r="B176" s="2" t="s">
        <v>390</v>
      </c>
      <c r="C176" s="2">
        <v>27</v>
      </c>
      <c r="D176" s="2">
        <v>7.04</v>
      </c>
      <c r="E176" s="7">
        <v>0</v>
      </c>
      <c r="F176" s="7">
        <v>0</v>
      </c>
      <c r="G176" s="7">
        <v>0</v>
      </c>
      <c r="H176" s="7">
        <v>6</v>
      </c>
      <c r="I176" s="7">
        <v>0</v>
      </c>
      <c r="J176" s="7">
        <v>0</v>
      </c>
      <c r="K176" s="7">
        <v>0</v>
      </c>
      <c r="L176" s="7">
        <v>7</v>
      </c>
      <c r="M176" s="7">
        <v>2</v>
      </c>
      <c r="N176" s="7">
        <v>13</v>
      </c>
      <c r="O176" s="7">
        <v>6</v>
      </c>
      <c r="P176" s="7">
        <v>6</v>
      </c>
      <c r="Q176" s="7">
        <v>1</v>
      </c>
      <c r="R176" s="7">
        <v>1</v>
      </c>
      <c r="S176" s="7">
        <v>1</v>
      </c>
      <c r="T176" s="7">
        <v>0</v>
      </c>
      <c r="U176" s="7">
        <v>3</v>
      </c>
      <c r="V176" s="2">
        <f t="shared" si="27"/>
        <v>0.58646897828184374</v>
      </c>
      <c r="W176" s="7">
        <v>50</v>
      </c>
      <c r="X176" s="2">
        <f t="shared" si="20"/>
        <v>50.586468978281843</v>
      </c>
      <c r="Y176" s="2"/>
      <c r="Z176" s="2">
        <f t="shared" si="21"/>
        <v>38</v>
      </c>
      <c r="AA176" s="1">
        <f t="shared" si="22"/>
        <v>7.8947368421052628</v>
      </c>
      <c r="AB176" s="1">
        <f t="shared" si="23"/>
        <v>5.2631578947368416</v>
      </c>
      <c r="AC176" s="1">
        <f t="shared" si="24"/>
        <v>2.6315789473684208</v>
      </c>
      <c r="AD176" s="2">
        <f t="shared" si="25"/>
        <v>1.4074074074074074</v>
      </c>
      <c r="AE176" s="2">
        <f t="shared" si="26"/>
        <v>2.6315789473684212</v>
      </c>
      <c r="AF176" s="2">
        <f t="shared" si="28"/>
        <v>2.9323448914092189</v>
      </c>
    </row>
    <row r="177" spans="1:32" x14ac:dyDescent="0.35">
      <c r="A177" s="2" t="s">
        <v>565</v>
      </c>
      <c r="B177" s="2" t="s">
        <v>390</v>
      </c>
      <c r="C177" s="2">
        <v>27</v>
      </c>
      <c r="D177" s="2">
        <v>7.45</v>
      </c>
      <c r="E177" s="7">
        <v>1</v>
      </c>
      <c r="F177" s="7">
        <v>0</v>
      </c>
      <c r="G177" s="7">
        <v>0</v>
      </c>
      <c r="H177" s="7">
        <v>7</v>
      </c>
      <c r="I177" s="7">
        <v>0</v>
      </c>
      <c r="J177" s="7">
        <v>0</v>
      </c>
      <c r="K177" s="7">
        <v>0</v>
      </c>
      <c r="L177" s="7">
        <v>9</v>
      </c>
      <c r="M177" s="7">
        <v>2</v>
      </c>
      <c r="N177" s="7">
        <v>10</v>
      </c>
      <c r="O177" s="7">
        <v>8</v>
      </c>
      <c r="P177" s="7">
        <v>8</v>
      </c>
      <c r="Q177" s="7">
        <v>1</v>
      </c>
      <c r="R177" s="7">
        <v>1</v>
      </c>
      <c r="S177" s="7">
        <v>4</v>
      </c>
      <c r="T177" s="7">
        <v>0</v>
      </c>
      <c r="U177" s="7">
        <v>8</v>
      </c>
      <c r="V177" s="2">
        <f t="shared" si="27"/>
        <v>1.2095300506933619</v>
      </c>
      <c r="W177" s="7">
        <v>50</v>
      </c>
      <c r="X177" s="2">
        <f t="shared" si="20"/>
        <v>51.20953005069336</v>
      </c>
      <c r="Y177" s="2"/>
      <c r="Z177" s="2">
        <f t="shared" si="21"/>
        <v>44</v>
      </c>
      <c r="AA177" s="1">
        <f t="shared" si="22"/>
        <v>18.181818181818183</v>
      </c>
      <c r="AB177" s="1">
        <f t="shared" si="23"/>
        <v>11.363636363636363</v>
      </c>
      <c r="AC177" s="1">
        <f t="shared" si="24"/>
        <v>2.2727272727272729</v>
      </c>
      <c r="AD177" s="2">
        <f t="shared" si="25"/>
        <v>1.6296296296296295</v>
      </c>
      <c r="AE177" s="2">
        <f t="shared" si="26"/>
        <v>6.8181818181818201</v>
      </c>
      <c r="AF177" s="2">
        <f t="shared" si="28"/>
        <v>6.0476502534668093</v>
      </c>
    </row>
    <row r="178" spans="1:32" x14ac:dyDescent="0.35">
      <c r="A178" s="2" t="s">
        <v>566</v>
      </c>
      <c r="B178" s="2" t="s">
        <v>390</v>
      </c>
      <c r="C178" s="2">
        <v>27</v>
      </c>
      <c r="D178" s="2">
        <v>4.5</v>
      </c>
      <c r="E178" s="7">
        <v>0</v>
      </c>
      <c r="F178" s="7">
        <v>0</v>
      </c>
      <c r="G178" s="7">
        <v>0</v>
      </c>
      <c r="H178" s="7">
        <v>1</v>
      </c>
      <c r="I178" s="7">
        <v>0</v>
      </c>
      <c r="J178" s="7">
        <v>0</v>
      </c>
      <c r="K178" s="7">
        <v>0</v>
      </c>
      <c r="L178" s="7">
        <v>2</v>
      </c>
      <c r="N178" s="7">
        <v>1</v>
      </c>
      <c r="O178" s="7">
        <v>1</v>
      </c>
      <c r="P178" s="7">
        <v>1</v>
      </c>
      <c r="Q178" s="7">
        <v>0</v>
      </c>
      <c r="R178" s="7">
        <v>0</v>
      </c>
      <c r="S178" s="7">
        <v>3</v>
      </c>
      <c r="T178" s="7">
        <v>0</v>
      </c>
      <c r="U178" s="7">
        <v>0</v>
      </c>
      <c r="V178" s="2">
        <f t="shared" si="27"/>
        <v>-0.48773052888279222</v>
      </c>
      <c r="W178" s="7">
        <v>50</v>
      </c>
      <c r="X178" s="2">
        <f t="shared" si="20"/>
        <v>49.512269471117207</v>
      </c>
      <c r="Y178" s="2"/>
      <c r="Z178" s="2">
        <f t="shared" si="21"/>
        <v>10</v>
      </c>
      <c r="AA178" s="1">
        <f t="shared" si="22"/>
        <v>0</v>
      </c>
      <c r="AB178" s="1">
        <f t="shared" si="23"/>
        <v>30</v>
      </c>
      <c r="AC178" s="1">
        <f t="shared" si="24"/>
        <v>0</v>
      </c>
      <c r="AD178" s="2">
        <f t="shared" si="25"/>
        <v>0.37037037037037035</v>
      </c>
      <c r="AE178" s="2">
        <f t="shared" si="26"/>
        <v>-30</v>
      </c>
      <c r="AF178" s="2">
        <f t="shared" si="28"/>
        <v>-2.4386526444139611</v>
      </c>
    </row>
    <row r="179" spans="1:32" x14ac:dyDescent="0.35">
      <c r="A179" s="2" t="s">
        <v>567</v>
      </c>
      <c r="B179" s="2" t="s">
        <v>390</v>
      </c>
      <c r="C179" s="2">
        <v>27</v>
      </c>
      <c r="D179" s="2">
        <v>3.28</v>
      </c>
      <c r="E179" s="7">
        <v>0</v>
      </c>
      <c r="F179" s="7">
        <v>1</v>
      </c>
      <c r="G179" s="7">
        <v>0</v>
      </c>
      <c r="H179" s="7">
        <v>25</v>
      </c>
      <c r="I179" s="7">
        <v>0</v>
      </c>
      <c r="J179" s="7">
        <v>0</v>
      </c>
      <c r="K179" s="7">
        <v>0</v>
      </c>
      <c r="L179" s="7">
        <v>35</v>
      </c>
      <c r="M179" s="7">
        <v>2</v>
      </c>
      <c r="N179" s="7">
        <v>37</v>
      </c>
      <c r="O179" s="7">
        <v>15</v>
      </c>
      <c r="P179" s="7">
        <v>13</v>
      </c>
      <c r="Q179" s="7">
        <v>1</v>
      </c>
      <c r="R179" s="7">
        <v>1</v>
      </c>
      <c r="S179" s="7">
        <v>17</v>
      </c>
      <c r="T179" s="7">
        <v>0</v>
      </c>
      <c r="U179" s="7">
        <v>28</v>
      </c>
      <c r="V179" s="2">
        <f t="shared" si="27"/>
        <v>7.2025382805268379</v>
      </c>
      <c r="W179" s="7">
        <v>50</v>
      </c>
      <c r="X179" s="2">
        <f t="shared" si="20"/>
        <v>57.202538280526838</v>
      </c>
      <c r="Y179" s="2"/>
      <c r="Z179" s="2">
        <f t="shared" si="21"/>
        <v>162</v>
      </c>
      <c r="AA179" s="1">
        <f t="shared" si="22"/>
        <v>17.283950617283949</v>
      </c>
      <c r="AB179" s="1">
        <f t="shared" si="23"/>
        <v>11.111111111111111</v>
      </c>
      <c r="AC179" s="1">
        <f t="shared" si="24"/>
        <v>0.61728395061728392</v>
      </c>
      <c r="AD179" s="2">
        <f t="shared" si="25"/>
        <v>6</v>
      </c>
      <c r="AE179" s="2">
        <f t="shared" si="26"/>
        <v>6.1728395061728385</v>
      </c>
      <c r="AF179" s="2">
        <f t="shared" si="28"/>
        <v>36.012691402634189</v>
      </c>
    </row>
    <row r="180" spans="1:32" x14ac:dyDescent="0.35">
      <c r="A180" s="2" t="s">
        <v>568</v>
      </c>
      <c r="B180" s="2" t="s">
        <v>390</v>
      </c>
      <c r="C180" s="2">
        <v>27</v>
      </c>
      <c r="D180" s="2">
        <v>3.6</v>
      </c>
      <c r="E180" s="7">
        <v>1</v>
      </c>
      <c r="F180" s="7">
        <v>0</v>
      </c>
      <c r="G180" s="7">
        <v>0</v>
      </c>
      <c r="H180" s="7">
        <v>28</v>
      </c>
      <c r="I180" s="7">
        <v>0</v>
      </c>
      <c r="J180" s="7">
        <v>0</v>
      </c>
      <c r="K180" s="7">
        <v>0</v>
      </c>
      <c r="L180" s="7">
        <v>35</v>
      </c>
      <c r="N180" s="7">
        <v>28</v>
      </c>
      <c r="O180" s="7">
        <v>14</v>
      </c>
      <c r="P180" s="7">
        <v>14</v>
      </c>
      <c r="Q180" s="7">
        <v>5</v>
      </c>
      <c r="R180" s="7">
        <v>1</v>
      </c>
      <c r="S180" s="7">
        <v>5</v>
      </c>
      <c r="T180" s="7">
        <v>0</v>
      </c>
      <c r="U180" s="7">
        <v>30</v>
      </c>
      <c r="V180" s="2">
        <f t="shared" si="27"/>
        <v>29.470699983223295</v>
      </c>
      <c r="W180" s="7">
        <v>50</v>
      </c>
      <c r="X180" s="2">
        <f t="shared" si="20"/>
        <v>79.470699983223298</v>
      </c>
      <c r="Y180" s="2"/>
      <c r="Z180" s="2">
        <f t="shared" si="21"/>
        <v>139</v>
      </c>
      <c r="AA180" s="1">
        <f t="shared" si="22"/>
        <v>21.582733812949641</v>
      </c>
      <c r="AB180" s="1">
        <f t="shared" si="23"/>
        <v>4.3165467625899279</v>
      </c>
      <c r="AC180" s="1">
        <f t="shared" si="24"/>
        <v>3.5971223021582732</v>
      </c>
      <c r="AD180" s="2">
        <f t="shared" si="25"/>
        <v>5.1481481481481479</v>
      </c>
      <c r="AE180" s="2">
        <f t="shared" si="26"/>
        <v>17.266187050359711</v>
      </c>
      <c r="AF180" s="2">
        <f t="shared" si="28"/>
        <v>147.35349991611648</v>
      </c>
    </row>
    <row r="181" spans="1:32" x14ac:dyDescent="0.35">
      <c r="A181" s="2" t="s">
        <v>569</v>
      </c>
      <c r="B181" s="2" t="s">
        <v>390</v>
      </c>
      <c r="C181" s="2">
        <v>27</v>
      </c>
      <c r="D181" s="2">
        <v>4.3899999999999997</v>
      </c>
      <c r="E181" s="7">
        <v>3</v>
      </c>
      <c r="F181" s="7">
        <v>8</v>
      </c>
      <c r="G181" s="7">
        <v>2</v>
      </c>
      <c r="H181" s="7">
        <v>72</v>
      </c>
      <c r="I181" s="7">
        <v>3</v>
      </c>
      <c r="J181" s="7">
        <v>0</v>
      </c>
      <c r="K181" s="7">
        <v>0</v>
      </c>
      <c r="L181" s="7">
        <v>69</v>
      </c>
      <c r="M181" s="7">
        <v>2</v>
      </c>
      <c r="N181" s="7">
        <v>75</v>
      </c>
      <c r="O181" s="7">
        <v>36</v>
      </c>
      <c r="P181" s="7">
        <v>34</v>
      </c>
      <c r="Q181" s="7">
        <v>12</v>
      </c>
      <c r="R181" s="7">
        <v>5</v>
      </c>
      <c r="S181" s="7">
        <v>25</v>
      </c>
      <c r="T181" s="7">
        <v>6</v>
      </c>
      <c r="U181" s="7">
        <v>74</v>
      </c>
      <c r="V181" s="2">
        <f t="shared" si="27"/>
        <v>65.50670021676045</v>
      </c>
      <c r="W181" s="7">
        <v>50</v>
      </c>
      <c r="X181" s="2">
        <f t="shared" si="20"/>
        <v>115.50670021676045</v>
      </c>
      <c r="Y181" s="2"/>
      <c r="Z181" s="2">
        <f t="shared" si="21"/>
        <v>314</v>
      </c>
      <c r="AA181" s="1">
        <f t="shared" si="22"/>
        <v>23.566878980891719</v>
      </c>
      <c r="AB181" s="1">
        <f t="shared" si="23"/>
        <v>9.5541401273885356</v>
      </c>
      <c r="AC181" s="1">
        <f t="shared" si="24"/>
        <v>3.8216560509554141</v>
      </c>
      <c r="AD181" s="2">
        <f t="shared" si="25"/>
        <v>11.62962962962963</v>
      </c>
      <c r="AE181" s="2">
        <f t="shared" si="26"/>
        <v>14.012738853503183</v>
      </c>
      <c r="AF181" s="2">
        <f t="shared" si="28"/>
        <v>327.53350108380226</v>
      </c>
    </row>
    <row r="182" spans="1:32" x14ac:dyDescent="0.35">
      <c r="A182" s="2" t="s">
        <v>570</v>
      </c>
      <c r="B182" s="2" t="s">
        <v>390</v>
      </c>
      <c r="C182" s="2">
        <v>27</v>
      </c>
      <c r="D182" s="2">
        <v>4.24</v>
      </c>
      <c r="E182" s="7">
        <v>1</v>
      </c>
      <c r="F182" s="7">
        <v>2</v>
      </c>
      <c r="G182" s="7">
        <v>0</v>
      </c>
      <c r="H182" s="7">
        <v>18</v>
      </c>
      <c r="I182" s="7">
        <v>3</v>
      </c>
      <c r="J182" s="7">
        <v>0</v>
      </c>
      <c r="K182" s="7">
        <v>0</v>
      </c>
      <c r="L182" s="7">
        <v>17</v>
      </c>
      <c r="N182" s="7">
        <v>8</v>
      </c>
      <c r="O182" s="7">
        <v>9</v>
      </c>
      <c r="P182" s="7">
        <v>8</v>
      </c>
      <c r="Q182" s="7">
        <v>1</v>
      </c>
      <c r="R182" s="7">
        <v>1</v>
      </c>
      <c r="S182" s="7">
        <v>19</v>
      </c>
      <c r="T182" s="7">
        <v>0</v>
      </c>
      <c r="U182" s="7">
        <v>22</v>
      </c>
      <c r="V182" s="2">
        <f t="shared" si="27"/>
        <v>1.7066829100327845</v>
      </c>
      <c r="W182" s="7">
        <v>50</v>
      </c>
      <c r="X182" s="2">
        <f t="shared" si="20"/>
        <v>51.706682910032782</v>
      </c>
      <c r="Y182" s="2"/>
      <c r="Z182" s="2">
        <f t="shared" si="21"/>
        <v>79</v>
      </c>
      <c r="AA182" s="1">
        <f t="shared" si="22"/>
        <v>27.848101265822784</v>
      </c>
      <c r="AB182" s="1">
        <f t="shared" si="23"/>
        <v>25.316455696202532</v>
      </c>
      <c r="AC182" s="1">
        <f t="shared" si="24"/>
        <v>1.2658227848101267</v>
      </c>
      <c r="AD182" s="2">
        <f t="shared" si="25"/>
        <v>2.925925925925926</v>
      </c>
      <c r="AE182" s="2">
        <f t="shared" si="26"/>
        <v>2.5316455696202524</v>
      </c>
      <c r="AF182" s="2">
        <f t="shared" si="28"/>
        <v>8.533414550163922</v>
      </c>
    </row>
    <row r="183" spans="1:32" x14ac:dyDescent="0.35">
      <c r="A183" s="2" t="s">
        <v>571</v>
      </c>
      <c r="B183" s="2" t="s">
        <v>390</v>
      </c>
      <c r="C183" s="2">
        <v>27</v>
      </c>
      <c r="D183" s="2">
        <v>7.71</v>
      </c>
      <c r="E183" s="7">
        <v>0</v>
      </c>
      <c r="F183" s="7">
        <v>4</v>
      </c>
      <c r="G183" s="7">
        <v>1</v>
      </c>
      <c r="H183" s="7">
        <v>32</v>
      </c>
      <c r="I183" s="7">
        <v>0</v>
      </c>
      <c r="J183" s="7">
        <v>0</v>
      </c>
      <c r="K183" s="7">
        <v>0</v>
      </c>
      <c r="L183" s="7">
        <v>30</v>
      </c>
      <c r="M183" s="7">
        <v>1</v>
      </c>
      <c r="N183" s="7">
        <v>36</v>
      </c>
      <c r="O183" s="7">
        <v>30</v>
      </c>
      <c r="P183" s="7">
        <v>26</v>
      </c>
      <c r="Q183" s="7">
        <v>6</v>
      </c>
      <c r="R183" s="7">
        <v>1</v>
      </c>
      <c r="S183" s="7">
        <v>16</v>
      </c>
      <c r="T183" s="7">
        <v>2</v>
      </c>
      <c r="U183" s="7">
        <v>34</v>
      </c>
      <c r="V183" s="2">
        <f t="shared" si="27"/>
        <v>12.250884693599781</v>
      </c>
      <c r="W183" s="7">
        <v>50</v>
      </c>
      <c r="X183" s="2">
        <f t="shared" si="20"/>
        <v>62.250884693599779</v>
      </c>
      <c r="Y183" s="2"/>
      <c r="Z183" s="2">
        <f t="shared" si="21"/>
        <v>144</v>
      </c>
      <c r="AA183" s="1">
        <f t="shared" si="22"/>
        <v>23.611111111111111</v>
      </c>
      <c r="AB183" s="1">
        <f t="shared" si="23"/>
        <v>11.805555555555555</v>
      </c>
      <c r="AC183" s="1">
        <f t="shared" si="24"/>
        <v>4.1666666666666661</v>
      </c>
      <c r="AD183" s="2">
        <f t="shared" si="25"/>
        <v>5.333333333333333</v>
      </c>
      <c r="AE183" s="2">
        <f t="shared" si="26"/>
        <v>11.805555555555555</v>
      </c>
      <c r="AF183" s="2">
        <f t="shared" si="28"/>
        <v>61.254423467998905</v>
      </c>
    </row>
    <row r="184" spans="1:32" x14ac:dyDescent="0.35">
      <c r="A184" s="2" t="s">
        <v>572</v>
      </c>
      <c r="B184" s="2" t="s">
        <v>390</v>
      </c>
      <c r="C184" s="2">
        <v>27</v>
      </c>
      <c r="D184" s="2">
        <v>5.4</v>
      </c>
      <c r="E184" s="7">
        <v>0</v>
      </c>
      <c r="F184" s="7">
        <v>0</v>
      </c>
      <c r="G184" s="7">
        <v>0</v>
      </c>
      <c r="H184" s="7">
        <v>5</v>
      </c>
      <c r="I184" s="7">
        <v>0</v>
      </c>
      <c r="J184" s="7">
        <v>0</v>
      </c>
      <c r="K184" s="7">
        <v>0</v>
      </c>
      <c r="L184" s="7">
        <v>3</v>
      </c>
      <c r="M184" s="7">
        <v>1</v>
      </c>
      <c r="N184" s="7">
        <v>5</v>
      </c>
      <c r="O184" s="7">
        <v>2</v>
      </c>
      <c r="P184" s="7">
        <v>2</v>
      </c>
      <c r="Q184" s="7">
        <v>1</v>
      </c>
      <c r="R184" s="7">
        <v>0</v>
      </c>
      <c r="S184" s="7">
        <v>1</v>
      </c>
      <c r="T184" s="7">
        <v>0</v>
      </c>
      <c r="U184" s="7">
        <v>3</v>
      </c>
      <c r="V184" s="2">
        <f t="shared" si="27"/>
        <v>2.0833206320174766</v>
      </c>
      <c r="W184" s="7">
        <v>50</v>
      </c>
      <c r="X184" s="2">
        <f t="shared" si="20"/>
        <v>52.083320632017475</v>
      </c>
      <c r="Y184" s="2"/>
      <c r="Z184" s="2">
        <f t="shared" si="21"/>
        <v>16</v>
      </c>
      <c r="AA184" s="1">
        <f t="shared" si="22"/>
        <v>18.75</v>
      </c>
      <c r="AB184" s="1">
        <f t="shared" si="23"/>
        <v>6.25</v>
      </c>
      <c r="AC184" s="1">
        <f t="shared" si="24"/>
        <v>6.25</v>
      </c>
      <c r="AD184" s="2">
        <f t="shared" si="25"/>
        <v>0.59259259259259256</v>
      </c>
      <c r="AE184" s="2">
        <f t="shared" si="26"/>
        <v>12.5</v>
      </c>
      <c r="AF184" s="2">
        <f t="shared" si="28"/>
        <v>10.416603160087384</v>
      </c>
    </row>
    <row r="185" spans="1:32" x14ac:dyDescent="0.35">
      <c r="A185" s="2" t="s">
        <v>573</v>
      </c>
      <c r="B185" s="2" t="s">
        <v>390</v>
      </c>
      <c r="C185" s="2">
        <v>27</v>
      </c>
      <c r="D185" s="2">
        <v>2.63</v>
      </c>
      <c r="E185" s="7">
        <v>4</v>
      </c>
      <c r="F185" s="7">
        <v>5</v>
      </c>
      <c r="G185" s="7">
        <v>0</v>
      </c>
      <c r="H185" s="7">
        <v>44</v>
      </c>
      <c r="I185" s="7">
        <v>1</v>
      </c>
      <c r="J185" s="7">
        <v>0</v>
      </c>
      <c r="K185" s="7">
        <v>0</v>
      </c>
      <c r="L185" s="7">
        <v>54</v>
      </c>
      <c r="M185" s="7">
        <v>2</v>
      </c>
      <c r="N185" s="7">
        <v>44</v>
      </c>
      <c r="O185" s="7">
        <v>18</v>
      </c>
      <c r="P185" s="7">
        <v>16</v>
      </c>
      <c r="Q185" s="7">
        <v>3</v>
      </c>
      <c r="R185" s="7">
        <v>6</v>
      </c>
      <c r="S185" s="7">
        <v>21</v>
      </c>
      <c r="T185" s="7">
        <v>3</v>
      </c>
      <c r="U185" s="7">
        <v>43</v>
      </c>
      <c r="V185" s="2">
        <f t="shared" si="27"/>
        <v>23.374270308325144</v>
      </c>
      <c r="W185" s="7">
        <v>50</v>
      </c>
      <c r="X185" s="2">
        <f t="shared" si="20"/>
        <v>73.374270308325151</v>
      </c>
      <c r="Y185" s="2"/>
      <c r="Z185" s="2">
        <f t="shared" si="21"/>
        <v>235</v>
      </c>
      <c r="AA185" s="1">
        <f t="shared" si="22"/>
        <v>18.297872340425531</v>
      </c>
      <c r="AB185" s="1">
        <f t="shared" si="23"/>
        <v>11.48936170212766</v>
      </c>
      <c r="AC185" s="1">
        <f t="shared" si="24"/>
        <v>1.2765957446808509</v>
      </c>
      <c r="AD185" s="2">
        <f t="shared" si="25"/>
        <v>8.7037037037037042</v>
      </c>
      <c r="AE185" s="2">
        <f t="shared" si="26"/>
        <v>6.8085106382978715</v>
      </c>
      <c r="AF185" s="2">
        <f t="shared" si="28"/>
        <v>116.87135154162573</v>
      </c>
    </row>
    <row r="186" spans="1:32" x14ac:dyDescent="0.35">
      <c r="A186" s="2" t="s">
        <v>574</v>
      </c>
      <c r="B186" s="2" t="s">
        <v>388</v>
      </c>
      <c r="C186" s="2">
        <v>27</v>
      </c>
      <c r="D186" s="2">
        <v>8.65</v>
      </c>
      <c r="E186" s="7">
        <v>0</v>
      </c>
      <c r="F186" s="7">
        <v>3</v>
      </c>
      <c r="G186" s="7">
        <v>0</v>
      </c>
      <c r="H186" s="7">
        <v>6</v>
      </c>
      <c r="I186" s="7">
        <v>6</v>
      </c>
      <c r="J186" s="7">
        <v>0</v>
      </c>
      <c r="K186" s="7">
        <v>0</v>
      </c>
      <c r="L186" s="7">
        <v>26</v>
      </c>
      <c r="N186" s="7">
        <v>32</v>
      </c>
      <c r="O186" s="7">
        <v>26</v>
      </c>
      <c r="P186" s="7">
        <v>25</v>
      </c>
      <c r="Q186" s="7">
        <v>6</v>
      </c>
      <c r="R186" s="7">
        <v>1</v>
      </c>
      <c r="S186" s="7">
        <v>11</v>
      </c>
      <c r="T186" s="7">
        <v>0</v>
      </c>
      <c r="U186" s="7">
        <v>23</v>
      </c>
      <c r="V186" s="2">
        <f t="shared" si="27"/>
        <v>8.3684062821187233</v>
      </c>
      <c r="W186" s="7">
        <v>50</v>
      </c>
      <c r="X186" s="2">
        <f t="shared" si="20"/>
        <v>58.368406282118727</v>
      </c>
      <c r="Y186" s="2"/>
      <c r="Z186" s="2">
        <f t="shared" si="21"/>
        <v>122</v>
      </c>
      <c r="AA186" s="1">
        <f t="shared" si="22"/>
        <v>18.852459016393443</v>
      </c>
      <c r="AB186" s="1">
        <f t="shared" si="23"/>
        <v>9.8360655737704921</v>
      </c>
      <c r="AC186" s="1">
        <f t="shared" si="24"/>
        <v>4.918032786885246</v>
      </c>
      <c r="AD186" s="2">
        <f t="shared" si="25"/>
        <v>4.5185185185185182</v>
      </c>
      <c r="AE186" s="2">
        <f t="shared" si="26"/>
        <v>9.0163934426229506</v>
      </c>
      <c r="AF186" s="2">
        <f t="shared" si="28"/>
        <v>41.84203141059362</v>
      </c>
    </row>
    <row r="187" spans="1:32" x14ac:dyDescent="0.35">
      <c r="A187" s="2" t="s">
        <v>575</v>
      </c>
      <c r="B187" s="2" t="s">
        <v>390</v>
      </c>
      <c r="C187" s="2">
        <v>27</v>
      </c>
      <c r="D187" s="2">
        <v>7.18</v>
      </c>
      <c r="E187" s="7">
        <v>0</v>
      </c>
      <c r="F187" s="7">
        <v>2</v>
      </c>
      <c r="G187" s="7">
        <v>0</v>
      </c>
      <c r="H187" s="7">
        <v>8</v>
      </c>
      <c r="I187" s="7">
        <v>3</v>
      </c>
      <c r="J187" s="7">
        <v>0</v>
      </c>
      <c r="K187" s="7">
        <v>0</v>
      </c>
      <c r="L187" s="7">
        <v>31</v>
      </c>
      <c r="M187" s="7">
        <v>1</v>
      </c>
      <c r="N187" s="7">
        <v>34</v>
      </c>
      <c r="O187" s="7">
        <v>26</v>
      </c>
      <c r="P187" s="7">
        <v>25</v>
      </c>
      <c r="Q187" s="7">
        <v>8</v>
      </c>
      <c r="R187" s="7">
        <v>2</v>
      </c>
      <c r="S187" s="7">
        <v>6</v>
      </c>
      <c r="T187" s="7">
        <v>0</v>
      </c>
      <c r="U187" s="7">
        <v>26</v>
      </c>
      <c r="V187" s="2">
        <f t="shared" si="27"/>
        <v>17.644590901459107</v>
      </c>
      <c r="W187" s="7">
        <v>50</v>
      </c>
      <c r="X187" s="2">
        <f t="shared" si="20"/>
        <v>67.644590901459111</v>
      </c>
      <c r="Y187" s="2"/>
      <c r="Z187" s="2">
        <f t="shared" si="21"/>
        <v>136</v>
      </c>
      <c r="AA187" s="1">
        <f t="shared" si="22"/>
        <v>19.117647058823529</v>
      </c>
      <c r="AB187" s="1">
        <f t="shared" si="23"/>
        <v>5.8823529411764701</v>
      </c>
      <c r="AC187" s="1">
        <f t="shared" si="24"/>
        <v>5.8823529411764701</v>
      </c>
      <c r="AD187" s="2">
        <f t="shared" si="25"/>
        <v>5.0370370370370372</v>
      </c>
      <c r="AE187" s="2">
        <f t="shared" si="26"/>
        <v>13.235294117647058</v>
      </c>
      <c r="AF187" s="2">
        <f t="shared" si="28"/>
        <v>88.22295450729554</v>
      </c>
    </row>
    <row r="188" spans="1:32" x14ac:dyDescent="0.35">
      <c r="A188" s="2" t="s">
        <v>576</v>
      </c>
      <c r="B188" s="2" t="s">
        <v>388</v>
      </c>
      <c r="C188" s="2">
        <v>27</v>
      </c>
      <c r="D188" s="2">
        <v>6.33</v>
      </c>
      <c r="E188" s="7">
        <v>6</v>
      </c>
      <c r="F188" s="7">
        <v>8</v>
      </c>
      <c r="G188" s="7">
        <v>0</v>
      </c>
      <c r="H188" s="7">
        <v>15</v>
      </c>
      <c r="I188" s="7">
        <v>15</v>
      </c>
      <c r="J188" s="7">
        <v>0</v>
      </c>
      <c r="K188" s="7">
        <v>0</v>
      </c>
      <c r="L188" s="7">
        <v>75</v>
      </c>
      <c r="M188" s="7">
        <v>1</v>
      </c>
      <c r="N188" s="7">
        <v>96</v>
      </c>
      <c r="O188" s="7">
        <v>60</v>
      </c>
      <c r="P188" s="7">
        <v>53</v>
      </c>
      <c r="Q188" s="7">
        <v>16</v>
      </c>
      <c r="R188" s="7">
        <v>3</v>
      </c>
      <c r="S188" s="7">
        <v>17</v>
      </c>
      <c r="T188" s="7">
        <v>0</v>
      </c>
      <c r="U188" s="7">
        <v>62</v>
      </c>
      <c r="V188" s="2">
        <f t="shared" si="27"/>
        <v>56.693920161118953</v>
      </c>
      <c r="W188" s="7">
        <v>50</v>
      </c>
      <c r="X188" s="2">
        <f t="shared" si="20"/>
        <v>106.69392016111895</v>
      </c>
      <c r="Y188" s="2"/>
      <c r="Z188" s="2">
        <f t="shared" si="21"/>
        <v>342</v>
      </c>
      <c r="AA188" s="1">
        <f t="shared" si="22"/>
        <v>18.128654970760234</v>
      </c>
      <c r="AB188" s="1">
        <f t="shared" si="23"/>
        <v>5.8479532163742682</v>
      </c>
      <c r="AC188" s="1">
        <f t="shared" si="24"/>
        <v>4.6783625730994149</v>
      </c>
      <c r="AD188" s="2">
        <f t="shared" si="25"/>
        <v>12.666666666666666</v>
      </c>
      <c r="AE188" s="2">
        <f t="shared" si="26"/>
        <v>12.280701754385966</v>
      </c>
      <c r="AF188" s="2">
        <f t="shared" si="28"/>
        <v>283.46960080559478</v>
      </c>
    </row>
    <row r="189" spans="1:32" x14ac:dyDescent="0.35">
      <c r="A189" s="2" t="s">
        <v>577</v>
      </c>
      <c r="B189" s="2" t="s">
        <v>390</v>
      </c>
      <c r="C189" s="2">
        <v>27</v>
      </c>
      <c r="D189" s="2">
        <v>3.13</v>
      </c>
      <c r="E189" s="7">
        <v>0</v>
      </c>
      <c r="F189" s="7">
        <v>0</v>
      </c>
      <c r="G189" s="7">
        <v>0</v>
      </c>
      <c r="H189" s="7">
        <v>17</v>
      </c>
      <c r="I189" s="7">
        <v>0</v>
      </c>
      <c r="J189" s="7">
        <v>0</v>
      </c>
      <c r="K189" s="7">
        <v>0</v>
      </c>
      <c r="L189" s="7">
        <v>23</v>
      </c>
      <c r="N189" s="7">
        <v>17</v>
      </c>
      <c r="O189" s="7">
        <v>8</v>
      </c>
      <c r="P189" s="7">
        <v>8</v>
      </c>
      <c r="Q189" s="7">
        <v>4</v>
      </c>
      <c r="R189" s="7">
        <v>1</v>
      </c>
      <c r="S189" s="7">
        <v>7</v>
      </c>
      <c r="T189" s="7">
        <v>1</v>
      </c>
      <c r="U189" s="7">
        <v>30</v>
      </c>
      <c r="V189" s="2">
        <f t="shared" si="27"/>
        <v>31.43191096795983</v>
      </c>
      <c r="W189" s="7">
        <v>50</v>
      </c>
      <c r="X189" s="2">
        <f t="shared" si="20"/>
        <v>81.431910967959823</v>
      </c>
      <c r="Y189" s="2"/>
      <c r="Z189" s="2">
        <f t="shared" si="21"/>
        <v>94</v>
      </c>
      <c r="AA189" s="1">
        <f t="shared" si="22"/>
        <v>31.914893617021278</v>
      </c>
      <c r="AB189" s="1">
        <f t="shared" si="23"/>
        <v>8.5106382978723403</v>
      </c>
      <c r="AC189" s="1">
        <f t="shared" si="24"/>
        <v>4.2553191489361701</v>
      </c>
      <c r="AD189" s="2">
        <f t="shared" si="25"/>
        <v>3.4814814814814814</v>
      </c>
      <c r="AE189" s="2">
        <f t="shared" si="26"/>
        <v>23.404255319148938</v>
      </c>
      <c r="AF189" s="2">
        <f t="shared" si="28"/>
        <v>157.15955483979914</v>
      </c>
    </row>
    <row r="190" spans="1:32" x14ac:dyDescent="0.35">
      <c r="A190" s="2" t="s">
        <v>578</v>
      </c>
      <c r="B190" s="2" t="s">
        <v>390</v>
      </c>
      <c r="C190" s="2">
        <v>27</v>
      </c>
      <c r="D190" s="2">
        <v>4.05</v>
      </c>
      <c r="E190" s="7">
        <v>0</v>
      </c>
      <c r="F190" s="7">
        <v>0</v>
      </c>
      <c r="G190" s="7">
        <v>0</v>
      </c>
      <c r="H190" s="7">
        <v>2</v>
      </c>
      <c r="I190" s="7">
        <v>0</v>
      </c>
      <c r="J190" s="7">
        <v>0</v>
      </c>
      <c r="K190" s="7">
        <v>0</v>
      </c>
      <c r="L190" s="7">
        <v>6</v>
      </c>
      <c r="M190" s="7">
        <v>2</v>
      </c>
      <c r="N190" s="7">
        <v>6</v>
      </c>
      <c r="O190" s="7">
        <v>3</v>
      </c>
      <c r="P190" s="7">
        <v>3</v>
      </c>
      <c r="Q190" s="7">
        <v>3</v>
      </c>
      <c r="R190" s="7">
        <v>1</v>
      </c>
      <c r="S190" s="7">
        <v>1</v>
      </c>
      <c r="T190" s="7">
        <v>0</v>
      </c>
      <c r="U190" s="7">
        <v>8</v>
      </c>
      <c r="V190" s="2">
        <f t="shared" si="27"/>
        <v>13.477310611284087</v>
      </c>
      <c r="W190" s="7">
        <v>50</v>
      </c>
      <c r="X190" s="2">
        <f t="shared" si="20"/>
        <v>63.477310611284089</v>
      </c>
      <c r="Y190" s="2"/>
      <c r="Z190" s="2">
        <f t="shared" si="21"/>
        <v>28</v>
      </c>
      <c r="AA190" s="1">
        <f t="shared" si="22"/>
        <v>28.571428571428569</v>
      </c>
      <c r="AB190" s="1">
        <f t="shared" si="23"/>
        <v>7.1428571428571423</v>
      </c>
      <c r="AC190" s="1">
        <f t="shared" si="24"/>
        <v>10.714285714285714</v>
      </c>
      <c r="AD190" s="2">
        <f t="shared" si="25"/>
        <v>1.037037037037037</v>
      </c>
      <c r="AE190" s="2">
        <f t="shared" si="26"/>
        <v>21.428571428571427</v>
      </c>
      <c r="AF190" s="2">
        <f t="shared" si="28"/>
        <v>67.386553056420439</v>
      </c>
    </row>
    <row r="191" spans="1:32" x14ac:dyDescent="0.35">
      <c r="A191" s="2" t="s">
        <v>579</v>
      </c>
      <c r="B191" s="2" t="s">
        <v>390</v>
      </c>
      <c r="C191" s="2">
        <v>27</v>
      </c>
      <c r="D191" s="2">
        <v>27</v>
      </c>
      <c r="E191" s="7">
        <v>0</v>
      </c>
      <c r="F191" s="7">
        <v>0</v>
      </c>
      <c r="G191" s="7">
        <v>0</v>
      </c>
      <c r="H191" s="7">
        <v>1</v>
      </c>
      <c r="I191" s="7">
        <v>0</v>
      </c>
      <c r="J191" s="7">
        <v>0</v>
      </c>
      <c r="K191" s="7">
        <v>0</v>
      </c>
      <c r="L191" s="7">
        <v>1</v>
      </c>
      <c r="N191" s="7">
        <v>3</v>
      </c>
      <c r="O191" s="7">
        <v>3</v>
      </c>
      <c r="P191" s="7">
        <v>3</v>
      </c>
      <c r="Q191" s="7">
        <v>0</v>
      </c>
      <c r="R191" s="7">
        <v>0</v>
      </c>
      <c r="S191" s="7">
        <v>1</v>
      </c>
      <c r="T191" s="7">
        <v>0</v>
      </c>
      <c r="U191" s="7">
        <v>2</v>
      </c>
      <c r="V191" s="2">
        <f t="shared" si="27"/>
        <v>2.7932733831224917E-2</v>
      </c>
      <c r="W191" s="7">
        <v>50</v>
      </c>
      <c r="X191" s="2">
        <f t="shared" si="20"/>
        <v>50.027932733831221</v>
      </c>
      <c r="Y191" s="2"/>
      <c r="Z191" s="2">
        <f t="shared" si="21"/>
        <v>7</v>
      </c>
      <c r="AA191" s="1">
        <f t="shared" si="22"/>
        <v>28.571428571428569</v>
      </c>
      <c r="AB191" s="1">
        <f t="shared" si="23"/>
        <v>14.285714285714285</v>
      </c>
      <c r="AC191" s="1">
        <f t="shared" si="24"/>
        <v>0</v>
      </c>
      <c r="AD191" s="2">
        <f t="shared" si="25"/>
        <v>0.25925925925925924</v>
      </c>
      <c r="AE191" s="2">
        <f t="shared" si="26"/>
        <v>14.285714285714285</v>
      </c>
      <c r="AF191" s="2">
        <f t="shared" si="28"/>
        <v>0.13966366915612458</v>
      </c>
    </row>
    <row r="192" spans="1:32" x14ac:dyDescent="0.35">
      <c r="A192" s="2" t="s">
        <v>580</v>
      </c>
      <c r="B192" s="2" t="s">
        <v>390</v>
      </c>
      <c r="C192" s="2">
        <v>27</v>
      </c>
      <c r="D192" s="2">
        <v>4.82</v>
      </c>
      <c r="E192" s="7">
        <v>0</v>
      </c>
      <c r="F192" s="7">
        <v>0</v>
      </c>
      <c r="G192" s="7">
        <v>0</v>
      </c>
      <c r="H192" s="7">
        <v>7</v>
      </c>
      <c r="I192" s="7">
        <v>0</v>
      </c>
      <c r="J192" s="7">
        <v>0</v>
      </c>
      <c r="K192" s="7">
        <v>0</v>
      </c>
      <c r="L192" s="7">
        <v>9</v>
      </c>
      <c r="M192" s="7">
        <v>1</v>
      </c>
      <c r="N192" s="7">
        <v>9</v>
      </c>
      <c r="O192" s="7">
        <v>5</v>
      </c>
      <c r="P192" s="7">
        <v>5</v>
      </c>
      <c r="Q192" s="7">
        <v>1</v>
      </c>
      <c r="R192" s="7">
        <v>0</v>
      </c>
      <c r="S192" s="7">
        <v>7</v>
      </c>
      <c r="T192" s="7">
        <v>0</v>
      </c>
      <c r="U192" s="7">
        <v>10</v>
      </c>
      <c r="V192" s="2">
        <f t="shared" si="27"/>
        <v>1.8695018418393246</v>
      </c>
      <c r="W192" s="7">
        <v>50</v>
      </c>
      <c r="X192" s="2">
        <f t="shared" si="20"/>
        <v>51.869501841839323</v>
      </c>
      <c r="Y192" s="2"/>
      <c r="Z192" s="2">
        <f t="shared" si="21"/>
        <v>44</v>
      </c>
      <c r="AA192" s="1">
        <f t="shared" si="22"/>
        <v>22.727272727272727</v>
      </c>
      <c r="AB192" s="1">
        <f t="shared" si="23"/>
        <v>15.909090909090908</v>
      </c>
      <c r="AC192" s="1">
        <f t="shared" si="24"/>
        <v>2.2727272727272729</v>
      </c>
      <c r="AD192" s="2">
        <f t="shared" si="25"/>
        <v>1.6296296296296295</v>
      </c>
      <c r="AE192" s="2">
        <f t="shared" si="26"/>
        <v>6.8181818181818183</v>
      </c>
      <c r="AF192" s="2">
        <f t="shared" si="28"/>
        <v>9.3475092091966232</v>
      </c>
    </row>
    <row r="193" spans="1:32" x14ac:dyDescent="0.35">
      <c r="A193" s="2" t="s">
        <v>581</v>
      </c>
      <c r="B193" s="2" t="s">
        <v>390</v>
      </c>
      <c r="C193" s="2">
        <v>27</v>
      </c>
      <c r="D193" s="2">
        <v>1.59</v>
      </c>
      <c r="E193" s="7">
        <v>0</v>
      </c>
      <c r="F193" s="7">
        <v>1</v>
      </c>
      <c r="G193" s="7">
        <v>0</v>
      </c>
      <c r="H193" s="7">
        <v>10</v>
      </c>
      <c r="I193" s="7">
        <v>0</v>
      </c>
      <c r="J193" s="7">
        <v>0</v>
      </c>
      <c r="K193" s="7">
        <v>0</v>
      </c>
      <c r="L193" s="7">
        <v>11</v>
      </c>
      <c r="M193" s="7">
        <v>1</v>
      </c>
      <c r="N193" s="7">
        <v>11</v>
      </c>
      <c r="O193" s="7">
        <v>2</v>
      </c>
      <c r="P193" s="7">
        <v>2</v>
      </c>
      <c r="Q193" s="7">
        <v>1</v>
      </c>
      <c r="R193" s="7">
        <v>0</v>
      </c>
      <c r="S193" s="7">
        <v>7</v>
      </c>
      <c r="T193" s="7">
        <v>0</v>
      </c>
      <c r="U193" s="7">
        <v>10</v>
      </c>
      <c r="V193" s="2">
        <f t="shared" si="27"/>
        <v>5.4491675642386124</v>
      </c>
      <c r="W193" s="7">
        <v>50</v>
      </c>
      <c r="X193" s="2">
        <f t="shared" si="20"/>
        <v>55.449167564238614</v>
      </c>
      <c r="Y193" s="2"/>
      <c r="Z193" s="2">
        <f t="shared" si="21"/>
        <v>52</v>
      </c>
      <c r="AA193" s="1">
        <f t="shared" si="22"/>
        <v>19.230769230769234</v>
      </c>
      <c r="AB193" s="1">
        <f t="shared" si="23"/>
        <v>13.461538461538462</v>
      </c>
      <c r="AC193" s="1">
        <f t="shared" si="24"/>
        <v>1.9230769230769231</v>
      </c>
      <c r="AD193" s="2">
        <f t="shared" si="25"/>
        <v>1.9259259259259258</v>
      </c>
      <c r="AE193" s="2">
        <f t="shared" si="26"/>
        <v>5.7692307692307718</v>
      </c>
      <c r="AF193" s="2">
        <f t="shared" si="28"/>
        <v>27.24583782119306</v>
      </c>
    </row>
    <row r="194" spans="1:32" x14ac:dyDescent="0.35">
      <c r="A194" s="2" t="s">
        <v>582</v>
      </c>
      <c r="B194" s="2" t="s">
        <v>390</v>
      </c>
      <c r="C194" s="2">
        <v>27</v>
      </c>
      <c r="D194" s="2">
        <v>5.13</v>
      </c>
      <c r="E194" s="7">
        <v>1</v>
      </c>
      <c r="F194" s="7">
        <v>0</v>
      </c>
      <c r="G194" s="7">
        <v>0</v>
      </c>
      <c r="H194" s="7">
        <v>29</v>
      </c>
      <c r="I194" s="7">
        <v>0</v>
      </c>
      <c r="J194" s="7">
        <v>0</v>
      </c>
      <c r="K194" s="7">
        <v>0</v>
      </c>
      <c r="L194" s="7">
        <v>33</v>
      </c>
      <c r="M194" s="7">
        <v>1</v>
      </c>
      <c r="N194" s="7">
        <v>36</v>
      </c>
      <c r="O194" s="7">
        <v>20</v>
      </c>
      <c r="P194" s="7">
        <v>19</v>
      </c>
      <c r="Q194" s="7">
        <v>6</v>
      </c>
      <c r="R194" s="7">
        <v>6</v>
      </c>
      <c r="S194" s="7">
        <v>14</v>
      </c>
      <c r="T194" s="7">
        <v>0</v>
      </c>
      <c r="U194" s="7">
        <v>23</v>
      </c>
      <c r="V194" s="2">
        <f t="shared" si="27"/>
        <v>8.4063910964495783</v>
      </c>
      <c r="W194" s="7">
        <v>50</v>
      </c>
      <c r="X194" s="2">
        <f t="shared" si="20"/>
        <v>58.406391096449582</v>
      </c>
      <c r="Y194" s="2"/>
      <c r="Z194" s="2">
        <f t="shared" si="21"/>
        <v>156</v>
      </c>
      <c r="AA194" s="1">
        <f t="shared" si="22"/>
        <v>14.743589743589745</v>
      </c>
      <c r="AB194" s="1">
        <f t="shared" si="23"/>
        <v>12.820512820512819</v>
      </c>
      <c r="AC194" s="1">
        <f t="shared" si="24"/>
        <v>3.8461538461538463</v>
      </c>
      <c r="AD194" s="2">
        <f t="shared" si="25"/>
        <v>5.7777777777777777</v>
      </c>
      <c r="AE194" s="2">
        <f t="shared" si="26"/>
        <v>1.9230769230769251</v>
      </c>
      <c r="AF194" s="2">
        <f t="shared" si="28"/>
        <v>42.031955482247895</v>
      </c>
    </row>
    <row r="195" spans="1:32" x14ac:dyDescent="0.35">
      <c r="A195" s="2" t="s">
        <v>583</v>
      </c>
      <c r="B195" s="2" t="s">
        <v>415</v>
      </c>
      <c r="C195" s="2">
        <v>27</v>
      </c>
      <c r="D195" s="2">
        <v>3</v>
      </c>
      <c r="E195" s="7">
        <v>0</v>
      </c>
      <c r="F195" s="7">
        <v>1</v>
      </c>
      <c r="G195" s="7">
        <v>1</v>
      </c>
      <c r="H195" s="7">
        <v>3</v>
      </c>
      <c r="I195" s="7">
        <v>0</v>
      </c>
      <c r="J195" s="7">
        <v>0</v>
      </c>
      <c r="K195" s="7">
        <v>0</v>
      </c>
      <c r="L195" s="7">
        <v>3</v>
      </c>
      <c r="N195" s="7">
        <v>4</v>
      </c>
      <c r="O195" s="7">
        <v>2</v>
      </c>
      <c r="P195" s="7">
        <v>1</v>
      </c>
      <c r="Q195" s="7">
        <v>0</v>
      </c>
      <c r="R195" s="7">
        <v>0</v>
      </c>
      <c r="S195" s="7">
        <v>3</v>
      </c>
      <c r="T195" s="7">
        <v>0</v>
      </c>
      <c r="U195" s="7">
        <v>0</v>
      </c>
      <c r="V195" s="2">
        <f t="shared" si="27"/>
        <v>-0.71732967535436676</v>
      </c>
      <c r="W195" s="7">
        <v>50</v>
      </c>
      <c r="X195" s="2">
        <f t="shared" ref="X195:X258" si="29">V195+W195</f>
        <v>49.282670324645636</v>
      </c>
      <c r="Y195" s="2"/>
      <c r="Z195" s="2">
        <f t="shared" ref="Z195:Z258" si="30">((L195*3)+M195)+(R195+S195)+N195</f>
        <v>16</v>
      </c>
      <c r="AA195" s="1">
        <f t="shared" ref="AA195:AA258" si="31">(U195/Z195)*100</f>
        <v>0</v>
      </c>
      <c r="AB195" s="1">
        <f t="shared" ref="AB195:AB258" si="32">((R195+S195)/Z195)*100</f>
        <v>18.75</v>
      </c>
      <c r="AC195" s="1">
        <f t="shared" ref="AC195:AC258" si="33">(Q195/Z195)*100</f>
        <v>0</v>
      </c>
      <c r="AD195" s="2">
        <f t="shared" ref="AD195:AD258" si="34">(Z195/C195)</f>
        <v>0.59259259259259256</v>
      </c>
      <c r="AE195" s="2">
        <f t="shared" ref="AE195:AE258" si="35">AA195-AB195</f>
        <v>-18.75</v>
      </c>
      <c r="AF195" s="2">
        <f t="shared" si="28"/>
        <v>-3.5866483767718336</v>
      </c>
    </row>
    <row r="196" spans="1:32" x14ac:dyDescent="0.35">
      <c r="A196" s="2" t="s">
        <v>584</v>
      </c>
      <c r="B196" s="2" t="s">
        <v>390</v>
      </c>
      <c r="C196" s="2">
        <v>27</v>
      </c>
      <c r="D196" s="2">
        <v>5.73</v>
      </c>
      <c r="E196" s="7">
        <v>0</v>
      </c>
      <c r="F196" s="7">
        <v>0</v>
      </c>
      <c r="G196" s="7">
        <v>1</v>
      </c>
      <c r="H196" s="7">
        <v>12</v>
      </c>
      <c r="I196" s="7">
        <v>0</v>
      </c>
      <c r="J196" s="7">
        <v>0</v>
      </c>
      <c r="K196" s="7">
        <v>0</v>
      </c>
      <c r="L196" s="7">
        <v>22</v>
      </c>
      <c r="N196" s="7">
        <v>23</v>
      </c>
      <c r="O196" s="7">
        <v>14</v>
      </c>
      <c r="P196" s="7">
        <v>14</v>
      </c>
      <c r="Q196" s="7">
        <v>3</v>
      </c>
      <c r="R196" s="7">
        <v>1</v>
      </c>
      <c r="S196" s="7">
        <v>10</v>
      </c>
      <c r="T196" s="7">
        <v>0</v>
      </c>
      <c r="U196" s="7">
        <v>21</v>
      </c>
      <c r="V196" s="2">
        <f t="shared" si="27"/>
        <v>7.0861372651819297</v>
      </c>
      <c r="W196" s="7">
        <v>50</v>
      </c>
      <c r="X196" s="2">
        <f t="shared" si="29"/>
        <v>57.086137265181932</v>
      </c>
      <c r="Y196" s="2"/>
      <c r="Z196" s="2">
        <f t="shared" si="30"/>
        <v>100</v>
      </c>
      <c r="AA196" s="1">
        <f t="shared" si="31"/>
        <v>21</v>
      </c>
      <c r="AB196" s="1">
        <f t="shared" si="32"/>
        <v>11</v>
      </c>
      <c r="AC196" s="1">
        <f t="shared" si="33"/>
        <v>3</v>
      </c>
      <c r="AD196" s="2">
        <f t="shared" si="34"/>
        <v>3.7037037037037037</v>
      </c>
      <c r="AE196" s="2">
        <f t="shared" si="35"/>
        <v>10</v>
      </c>
      <c r="AF196" s="2">
        <f t="shared" si="28"/>
        <v>35.430686325909647</v>
      </c>
    </row>
    <row r="197" spans="1:32" x14ac:dyDescent="0.35">
      <c r="A197" s="2" t="s">
        <v>585</v>
      </c>
      <c r="B197" s="2" t="s">
        <v>390</v>
      </c>
      <c r="C197" s="2">
        <v>27</v>
      </c>
      <c r="D197" s="2">
        <v>4.58</v>
      </c>
      <c r="E197" s="7">
        <v>1</v>
      </c>
      <c r="F197" s="7">
        <v>0</v>
      </c>
      <c r="G197" s="7">
        <v>0</v>
      </c>
      <c r="H197" s="7">
        <v>12</v>
      </c>
      <c r="I197" s="7">
        <v>0</v>
      </c>
      <c r="J197" s="7">
        <v>0</v>
      </c>
      <c r="K197" s="7">
        <v>0</v>
      </c>
      <c r="L197" s="7">
        <v>17</v>
      </c>
      <c r="M197" s="7">
        <v>2</v>
      </c>
      <c r="N197" s="7">
        <v>17</v>
      </c>
      <c r="O197" s="7">
        <v>10</v>
      </c>
      <c r="P197" s="7">
        <v>9</v>
      </c>
      <c r="Q197" s="7">
        <v>1</v>
      </c>
      <c r="R197" s="7">
        <v>1</v>
      </c>
      <c r="S197" s="7">
        <v>8</v>
      </c>
      <c r="T197" s="7">
        <v>0</v>
      </c>
      <c r="U197" s="7">
        <v>16</v>
      </c>
      <c r="V197" s="2">
        <f t="shared" si="27"/>
        <v>3.4122864145363572</v>
      </c>
      <c r="W197" s="7">
        <v>50</v>
      </c>
      <c r="X197" s="2">
        <f t="shared" si="29"/>
        <v>53.412286414536354</v>
      </c>
      <c r="Y197" s="2"/>
      <c r="Z197" s="2">
        <f t="shared" si="30"/>
        <v>79</v>
      </c>
      <c r="AA197" s="1">
        <f t="shared" si="31"/>
        <v>20.253164556962027</v>
      </c>
      <c r="AB197" s="1">
        <f t="shared" si="32"/>
        <v>11.39240506329114</v>
      </c>
      <c r="AC197" s="1">
        <f t="shared" si="33"/>
        <v>1.2658227848101267</v>
      </c>
      <c r="AD197" s="2">
        <f t="shared" si="34"/>
        <v>2.925925925925926</v>
      </c>
      <c r="AE197" s="2">
        <f t="shared" si="35"/>
        <v>8.8607594936708871</v>
      </c>
      <c r="AF197" s="2">
        <f t="shared" si="28"/>
        <v>17.061432072681786</v>
      </c>
    </row>
    <row r="198" spans="1:32" x14ac:dyDescent="0.35">
      <c r="A198" s="2" t="s">
        <v>586</v>
      </c>
      <c r="B198" s="2" t="s">
        <v>388</v>
      </c>
      <c r="C198" s="2">
        <v>27</v>
      </c>
      <c r="D198" s="2">
        <v>4.8899999999999997</v>
      </c>
      <c r="E198" s="7">
        <v>3</v>
      </c>
      <c r="F198" s="7">
        <v>2</v>
      </c>
      <c r="G198" s="7">
        <v>1</v>
      </c>
      <c r="H198" s="7">
        <v>10</v>
      </c>
      <c r="I198" s="7">
        <v>7</v>
      </c>
      <c r="J198" s="7">
        <v>0</v>
      </c>
      <c r="K198" s="7">
        <v>0</v>
      </c>
      <c r="L198" s="7">
        <v>42</v>
      </c>
      <c r="M198" s="7">
        <v>1</v>
      </c>
      <c r="N198" s="7">
        <v>40</v>
      </c>
      <c r="O198" s="7">
        <v>25</v>
      </c>
      <c r="P198" s="7">
        <v>23</v>
      </c>
      <c r="Q198" s="7">
        <v>10</v>
      </c>
      <c r="R198" s="7">
        <v>2</v>
      </c>
      <c r="S198" s="7">
        <v>19</v>
      </c>
      <c r="T198" s="7">
        <v>0</v>
      </c>
      <c r="U198" s="7">
        <v>42</v>
      </c>
      <c r="V198" s="2">
        <f t="shared" si="27"/>
        <v>32.632299880265769</v>
      </c>
      <c r="W198" s="7">
        <v>50</v>
      </c>
      <c r="X198" s="2">
        <f t="shared" si="29"/>
        <v>82.632299880265776</v>
      </c>
      <c r="Y198" s="2"/>
      <c r="Z198" s="2">
        <f t="shared" si="30"/>
        <v>188</v>
      </c>
      <c r="AA198" s="1">
        <f t="shared" si="31"/>
        <v>22.340425531914892</v>
      </c>
      <c r="AB198" s="1">
        <f t="shared" si="32"/>
        <v>11.170212765957446</v>
      </c>
      <c r="AC198" s="1">
        <f t="shared" si="33"/>
        <v>5.3191489361702127</v>
      </c>
      <c r="AD198" s="2">
        <f t="shared" si="34"/>
        <v>6.9629629629629628</v>
      </c>
      <c r="AE198" s="2">
        <f t="shared" si="35"/>
        <v>11.170212765957446</v>
      </c>
      <c r="AF198" s="2">
        <f t="shared" si="28"/>
        <v>163.16149940132885</v>
      </c>
    </row>
    <row r="199" spans="1:32" x14ac:dyDescent="0.35">
      <c r="A199" s="2" t="s">
        <v>587</v>
      </c>
      <c r="B199" s="2" t="s">
        <v>390</v>
      </c>
      <c r="C199" s="2">
        <v>27</v>
      </c>
      <c r="D199" s="2">
        <v>3.65</v>
      </c>
      <c r="E199" s="7">
        <v>3</v>
      </c>
      <c r="F199" s="7">
        <v>2</v>
      </c>
      <c r="G199" s="7">
        <v>0</v>
      </c>
      <c r="H199" s="7">
        <v>24</v>
      </c>
      <c r="I199" s="7">
        <v>0</v>
      </c>
      <c r="J199" s="7">
        <v>0</v>
      </c>
      <c r="K199" s="7">
        <v>0</v>
      </c>
      <c r="L199" s="7">
        <v>37</v>
      </c>
      <c r="N199" s="7">
        <v>34</v>
      </c>
      <c r="O199" s="7">
        <v>15</v>
      </c>
      <c r="P199" s="7">
        <v>15</v>
      </c>
      <c r="Q199" s="7">
        <v>5</v>
      </c>
      <c r="R199" s="7">
        <v>0</v>
      </c>
      <c r="S199" s="7">
        <v>5</v>
      </c>
      <c r="T199" s="7">
        <v>0</v>
      </c>
      <c r="U199" s="7">
        <v>25</v>
      </c>
      <c r="V199" s="2">
        <f t="shared" si="27"/>
        <v>24.916849878798125</v>
      </c>
      <c r="W199" s="7">
        <v>50</v>
      </c>
      <c r="X199" s="2">
        <f t="shared" si="29"/>
        <v>74.916849878798132</v>
      </c>
      <c r="Y199" s="2"/>
      <c r="Z199" s="2">
        <f t="shared" si="30"/>
        <v>150</v>
      </c>
      <c r="AA199" s="1">
        <f t="shared" si="31"/>
        <v>16.666666666666664</v>
      </c>
      <c r="AB199" s="1">
        <f t="shared" si="32"/>
        <v>3.3333333333333335</v>
      </c>
      <c r="AC199" s="1">
        <f t="shared" si="33"/>
        <v>3.3333333333333335</v>
      </c>
      <c r="AD199" s="2">
        <f t="shared" si="34"/>
        <v>5.5555555555555554</v>
      </c>
      <c r="AE199" s="2">
        <f t="shared" si="35"/>
        <v>13.33333333333333</v>
      </c>
      <c r="AF199" s="2">
        <f t="shared" si="28"/>
        <v>124.58424939399063</v>
      </c>
    </row>
    <row r="200" spans="1:32" x14ac:dyDescent="0.35">
      <c r="A200" s="2" t="s">
        <v>588</v>
      </c>
      <c r="B200" s="2" t="s">
        <v>390</v>
      </c>
      <c r="C200" s="2">
        <v>27</v>
      </c>
      <c r="D200" s="2">
        <v>10.8</v>
      </c>
      <c r="E200" s="7">
        <v>0</v>
      </c>
      <c r="F200" s="7">
        <v>1</v>
      </c>
      <c r="G200" s="7">
        <v>0</v>
      </c>
      <c r="H200" s="7">
        <v>5</v>
      </c>
      <c r="I200" s="7">
        <v>0</v>
      </c>
      <c r="J200" s="7">
        <v>0</v>
      </c>
      <c r="K200" s="7">
        <v>0</v>
      </c>
      <c r="L200" s="7">
        <v>6</v>
      </c>
      <c r="M200" s="7">
        <v>2</v>
      </c>
      <c r="N200" s="7">
        <v>13</v>
      </c>
      <c r="O200" s="7">
        <v>9</v>
      </c>
      <c r="P200" s="7">
        <v>8</v>
      </c>
      <c r="Q200" s="7">
        <v>4</v>
      </c>
      <c r="R200" s="7">
        <v>0</v>
      </c>
      <c r="S200" s="7">
        <v>2</v>
      </c>
      <c r="T200" s="7">
        <v>0</v>
      </c>
      <c r="U200" s="7">
        <v>2</v>
      </c>
      <c r="V200" s="2">
        <f t="shared" ref="V200:V263" si="36">(AF200*2)/10</f>
        <v>0.38675506782502661</v>
      </c>
      <c r="W200" s="7">
        <v>50</v>
      </c>
      <c r="X200" s="2">
        <f t="shared" si="29"/>
        <v>50.386755067825028</v>
      </c>
      <c r="Y200" s="2"/>
      <c r="Z200" s="2">
        <f t="shared" si="30"/>
        <v>35</v>
      </c>
      <c r="AA200" s="1">
        <f t="shared" si="31"/>
        <v>5.7142857142857144</v>
      </c>
      <c r="AB200" s="1">
        <f t="shared" si="32"/>
        <v>5.7142857142857144</v>
      </c>
      <c r="AC200" s="1">
        <f t="shared" si="33"/>
        <v>11.428571428571429</v>
      </c>
      <c r="AD200" s="2">
        <f t="shared" si="34"/>
        <v>1.2962962962962963</v>
      </c>
      <c r="AE200" s="2">
        <f t="shared" si="35"/>
        <v>0</v>
      </c>
      <c r="AF200" s="2">
        <f t="shared" si="28"/>
        <v>1.9337753391251331</v>
      </c>
    </row>
    <row r="201" spans="1:32" x14ac:dyDescent="0.35">
      <c r="A201" s="2" t="s">
        <v>589</v>
      </c>
      <c r="B201" s="2" t="s">
        <v>390</v>
      </c>
      <c r="C201" s="2">
        <v>27</v>
      </c>
      <c r="D201" s="2">
        <v>1.17</v>
      </c>
      <c r="E201" s="7">
        <v>0</v>
      </c>
      <c r="F201" s="7">
        <v>1</v>
      </c>
      <c r="G201" s="7">
        <v>0</v>
      </c>
      <c r="H201" s="7">
        <v>5</v>
      </c>
      <c r="I201" s="7">
        <v>0</v>
      </c>
      <c r="J201" s="7">
        <v>0</v>
      </c>
      <c r="K201" s="7">
        <v>0</v>
      </c>
      <c r="L201" s="7">
        <v>7</v>
      </c>
      <c r="M201" s="7">
        <v>2</v>
      </c>
      <c r="N201" s="7">
        <v>4</v>
      </c>
      <c r="O201" s="7">
        <v>2</v>
      </c>
      <c r="P201" s="7">
        <v>1</v>
      </c>
      <c r="Q201" s="7">
        <v>0</v>
      </c>
      <c r="R201" s="7">
        <v>0</v>
      </c>
      <c r="S201" s="7">
        <v>0</v>
      </c>
      <c r="T201" s="7">
        <v>0</v>
      </c>
      <c r="U201" s="7">
        <v>7</v>
      </c>
      <c r="V201" s="2">
        <f t="shared" si="36"/>
        <v>4.6027223805001585</v>
      </c>
      <c r="W201" s="7">
        <v>50</v>
      </c>
      <c r="X201" s="2">
        <f t="shared" si="29"/>
        <v>54.602722380500161</v>
      </c>
      <c r="Y201" s="2"/>
      <c r="Z201" s="2">
        <f t="shared" si="30"/>
        <v>27</v>
      </c>
      <c r="AA201" s="1">
        <f t="shared" si="31"/>
        <v>25.925925925925924</v>
      </c>
      <c r="AB201" s="1">
        <f t="shared" si="32"/>
        <v>0</v>
      </c>
      <c r="AC201" s="1">
        <f t="shared" si="33"/>
        <v>0</v>
      </c>
      <c r="AD201" s="2">
        <f t="shared" si="34"/>
        <v>1</v>
      </c>
      <c r="AE201" s="2">
        <f t="shared" si="35"/>
        <v>25.925925925925924</v>
      </c>
      <c r="AF201" s="2">
        <f t="shared" si="28"/>
        <v>23.013611902500791</v>
      </c>
    </row>
    <row r="202" spans="1:32" x14ac:dyDescent="0.35">
      <c r="A202" s="2" t="s">
        <v>590</v>
      </c>
      <c r="B202" s="2" t="s">
        <v>390</v>
      </c>
      <c r="C202" s="2">
        <v>27</v>
      </c>
      <c r="D202" s="2">
        <v>6</v>
      </c>
      <c r="E202" s="7">
        <v>0</v>
      </c>
      <c r="F202" s="7">
        <v>0</v>
      </c>
      <c r="G202" s="7">
        <v>0</v>
      </c>
      <c r="H202" s="7">
        <v>2</v>
      </c>
      <c r="I202" s="7">
        <v>0</v>
      </c>
      <c r="J202" s="7">
        <v>0</v>
      </c>
      <c r="K202" s="7">
        <v>0</v>
      </c>
      <c r="L202" s="7">
        <v>3</v>
      </c>
      <c r="N202" s="7">
        <v>4</v>
      </c>
      <c r="O202" s="7">
        <v>2</v>
      </c>
      <c r="P202" s="7">
        <v>2</v>
      </c>
      <c r="Q202" s="7">
        <v>0</v>
      </c>
      <c r="R202" s="7">
        <v>1</v>
      </c>
      <c r="S202" s="7">
        <v>1</v>
      </c>
      <c r="T202" s="7">
        <v>0</v>
      </c>
      <c r="U202" s="7">
        <v>2</v>
      </c>
      <c r="V202" s="2">
        <f t="shared" si="36"/>
        <v>1.0288065843621401E-2</v>
      </c>
      <c r="W202" s="7">
        <v>50</v>
      </c>
      <c r="X202" s="2">
        <f t="shared" si="29"/>
        <v>50.010288065843625</v>
      </c>
      <c r="Y202" s="2"/>
      <c r="Z202" s="2">
        <f t="shared" si="30"/>
        <v>15</v>
      </c>
      <c r="AA202" s="1">
        <f t="shared" si="31"/>
        <v>13.333333333333334</v>
      </c>
      <c r="AB202" s="1">
        <f t="shared" si="32"/>
        <v>13.333333333333334</v>
      </c>
      <c r="AC202" s="1">
        <f t="shared" si="33"/>
        <v>0</v>
      </c>
      <c r="AD202" s="2">
        <f t="shared" si="34"/>
        <v>0.55555555555555558</v>
      </c>
      <c r="AE202" s="2">
        <f t="shared" si="35"/>
        <v>0</v>
      </c>
      <c r="AF202" s="2">
        <f t="shared" si="28"/>
        <v>5.1440329218107005E-2</v>
      </c>
    </row>
    <row r="203" spans="1:32" x14ac:dyDescent="0.35">
      <c r="A203" s="2" t="s">
        <v>591</v>
      </c>
      <c r="B203" s="2" t="s">
        <v>388</v>
      </c>
      <c r="C203" s="2">
        <v>27</v>
      </c>
      <c r="D203" s="2">
        <v>4.08</v>
      </c>
      <c r="E203" s="7">
        <v>7</v>
      </c>
      <c r="F203" s="7">
        <v>7</v>
      </c>
      <c r="G203" s="7">
        <v>0</v>
      </c>
      <c r="H203" s="7">
        <v>21</v>
      </c>
      <c r="I203" s="7">
        <v>17</v>
      </c>
      <c r="J203" s="7">
        <v>0</v>
      </c>
      <c r="K203" s="7">
        <v>0</v>
      </c>
      <c r="L203" s="7">
        <v>92</v>
      </c>
      <c r="M203" s="7">
        <v>2</v>
      </c>
      <c r="N203" s="7">
        <v>81</v>
      </c>
      <c r="O203" s="7">
        <v>47</v>
      </c>
      <c r="P203" s="7">
        <v>42</v>
      </c>
      <c r="Q203" s="7">
        <v>15</v>
      </c>
      <c r="R203" s="7">
        <v>8</v>
      </c>
      <c r="S203" s="7">
        <v>37</v>
      </c>
      <c r="T203" s="7">
        <v>0</v>
      </c>
      <c r="U203" s="7">
        <v>113</v>
      </c>
      <c r="V203" s="2">
        <f t="shared" si="36"/>
        <v>109.90741872541165</v>
      </c>
      <c r="W203" s="7">
        <v>50</v>
      </c>
      <c r="X203" s="2">
        <f t="shared" si="29"/>
        <v>159.90741872541165</v>
      </c>
      <c r="Y203" s="2"/>
      <c r="Z203" s="2">
        <f t="shared" si="30"/>
        <v>404</v>
      </c>
      <c r="AA203" s="1">
        <f t="shared" si="31"/>
        <v>27.970297029702973</v>
      </c>
      <c r="AB203" s="1">
        <f t="shared" si="32"/>
        <v>11.138613861386139</v>
      </c>
      <c r="AC203" s="1">
        <f t="shared" si="33"/>
        <v>3.7128712871287126</v>
      </c>
      <c r="AD203" s="2">
        <f t="shared" si="34"/>
        <v>14.962962962962964</v>
      </c>
      <c r="AE203" s="2">
        <f t="shared" si="35"/>
        <v>16.831683168316836</v>
      </c>
      <c r="AF203" s="2">
        <f t="shared" si="28"/>
        <v>549.5370936270582</v>
      </c>
    </row>
    <row r="204" spans="1:32" x14ac:dyDescent="0.35">
      <c r="A204" s="2" t="s">
        <v>592</v>
      </c>
      <c r="B204" s="2" t="s">
        <v>390</v>
      </c>
      <c r="C204" s="2">
        <v>27</v>
      </c>
      <c r="D204" s="2">
        <v>12</v>
      </c>
      <c r="E204" s="7">
        <v>0</v>
      </c>
      <c r="F204" s="7">
        <v>0</v>
      </c>
      <c r="G204" s="7">
        <v>0</v>
      </c>
      <c r="H204" s="7">
        <v>6</v>
      </c>
      <c r="I204" s="7">
        <v>0</v>
      </c>
      <c r="J204" s="7">
        <v>0</v>
      </c>
      <c r="K204" s="7">
        <v>0</v>
      </c>
      <c r="L204" s="7">
        <v>6</v>
      </c>
      <c r="N204" s="7">
        <v>10</v>
      </c>
      <c r="O204" s="7">
        <v>8</v>
      </c>
      <c r="P204" s="7">
        <v>8</v>
      </c>
      <c r="Q204" s="7">
        <v>3</v>
      </c>
      <c r="R204" s="7">
        <v>0</v>
      </c>
      <c r="S204" s="7">
        <v>5</v>
      </c>
      <c r="T204" s="7">
        <v>1</v>
      </c>
      <c r="U204" s="7">
        <v>7</v>
      </c>
      <c r="V204" s="2">
        <f t="shared" si="36"/>
        <v>1.4970258136924803</v>
      </c>
      <c r="W204" s="7">
        <v>50</v>
      </c>
      <c r="X204" s="2">
        <f t="shared" si="29"/>
        <v>51.497025813692481</v>
      </c>
      <c r="Y204" s="2"/>
      <c r="Z204" s="2">
        <f t="shared" si="30"/>
        <v>33</v>
      </c>
      <c r="AA204" s="1">
        <f t="shared" si="31"/>
        <v>21.212121212121211</v>
      </c>
      <c r="AB204" s="1">
        <f t="shared" si="32"/>
        <v>15.151515151515152</v>
      </c>
      <c r="AC204" s="1">
        <f t="shared" si="33"/>
        <v>9.0909090909090917</v>
      </c>
      <c r="AD204" s="2">
        <f t="shared" si="34"/>
        <v>1.2222222222222223</v>
      </c>
      <c r="AE204" s="2">
        <f t="shared" si="35"/>
        <v>6.0606060606060588</v>
      </c>
      <c r="AF204" s="2">
        <f t="shared" ref="AF204:AF267" si="37">(AD204+AE204)/(D204/(1+AC204))*AD204</f>
        <v>7.4851290684624017</v>
      </c>
    </row>
    <row r="205" spans="1:32" x14ac:dyDescent="0.35">
      <c r="A205" s="2" t="s">
        <v>593</v>
      </c>
      <c r="B205" s="2" t="s">
        <v>390</v>
      </c>
      <c r="C205" s="2">
        <v>27</v>
      </c>
      <c r="D205" s="2">
        <v>5.52</v>
      </c>
      <c r="E205" s="7">
        <v>0</v>
      </c>
      <c r="F205" s="7">
        <v>0</v>
      </c>
      <c r="G205" s="7">
        <v>0</v>
      </c>
      <c r="H205" s="7">
        <v>9</v>
      </c>
      <c r="I205" s="7">
        <v>0</v>
      </c>
      <c r="J205" s="7">
        <v>0</v>
      </c>
      <c r="K205" s="7">
        <v>0</v>
      </c>
      <c r="L205" s="7">
        <v>14</v>
      </c>
      <c r="M205" s="7">
        <v>2</v>
      </c>
      <c r="N205" s="7">
        <v>15</v>
      </c>
      <c r="O205" s="7">
        <v>9</v>
      </c>
      <c r="P205" s="7">
        <v>9</v>
      </c>
      <c r="Q205" s="7">
        <v>1</v>
      </c>
      <c r="R205" s="7">
        <v>0</v>
      </c>
      <c r="S205" s="7">
        <v>5</v>
      </c>
      <c r="T205" s="7">
        <v>1</v>
      </c>
      <c r="U205" s="7">
        <v>13</v>
      </c>
      <c r="V205" s="2">
        <f t="shared" si="36"/>
        <v>3.2725989542951437</v>
      </c>
      <c r="W205" s="7">
        <v>50</v>
      </c>
      <c r="X205" s="2">
        <f t="shared" si="29"/>
        <v>53.272598954295141</v>
      </c>
      <c r="Y205" s="2"/>
      <c r="Z205" s="2">
        <f t="shared" si="30"/>
        <v>64</v>
      </c>
      <c r="AA205" s="1">
        <f t="shared" si="31"/>
        <v>20.3125</v>
      </c>
      <c r="AB205" s="1">
        <f t="shared" si="32"/>
        <v>7.8125</v>
      </c>
      <c r="AC205" s="1">
        <f t="shared" si="33"/>
        <v>1.5625</v>
      </c>
      <c r="AD205" s="2">
        <f t="shared" si="34"/>
        <v>2.3703703703703702</v>
      </c>
      <c r="AE205" s="2">
        <f t="shared" si="35"/>
        <v>12.5</v>
      </c>
      <c r="AF205" s="2">
        <f t="shared" si="37"/>
        <v>16.362994771475719</v>
      </c>
    </row>
    <row r="206" spans="1:32" x14ac:dyDescent="0.35">
      <c r="A206" s="2" t="s">
        <v>594</v>
      </c>
      <c r="B206" s="2" t="s">
        <v>390</v>
      </c>
      <c r="C206" s="2">
        <v>27</v>
      </c>
      <c r="D206" s="2">
        <v>11.12</v>
      </c>
      <c r="E206" s="7">
        <v>0</v>
      </c>
      <c r="F206" s="7">
        <v>0</v>
      </c>
      <c r="G206" s="7">
        <v>0</v>
      </c>
      <c r="H206" s="7">
        <v>4</v>
      </c>
      <c r="I206" s="7">
        <v>0</v>
      </c>
      <c r="J206" s="7">
        <v>0</v>
      </c>
      <c r="K206" s="7">
        <v>0</v>
      </c>
      <c r="L206" s="7">
        <v>5</v>
      </c>
      <c r="M206" s="7">
        <v>2</v>
      </c>
      <c r="N206" s="7">
        <v>7</v>
      </c>
      <c r="O206" s="7">
        <v>7</v>
      </c>
      <c r="P206" s="7">
        <v>7</v>
      </c>
      <c r="Q206" s="7">
        <v>1</v>
      </c>
      <c r="R206" s="7">
        <v>0</v>
      </c>
      <c r="S206" s="7">
        <v>7</v>
      </c>
      <c r="T206" s="7">
        <v>0</v>
      </c>
      <c r="U206" s="7">
        <v>4</v>
      </c>
      <c r="V206" s="2">
        <f t="shared" si="36"/>
        <v>-0.74429424998432148</v>
      </c>
      <c r="W206" s="7">
        <v>50</v>
      </c>
      <c r="X206" s="2">
        <f t="shared" si="29"/>
        <v>49.255705750015679</v>
      </c>
      <c r="Y206" s="2"/>
      <c r="Z206" s="2">
        <f t="shared" si="30"/>
        <v>31</v>
      </c>
      <c r="AA206" s="1">
        <f t="shared" si="31"/>
        <v>12.903225806451612</v>
      </c>
      <c r="AB206" s="1">
        <f t="shared" si="32"/>
        <v>22.58064516129032</v>
      </c>
      <c r="AC206" s="1">
        <f t="shared" si="33"/>
        <v>3.225806451612903</v>
      </c>
      <c r="AD206" s="2">
        <f t="shared" si="34"/>
        <v>1.1481481481481481</v>
      </c>
      <c r="AE206" s="2">
        <f t="shared" si="35"/>
        <v>-9.6774193548387082</v>
      </c>
      <c r="AF206" s="2">
        <f t="shared" si="37"/>
        <v>-3.7214712499216072</v>
      </c>
    </row>
    <row r="207" spans="1:32" x14ac:dyDescent="0.35">
      <c r="A207" s="2" t="s">
        <v>595</v>
      </c>
      <c r="B207" s="2" t="s">
        <v>390</v>
      </c>
      <c r="C207" s="2">
        <v>27</v>
      </c>
      <c r="D207" s="2">
        <v>1.5</v>
      </c>
      <c r="E207" s="7">
        <v>4</v>
      </c>
      <c r="F207" s="7">
        <v>1</v>
      </c>
      <c r="G207" s="7">
        <v>0</v>
      </c>
      <c r="H207" s="7">
        <v>36</v>
      </c>
      <c r="I207" s="7">
        <v>0</v>
      </c>
      <c r="J207" s="7">
        <v>0</v>
      </c>
      <c r="K207" s="7">
        <v>0</v>
      </c>
      <c r="L207" s="7">
        <v>30</v>
      </c>
      <c r="N207" s="7">
        <v>24</v>
      </c>
      <c r="O207" s="7">
        <v>5</v>
      </c>
      <c r="P207" s="7">
        <v>5</v>
      </c>
      <c r="Q207" s="7">
        <v>0</v>
      </c>
      <c r="R207" s="7">
        <v>3</v>
      </c>
      <c r="S207" s="7">
        <v>20</v>
      </c>
      <c r="T207" s="7">
        <v>4</v>
      </c>
      <c r="U207" s="7">
        <v>22</v>
      </c>
      <c r="V207" s="2">
        <f t="shared" si="36"/>
        <v>2.9390032007315958</v>
      </c>
      <c r="W207" s="7">
        <v>50</v>
      </c>
      <c r="X207" s="2">
        <f t="shared" si="29"/>
        <v>52.939003200731598</v>
      </c>
      <c r="Y207" s="2"/>
      <c r="Z207" s="2">
        <f t="shared" si="30"/>
        <v>137</v>
      </c>
      <c r="AA207" s="1">
        <f t="shared" si="31"/>
        <v>16.058394160583941</v>
      </c>
      <c r="AB207" s="1">
        <f t="shared" si="32"/>
        <v>16.788321167883211</v>
      </c>
      <c r="AC207" s="1">
        <f t="shared" si="33"/>
        <v>0</v>
      </c>
      <c r="AD207" s="2">
        <f t="shared" si="34"/>
        <v>5.0740740740740744</v>
      </c>
      <c r="AE207" s="2">
        <f t="shared" si="35"/>
        <v>-0.72992700729927051</v>
      </c>
      <c r="AF207" s="2">
        <f t="shared" si="37"/>
        <v>14.69501600365798</v>
      </c>
    </row>
    <row r="208" spans="1:32" x14ac:dyDescent="0.35">
      <c r="A208" s="2" t="s">
        <v>596</v>
      </c>
      <c r="B208" s="2" t="s">
        <v>390</v>
      </c>
      <c r="C208" s="2">
        <v>27</v>
      </c>
      <c r="D208" s="2">
        <v>9.82</v>
      </c>
      <c r="E208" s="7">
        <v>0</v>
      </c>
      <c r="F208" s="7">
        <v>0</v>
      </c>
      <c r="G208" s="7">
        <v>0</v>
      </c>
      <c r="H208" s="7">
        <v>1</v>
      </c>
      <c r="I208" s="7">
        <v>0</v>
      </c>
      <c r="J208" s="7">
        <v>0</v>
      </c>
      <c r="K208" s="7">
        <v>0</v>
      </c>
      <c r="L208" s="7">
        <v>3</v>
      </c>
      <c r="M208" s="7">
        <v>2</v>
      </c>
      <c r="N208" s="7">
        <v>9</v>
      </c>
      <c r="O208" s="7">
        <v>4</v>
      </c>
      <c r="P208" s="7">
        <v>4</v>
      </c>
      <c r="Q208" s="7">
        <v>0</v>
      </c>
      <c r="R208" s="7">
        <v>0</v>
      </c>
      <c r="S208" s="7">
        <v>1</v>
      </c>
      <c r="T208" s="7">
        <v>0</v>
      </c>
      <c r="U208" s="7">
        <v>4</v>
      </c>
      <c r="V208" s="2">
        <f t="shared" si="36"/>
        <v>0.23861607704106008</v>
      </c>
      <c r="W208" s="7">
        <v>50</v>
      </c>
      <c r="X208" s="2">
        <f t="shared" si="29"/>
        <v>50.238616077041058</v>
      </c>
      <c r="Y208" s="2"/>
      <c r="Z208" s="2">
        <f t="shared" si="30"/>
        <v>21</v>
      </c>
      <c r="AA208" s="1">
        <f t="shared" si="31"/>
        <v>19.047619047619047</v>
      </c>
      <c r="AB208" s="1">
        <f t="shared" si="32"/>
        <v>4.7619047619047619</v>
      </c>
      <c r="AC208" s="1">
        <f t="shared" si="33"/>
        <v>0</v>
      </c>
      <c r="AD208" s="2">
        <f t="shared" si="34"/>
        <v>0.77777777777777779</v>
      </c>
      <c r="AE208" s="2">
        <f t="shared" si="35"/>
        <v>14.285714285714285</v>
      </c>
      <c r="AF208" s="2">
        <f t="shared" si="37"/>
        <v>1.1930803852053005</v>
      </c>
    </row>
    <row r="209" spans="1:32" x14ac:dyDescent="0.35">
      <c r="A209" s="2" t="s">
        <v>597</v>
      </c>
      <c r="B209" s="2" t="s">
        <v>390</v>
      </c>
      <c r="C209" s="2">
        <v>27</v>
      </c>
      <c r="D209" s="2">
        <v>3.12</v>
      </c>
      <c r="E209" s="7">
        <v>3</v>
      </c>
      <c r="F209" s="7">
        <v>0</v>
      </c>
      <c r="G209" s="7">
        <v>0</v>
      </c>
      <c r="H209" s="7">
        <v>23</v>
      </c>
      <c r="I209" s="7">
        <v>0</v>
      </c>
      <c r="J209" s="7">
        <v>0</v>
      </c>
      <c r="K209" s="7">
        <v>0</v>
      </c>
      <c r="L209" s="7">
        <v>34</v>
      </c>
      <c r="M209" s="7">
        <v>2</v>
      </c>
      <c r="N209" s="7">
        <v>21</v>
      </c>
      <c r="O209" s="7">
        <v>12</v>
      </c>
      <c r="P209" s="7">
        <v>12</v>
      </c>
      <c r="Q209" s="7">
        <v>4</v>
      </c>
      <c r="R209" s="7">
        <v>5</v>
      </c>
      <c r="S209" s="7">
        <v>20</v>
      </c>
      <c r="T209" s="7">
        <v>1</v>
      </c>
      <c r="U209" s="7">
        <v>30</v>
      </c>
      <c r="V209" s="2">
        <f t="shared" si="36"/>
        <v>11.607048644085683</v>
      </c>
      <c r="W209" s="7">
        <v>50</v>
      </c>
      <c r="X209" s="2">
        <f t="shared" si="29"/>
        <v>61.60704864408568</v>
      </c>
      <c r="Y209" s="2"/>
      <c r="Z209" s="2">
        <f t="shared" si="30"/>
        <v>150</v>
      </c>
      <c r="AA209" s="1">
        <f t="shared" si="31"/>
        <v>20</v>
      </c>
      <c r="AB209" s="1">
        <f t="shared" si="32"/>
        <v>16.666666666666664</v>
      </c>
      <c r="AC209" s="1">
        <f t="shared" si="33"/>
        <v>2.666666666666667</v>
      </c>
      <c r="AD209" s="2">
        <f t="shared" si="34"/>
        <v>5.5555555555555554</v>
      </c>
      <c r="AE209" s="2">
        <f t="shared" si="35"/>
        <v>3.3333333333333357</v>
      </c>
      <c r="AF209" s="2">
        <f t="shared" si="37"/>
        <v>58.03524322042842</v>
      </c>
    </row>
    <row r="210" spans="1:32" x14ac:dyDescent="0.35">
      <c r="A210" s="2" t="s">
        <v>598</v>
      </c>
      <c r="B210" s="2" t="s">
        <v>390</v>
      </c>
      <c r="C210" s="2">
        <v>27</v>
      </c>
      <c r="D210" s="2">
        <v>6.98</v>
      </c>
      <c r="E210" s="7">
        <v>1</v>
      </c>
      <c r="F210" s="7">
        <v>1</v>
      </c>
      <c r="G210" s="7">
        <v>0</v>
      </c>
      <c r="H210" s="7">
        <v>23</v>
      </c>
      <c r="I210" s="7">
        <v>2</v>
      </c>
      <c r="J210" s="7">
        <v>0</v>
      </c>
      <c r="K210" s="7">
        <v>0</v>
      </c>
      <c r="L210" s="7">
        <v>38</v>
      </c>
      <c r="M210" s="7">
        <v>2</v>
      </c>
      <c r="N210" s="7">
        <v>43</v>
      </c>
      <c r="O210" s="7">
        <v>30</v>
      </c>
      <c r="P210" s="7">
        <v>30</v>
      </c>
      <c r="Q210" s="7">
        <v>9</v>
      </c>
      <c r="R210" s="7">
        <v>3</v>
      </c>
      <c r="S210" s="7">
        <v>17</v>
      </c>
      <c r="T210" s="7">
        <v>0</v>
      </c>
      <c r="U210" s="7">
        <v>30</v>
      </c>
      <c r="V210" s="2">
        <f t="shared" si="36"/>
        <v>13.988436093881171</v>
      </c>
      <c r="W210" s="7">
        <v>50</v>
      </c>
      <c r="X210" s="2">
        <f t="shared" si="29"/>
        <v>63.98843609388117</v>
      </c>
      <c r="Y210" s="2"/>
      <c r="Z210" s="2">
        <f t="shared" si="30"/>
        <v>179</v>
      </c>
      <c r="AA210" s="1">
        <f t="shared" si="31"/>
        <v>16.759776536312849</v>
      </c>
      <c r="AB210" s="1">
        <f t="shared" si="32"/>
        <v>11.173184357541899</v>
      </c>
      <c r="AC210" s="1">
        <f t="shared" si="33"/>
        <v>5.027932960893855</v>
      </c>
      <c r="AD210" s="2">
        <f t="shared" si="34"/>
        <v>6.6296296296296298</v>
      </c>
      <c r="AE210" s="2">
        <f t="shared" si="35"/>
        <v>5.5865921787709496</v>
      </c>
      <c r="AF210" s="2">
        <f t="shared" si="37"/>
        <v>69.942180469405855</v>
      </c>
    </row>
    <row r="211" spans="1:32" x14ac:dyDescent="0.35">
      <c r="A211" s="2" t="s">
        <v>599</v>
      </c>
      <c r="B211" s="2" t="s">
        <v>390</v>
      </c>
      <c r="C211" s="2">
        <v>27</v>
      </c>
      <c r="D211" s="2">
        <v>3.02</v>
      </c>
      <c r="E211" s="7">
        <v>1</v>
      </c>
      <c r="F211" s="7">
        <v>1</v>
      </c>
      <c r="G211" s="7">
        <v>3</v>
      </c>
      <c r="H211" s="7">
        <v>33</v>
      </c>
      <c r="I211" s="7">
        <v>0</v>
      </c>
      <c r="J211" s="7">
        <v>0</v>
      </c>
      <c r="K211" s="7">
        <v>0</v>
      </c>
      <c r="L211" s="7">
        <v>41</v>
      </c>
      <c r="M211" s="7">
        <v>2</v>
      </c>
      <c r="N211" s="7">
        <v>38</v>
      </c>
      <c r="O211" s="7">
        <v>16</v>
      </c>
      <c r="P211" s="7">
        <v>14</v>
      </c>
      <c r="Q211" s="7">
        <v>4</v>
      </c>
      <c r="R211" s="7">
        <v>3</v>
      </c>
      <c r="S211" s="7">
        <v>19</v>
      </c>
      <c r="T211" s="7">
        <v>1</v>
      </c>
      <c r="U211" s="7">
        <v>40</v>
      </c>
      <c r="V211" s="2">
        <f t="shared" si="36"/>
        <v>23.792556353262757</v>
      </c>
      <c r="W211" s="7">
        <v>50</v>
      </c>
      <c r="X211" s="2">
        <f t="shared" si="29"/>
        <v>73.792556353262754</v>
      </c>
      <c r="Y211" s="2"/>
      <c r="Z211" s="2">
        <f t="shared" si="30"/>
        <v>185</v>
      </c>
      <c r="AA211" s="1">
        <f t="shared" si="31"/>
        <v>21.621621621621621</v>
      </c>
      <c r="AB211" s="1">
        <f t="shared" si="32"/>
        <v>11.891891891891893</v>
      </c>
      <c r="AC211" s="1">
        <f t="shared" si="33"/>
        <v>2.1621621621621623</v>
      </c>
      <c r="AD211" s="2">
        <f t="shared" si="34"/>
        <v>6.8518518518518521</v>
      </c>
      <c r="AE211" s="2">
        <f t="shared" si="35"/>
        <v>9.729729729729728</v>
      </c>
      <c r="AF211" s="2">
        <f t="shared" si="37"/>
        <v>118.96278176631378</v>
      </c>
    </row>
    <row r="212" spans="1:32" x14ac:dyDescent="0.35">
      <c r="A212" s="2" t="s">
        <v>600</v>
      </c>
      <c r="B212" s="2" t="s">
        <v>388</v>
      </c>
      <c r="C212" s="2">
        <v>27</v>
      </c>
      <c r="D212" s="2">
        <v>3.57</v>
      </c>
      <c r="E212" s="7">
        <v>2</v>
      </c>
      <c r="F212" s="7">
        <v>1</v>
      </c>
      <c r="G212" s="7">
        <v>0</v>
      </c>
      <c r="H212" s="7">
        <v>9</v>
      </c>
      <c r="I212" s="7">
        <v>9</v>
      </c>
      <c r="J212" s="7">
        <v>0</v>
      </c>
      <c r="K212" s="7">
        <v>0</v>
      </c>
      <c r="L212" s="7">
        <v>40</v>
      </c>
      <c r="M212" s="7">
        <v>1</v>
      </c>
      <c r="N212" s="7">
        <v>26</v>
      </c>
      <c r="O212" s="7">
        <v>17</v>
      </c>
      <c r="P212" s="7">
        <v>16</v>
      </c>
      <c r="Q212" s="7">
        <v>6</v>
      </c>
      <c r="R212" s="7">
        <v>3</v>
      </c>
      <c r="S212" s="7">
        <v>23</v>
      </c>
      <c r="T212" s="7">
        <v>0</v>
      </c>
      <c r="U212" s="7">
        <v>42</v>
      </c>
      <c r="V212" s="2">
        <f t="shared" si="36"/>
        <v>25.11061079759893</v>
      </c>
      <c r="W212" s="7">
        <v>50</v>
      </c>
      <c r="X212" s="2">
        <f t="shared" si="29"/>
        <v>75.110610797598923</v>
      </c>
      <c r="Y212" s="2"/>
      <c r="Z212" s="2">
        <f t="shared" si="30"/>
        <v>173</v>
      </c>
      <c r="AA212" s="1">
        <f t="shared" si="31"/>
        <v>24.277456647398843</v>
      </c>
      <c r="AB212" s="1">
        <f t="shared" si="32"/>
        <v>15.028901734104046</v>
      </c>
      <c r="AC212" s="1">
        <f t="shared" si="33"/>
        <v>3.4682080924855487</v>
      </c>
      <c r="AD212" s="2">
        <f t="shared" si="34"/>
        <v>6.4074074074074074</v>
      </c>
      <c r="AE212" s="2">
        <f t="shared" si="35"/>
        <v>9.2485549132947966</v>
      </c>
      <c r="AF212" s="2">
        <f t="shared" si="37"/>
        <v>125.55305398799466</v>
      </c>
    </row>
    <row r="213" spans="1:32" x14ac:dyDescent="0.35">
      <c r="A213" s="2" t="s">
        <v>601</v>
      </c>
      <c r="B213" s="2" t="s">
        <v>390</v>
      </c>
      <c r="C213" s="2">
        <v>27</v>
      </c>
      <c r="D213" s="2">
        <v>7.59</v>
      </c>
      <c r="E213" s="7">
        <v>0</v>
      </c>
      <c r="F213" s="7">
        <v>1</v>
      </c>
      <c r="G213" s="7">
        <v>0</v>
      </c>
      <c r="H213" s="7">
        <v>5</v>
      </c>
      <c r="I213" s="7">
        <v>0</v>
      </c>
      <c r="J213" s="7">
        <v>0</v>
      </c>
      <c r="K213" s="7">
        <v>0</v>
      </c>
      <c r="L213" s="7">
        <v>10</v>
      </c>
      <c r="M213" s="7">
        <v>2</v>
      </c>
      <c r="N213" s="7">
        <v>14</v>
      </c>
      <c r="O213" s="7">
        <v>12</v>
      </c>
      <c r="P213" s="7">
        <v>9</v>
      </c>
      <c r="Q213" s="7">
        <v>0</v>
      </c>
      <c r="R213" s="7">
        <v>0</v>
      </c>
      <c r="S213" s="7">
        <v>6</v>
      </c>
      <c r="T213" s="7">
        <v>3</v>
      </c>
      <c r="U213" s="7">
        <v>8</v>
      </c>
      <c r="V213" s="2">
        <f t="shared" si="36"/>
        <v>0.29292748562743198</v>
      </c>
      <c r="W213" s="7">
        <v>50</v>
      </c>
      <c r="X213" s="2">
        <f t="shared" si="29"/>
        <v>50.29292748562743</v>
      </c>
      <c r="Y213" s="2"/>
      <c r="Z213" s="2">
        <f t="shared" si="30"/>
        <v>52</v>
      </c>
      <c r="AA213" s="1">
        <f t="shared" si="31"/>
        <v>15.384615384615385</v>
      </c>
      <c r="AB213" s="1">
        <f t="shared" si="32"/>
        <v>11.538461538461538</v>
      </c>
      <c r="AC213" s="1">
        <f t="shared" si="33"/>
        <v>0</v>
      </c>
      <c r="AD213" s="2">
        <f t="shared" si="34"/>
        <v>1.9259259259259258</v>
      </c>
      <c r="AE213" s="2">
        <f t="shared" si="35"/>
        <v>3.8461538461538467</v>
      </c>
      <c r="AF213" s="2">
        <f t="shared" si="37"/>
        <v>1.4646374281371599</v>
      </c>
    </row>
    <row r="214" spans="1:32" x14ac:dyDescent="0.35">
      <c r="A214" s="2" t="s">
        <v>602</v>
      </c>
      <c r="B214" s="2" t="s">
        <v>390</v>
      </c>
      <c r="C214" s="2">
        <v>27</v>
      </c>
      <c r="D214" s="2">
        <v>2.78</v>
      </c>
      <c r="E214" s="7">
        <v>2</v>
      </c>
      <c r="F214" s="7">
        <v>1</v>
      </c>
      <c r="G214" s="7">
        <v>4</v>
      </c>
      <c r="H214" s="7">
        <v>54</v>
      </c>
      <c r="I214" s="7">
        <v>1</v>
      </c>
      <c r="J214" s="7">
        <v>0</v>
      </c>
      <c r="K214" s="7">
        <v>0</v>
      </c>
      <c r="L214" s="7">
        <v>77</v>
      </c>
      <c r="M214" s="7">
        <v>2</v>
      </c>
      <c r="N214" s="7">
        <v>65</v>
      </c>
      <c r="O214" s="7">
        <v>26</v>
      </c>
      <c r="P214" s="7">
        <v>24</v>
      </c>
      <c r="Q214" s="7">
        <v>8</v>
      </c>
      <c r="R214" s="7">
        <v>2</v>
      </c>
      <c r="S214" s="7">
        <v>24</v>
      </c>
      <c r="T214" s="7">
        <v>0</v>
      </c>
      <c r="U214" s="7">
        <v>52</v>
      </c>
      <c r="V214" s="2">
        <f t="shared" si="36"/>
        <v>59.972696739727567</v>
      </c>
      <c r="W214" s="7">
        <v>50</v>
      </c>
      <c r="X214" s="2">
        <f t="shared" si="29"/>
        <v>109.97269673972757</v>
      </c>
      <c r="Y214" s="2"/>
      <c r="Z214" s="2">
        <f t="shared" si="30"/>
        <v>324</v>
      </c>
      <c r="AA214" s="1">
        <f t="shared" si="31"/>
        <v>16.049382716049383</v>
      </c>
      <c r="AB214" s="1">
        <f t="shared" si="32"/>
        <v>8.0246913580246915</v>
      </c>
      <c r="AC214" s="1">
        <f t="shared" si="33"/>
        <v>2.4691358024691357</v>
      </c>
      <c r="AD214" s="2">
        <f t="shared" si="34"/>
        <v>12</v>
      </c>
      <c r="AE214" s="2">
        <f t="shared" si="35"/>
        <v>8.0246913580246915</v>
      </c>
      <c r="AF214" s="2">
        <f t="shared" si="37"/>
        <v>299.86348369863782</v>
      </c>
    </row>
    <row r="215" spans="1:32" x14ac:dyDescent="0.35">
      <c r="A215" s="2" t="s">
        <v>603</v>
      </c>
      <c r="B215" s="2" t="s">
        <v>390</v>
      </c>
      <c r="C215" s="2">
        <v>27</v>
      </c>
      <c r="D215" s="2">
        <v>4.45</v>
      </c>
      <c r="E215" s="7">
        <v>2</v>
      </c>
      <c r="F215" s="7">
        <v>0</v>
      </c>
      <c r="G215" s="7">
        <v>0</v>
      </c>
      <c r="H215" s="7">
        <v>32</v>
      </c>
      <c r="I215" s="7">
        <v>0</v>
      </c>
      <c r="J215" s="7">
        <v>0</v>
      </c>
      <c r="K215" s="7">
        <v>0</v>
      </c>
      <c r="L215" s="7">
        <v>28</v>
      </c>
      <c r="M215" s="7">
        <v>1</v>
      </c>
      <c r="N215" s="7">
        <v>22</v>
      </c>
      <c r="O215" s="7">
        <v>16</v>
      </c>
      <c r="P215" s="7">
        <v>14</v>
      </c>
      <c r="Q215" s="7">
        <v>7</v>
      </c>
      <c r="R215" s="7">
        <v>2</v>
      </c>
      <c r="S215" s="7">
        <v>17</v>
      </c>
      <c r="T215" s="7">
        <v>0</v>
      </c>
      <c r="U215" s="7">
        <v>34</v>
      </c>
      <c r="V215" s="2">
        <f t="shared" si="36"/>
        <v>22.784852267998339</v>
      </c>
      <c r="W215" s="7">
        <v>50</v>
      </c>
      <c r="X215" s="2">
        <f t="shared" si="29"/>
        <v>72.784852267998332</v>
      </c>
      <c r="Y215" s="2"/>
      <c r="Z215" s="2">
        <f t="shared" si="30"/>
        <v>126</v>
      </c>
      <c r="AA215" s="1">
        <f t="shared" si="31"/>
        <v>26.984126984126984</v>
      </c>
      <c r="AB215" s="1">
        <f t="shared" si="32"/>
        <v>15.079365079365079</v>
      </c>
      <c r="AC215" s="1">
        <f t="shared" si="33"/>
        <v>5.5555555555555554</v>
      </c>
      <c r="AD215" s="2">
        <f t="shared" si="34"/>
        <v>4.666666666666667</v>
      </c>
      <c r="AE215" s="2">
        <f t="shared" si="35"/>
        <v>11.904761904761905</v>
      </c>
      <c r="AF215" s="2">
        <f t="shared" si="37"/>
        <v>113.92426133999169</v>
      </c>
    </row>
    <row r="216" spans="1:32" x14ac:dyDescent="0.35">
      <c r="A216" s="2" t="s">
        <v>604</v>
      </c>
      <c r="B216" s="2" t="s">
        <v>390</v>
      </c>
      <c r="C216" s="2">
        <v>27</v>
      </c>
      <c r="D216" s="2">
        <v>27</v>
      </c>
      <c r="E216" s="7">
        <v>0</v>
      </c>
      <c r="F216" s="7">
        <v>0</v>
      </c>
      <c r="G216" s="7">
        <v>0</v>
      </c>
      <c r="H216" s="7">
        <v>1</v>
      </c>
      <c r="I216" s="7">
        <v>0</v>
      </c>
      <c r="J216" s="7">
        <v>0</v>
      </c>
      <c r="K216" s="7">
        <v>0</v>
      </c>
      <c r="L216" s="7">
        <v>0</v>
      </c>
      <c r="M216" s="7">
        <v>2</v>
      </c>
      <c r="N216" s="7">
        <v>2</v>
      </c>
      <c r="O216" s="7">
        <v>2</v>
      </c>
      <c r="P216" s="7">
        <v>2</v>
      </c>
      <c r="Q216" s="7">
        <v>0</v>
      </c>
      <c r="R216" s="7">
        <v>0</v>
      </c>
      <c r="S216" s="7">
        <v>2</v>
      </c>
      <c r="T216" s="7">
        <v>0</v>
      </c>
      <c r="U216" s="7">
        <v>1</v>
      </c>
      <c r="V216" s="2">
        <f t="shared" si="36"/>
        <v>-2.7069044352994964E-2</v>
      </c>
      <c r="W216" s="7">
        <v>50</v>
      </c>
      <c r="X216" s="2">
        <f t="shared" si="29"/>
        <v>49.972930955647008</v>
      </c>
      <c r="Y216" s="2"/>
      <c r="Z216" s="2">
        <f t="shared" si="30"/>
        <v>6</v>
      </c>
      <c r="AA216" s="1">
        <f t="shared" si="31"/>
        <v>16.666666666666664</v>
      </c>
      <c r="AB216" s="1">
        <f t="shared" si="32"/>
        <v>33.333333333333329</v>
      </c>
      <c r="AC216" s="1">
        <f t="shared" si="33"/>
        <v>0</v>
      </c>
      <c r="AD216" s="2">
        <f t="shared" si="34"/>
        <v>0.22222222222222221</v>
      </c>
      <c r="AE216" s="2">
        <f t="shared" si="35"/>
        <v>-16.666666666666664</v>
      </c>
      <c r="AF216" s="2">
        <f t="shared" si="37"/>
        <v>-0.13534522176497482</v>
      </c>
    </row>
    <row r="217" spans="1:32" x14ac:dyDescent="0.35">
      <c r="A217" s="2" t="s">
        <v>605</v>
      </c>
      <c r="B217" s="2" t="s">
        <v>390</v>
      </c>
      <c r="C217" s="2">
        <v>27</v>
      </c>
      <c r="D217" s="2">
        <v>14.4</v>
      </c>
      <c r="E217" s="7">
        <v>0</v>
      </c>
      <c r="F217" s="7">
        <v>0</v>
      </c>
      <c r="G217" s="7">
        <v>0</v>
      </c>
      <c r="H217" s="7">
        <v>2</v>
      </c>
      <c r="I217" s="7">
        <v>0</v>
      </c>
      <c r="J217" s="7">
        <v>0</v>
      </c>
      <c r="K217" s="7">
        <v>0</v>
      </c>
      <c r="L217" s="7">
        <v>5</v>
      </c>
      <c r="N217" s="7">
        <v>10</v>
      </c>
      <c r="O217" s="7">
        <v>8</v>
      </c>
      <c r="P217" s="7">
        <v>8</v>
      </c>
      <c r="Q217" s="7">
        <v>1</v>
      </c>
      <c r="R217" s="7">
        <v>0</v>
      </c>
      <c r="S217" s="7">
        <v>1</v>
      </c>
      <c r="T217" s="7">
        <v>0</v>
      </c>
      <c r="U217" s="7">
        <v>4</v>
      </c>
      <c r="V217" s="2">
        <f t="shared" si="36"/>
        <v>0.81027751398121772</v>
      </c>
      <c r="W217" s="7">
        <v>50</v>
      </c>
      <c r="X217" s="2">
        <f t="shared" si="29"/>
        <v>50.810277513981219</v>
      </c>
      <c r="Y217" s="2"/>
      <c r="Z217" s="2">
        <f t="shared" si="30"/>
        <v>26</v>
      </c>
      <c r="AA217" s="1">
        <f t="shared" si="31"/>
        <v>15.384615384615385</v>
      </c>
      <c r="AB217" s="1">
        <f t="shared" si="32"/>
        <v>3.8461538461538463</v>
      </c>
      <c r="AC217" s="1">
        <f t="shared" si="33"/>
        <v>3.8461538461538463</v>
      </c>
      <c r="AD217" s="2">
        <f t="shared" si="34"/>
        <v>0.96296296296296291</v>
      </c>
      <c r="AE217" s="2">
        <f t="shared" si="35"/>
        <v>11.538461538461538</v>
      </c>
      <c r="AF217" s="2">
        <f t="shared" si="37"/>
        <v>4.0513875699060886</v>
      </c>
    </row>
    <row r="218" spans="1:32" x14ac:dyDescent="0.35">
      <c r="A218" s="2" t="s">
        <v>606</v>
      </c>
      <c r="B218" s="2" t="s">
        <v>390</v>
      </c>
      <c r="C218" s="2">
        <v>27</v>
      </c>
      <c r="D218" s="2">
        <v>2.4500000000000002</v>
      </c>
      <c r="E218" s="7">
        <v>0</v>
      </c>
      <c r="F218" s="7">
        <v>0</v>
      </c>
      <c r="G218" s="7">
        <v>1</v>
      </c>
      <c r="H218" s="7">
        <v>5</v>
      </c>
      <c r="I218" s="7">
        <v>0</v>
      </c>
      <c r="J218" s="7">
        <v>0</v>
      </c>
      <c r="K218" s="7">
        <v>0</v>
      </c>
      <c r="L218" s="7">
        <v>11</v>
      </c>
      <c r="N218" s="7">
        <v>10</v>
      </c>
      <c r="O218" s="7">
        <v>3</v>
      </c>
      <c r="P218" s="7">
        <v>3</v>
      </c>
      <c r="Q218" s="7">
        <v>1</v>
      </c>
      <c r="R218" s="7">
        <v>0</v>
      </c>
      <c r="S218" s="7">
        <v>6</v>
      </c>
      <c r="T218" s="7">
        <v>0</v>
      </c>
      <c r="U218" s="7">
        <v>8</v>
      </c>
      <c r="V218" s="2">
        <f t="shared" si="36"/>
        <v>2.656298330199637</v>
      </c>
      <c r="W218" s="7">
        <v>50</v>
      </c>
      <c r="X218" s="2">
        <f t="shared" si="29"/>
        <v>52.65629833019964</v>
      </c>
      <c r="Y218" s="2"/>
      <c r="Z218" s="2">
        <f t="shared" si="30"/>
        <v>49</v>
      </c>
      <c r="AA218" s="1">
        <f t="shared" si="31"/>
        <v>16.326530612244898</v>
      </c>
      <c r="AB218" s="1">
        <f t="shared" si="32"/>
        <v>12.244897959183673</v>
      </c>
      <c r="AC218" s="1">
        <f t="shared" si="33"/>
        <v>2.0408163265306123</v>
      </c>
      <c r="AD218" s="2">
        <f t="shared" si="34"/>
        <v>1.8148148148148149</v>
      </c>
      <c r="AE218" s="2">
        <f t="shared" si="35"/>
        <v>4.0816326530612255</v>
      </c>
      <c r="AF218" s="2">
        <f t="shared" si="37"/>
        <v>13.281491650998186</v>
      </c>
    </row>
    <row r="219" spans="1:32" x14ac:dyDescent="0.35">
      <c r="A219" s="2" t="s">
        <v>607</v>
      </c>
      <c r="B219" s="2" t="s">
        <v>390</v>
      </c>
      <c r="C219" s="2">
        <v>27</v>
      </c>
      <c r="D219" s="2">
        <v>5.33</v>
      </c>
      <c r="E219" s="7">
        <v>0</v>
      </c>
      <c r="F219" s="7">
        <v>1</v>
      </c>
      <c r="G219" s="7">
        <v>0</v>
      </c>
      <c r="H219" s="7">
        <v>19</v>
      </c>
      <c r="I219" s="7">
        <v>1</v>
      </c>
      <c r="J219" s="7">
        <v>0</v>
      </c>
      <c r="K219" s="7">
        <v>0</v>
      </c>
      <c r="L219" s="7">
        <v>27</v>
      </c>
      <c r="N219" s="7">
        <v>20</v>
      </c>
      <c r="O219" s="7">
        <v>16</v>
      </c>
      <c r="P219" s="7">
        <v>16</v>
      </c>
      <c r="Q219" s="7">
        <v>4</v>
      </c>
      <c r="R219" s="7">
        <v>3</v>
      </c>
      <c r="S219" s="7">
        <v>17</v>
      </c>
      <c r="T219" s="7">
        <v>0</v>
      </c>
      <c r="U219" s="7">
        <v>25</v>
      </c>
      <c r="V219" s="2">
        <f t="shared" si="36"/>
        <v>6.2368764002992458</v>
      </c>
      <c r="W219" s="7">
        <v>50</v>
      </c>
      <c r="X219" s="2">
        <f t="shared" si="29"/>
        <v>56.236876400299245</v>
      </c>
      <c r="Y219" s="2"/>
      <c r="Z219" s="2">
        <f t="shared" si="30"/>
        <v>121</v>
      </c>
      <c r="AA219" s="1">
        <f t="shared" si="31"/>
        <v>20.66115702479339</v>
      </c>
      <c r="AB219" s="1">
        <f t="shared" si="32"/>
        <v>16.528925619834713</v>
      </c>
      <c r="AC219" s="1">
        <f t="shared" si="33"/>
        <v>3.3057851239669422</v>
      </c>
      <c r="AD219" s="2">
        <f t="shared" si="34"/>
        <v>4.4814814814814818</v>
      </c>
      <c r="AE219" s="2">
        <f t="shared" si="35"/>
        <v>4.1322314049586772</v>
      </c>
      <c r="AF219" s="2">
        <f t="shared" si="37"/>
        <v>31.184382001496228</v>
      </c>
    </row>
    <row r="220" spans="1:32" x14ac:dyDescent="0.35">
      <c r="A220" s="2" t="s">
        <v>608</v>
      </c>
      <c r="B220" s="2" t="s">
        <v>390</v>
      </c>
      <c r="C220" s="2">
        <v>27</v>
      </c>
      <c r="D220" s="2">
        <v>7.03</v>
      </c>
      <c r="E220" s="7">
        <v>0</v>
      </c>
      <c r="F220" s="7">
        <v>0</v>
      </c>
      <c r="G220" s="7">
        <v>0</v>
      </c>
      <c r="H220" s="7">
        <v>22</v>
      </c>
      <c r="I220" s="7">
        <v>0</v>
      </c>
      <c r="J220" s="7">
        <v>0</v>
      </c>
      <c r="K220" s="7">
        <v>0</v>
      </c>
      <c r="L220" s="7">
        <v>24</v>
      </c>
      <c r="M220" s="7">
        <v>1</v>
      </c>
      <c r="N220" s="7">
        <v>28</v>
      </c>
      <c r="O220" s="7">
        <v>19</v>
      </c>
      <c r="P220" s="7">
        <v>19</v>
      </c>
      <c r="Q220" s="7">
        <v>6</v>
      </c>
      <c r="R220" s="7">
        <v>1</v>
      </c>
      <c r="S220" s="7">
        <v>17</v>
      </c>
      <c r="T220" s="7">
        <v>0</v>
      </c>
      <c r="U220" s="7">
        <v>25</v>
      </c>
      <c r="V220" s="2">
        <f t="shared" si="36"/>
        <v>7.7955194042798679</v>
      </c>
      <c r="W220" s="7">
        <v>50</v>
      </c>
      <c r="X220" s="2">
        <f t="shared" si="29"/>
        <v>57.795519404279865</v>
      </c>
      <c r="Y220" s="2"/>
      <c r="Z220" s="2">
        <f t="shared" si="30"/>
        <v>119</v>
      </c>
      <c r="AA220" s="1">
        <f t="shared" si="31"/>
        <v>21.008403361344538</v>
      </c>
      <c r="AB220" s="1">
        <f t="shared" si="32"/>
        <v>15.126050420168067</v>
      </c>
      <c r="AC220" s="1">
        <f t="shared" si="33"/>
        <v>5.0420168067226889</v>
      </c>
      <c r="AD220" s="2">
        <f t="shared" si="34"/>
        <v>4.4074074074074074</v>
      </c>
      <c r="AE220" s="2">
        <f t="shared" si="35"/>
        <v>5.882352941176471</v>
      </c>
      <c r="AF220" s="2">
        <f t="shared" si="37"/>
        <v>38.97759702139934</v>
      </c>
    </row>
    <row r="221" spans="1:32" x14ac:dyDescent="0.35">
      <c r="A221" s="2" t="s">
        <v>609</v>
      </c>
      <c r="B221" s="2" t="s">
        <v>390</v>
      </c>
      <c r="C221" s="2">
        <v>27</v>
      </c>
      <c r="D221" s="2">
        <v>6</v>
      </c>
      <c r="E221" s="7">
        <v>1</v>
      </c>
      <c r="F221" s="7">
        <v>0</v>
      </c>
      <c r="G221" s="7">
        <v>0</v>
      </c>
      <c r="H221" s="7">
        <v>10</v>
      </c>
      <c r="I221" s="7">
        <v>0</v>
      </c>
      <c r="J221" s="7">
        <v>0</v>
      </c>
      <c r="K221" s="7">
        <v>0</v>
      </c>
      <c r="L221" s="7">
        <v>9</v>
      </c>
      <c r="N221" s="7">
        <v>10</v>
      </c>
      <c r="O221" s="7">
        <v>6</v>
      </c>
      <c r="P221" s="7">
        <v>6</v>
      </c>
      <c r="Q221" s="7">
        <v>3</v>
      </c>
      <c r="R221" s="7">
        <v>1</v>
      </c>
      <c r="S221" s="7">
        <v>2</v>
      </c>
      <c r="T221" s="7">
        <v>0</v>
      </c>
      <c r="U221" s="7">
        <v>6</v>
      </c>
      <c r="V221" s="2">
        <f t="shared" si="36"/>
        <v>3.7700045724737072</v>
      </c>
      <c r="W221" s="7">
        <v>50</v>
      </c>
      <c r="X221" s="2">
        <f t="shared" si="29"/>
        <v>53.770004572473709</v>
      </c>
      <c r="Y221" s="2"/>
      <c r="Z221" s="2">
        <f t="shared" si="30"/>
        <v>40</v>
      </c>
      <c r="AA221" s="1">
        <f t="shared" si="31"/>
        <v>15</v>
      </c>
      <c r="AB221" s="1">
        <f t="shared" si="32"/>
        <v>7.5</v>
      </c>
      <c r="AC221" s="1">
        <f t="shared" si="33"/>
        <v>7.5</v>
      </c>
      <c r="AD221" s="2">
        <f t="shared" si="34"/>
        <v>1.4814814814814814</v>
      </c>
      <c r="AE221" s="2">
        <f t="shared" si="35"/>
        <v>7.5</v>
      </c>
      <c r="AF221" s="2">
        <f t="shared" si="37"/>
        <v>18.850022862368537</v>
      </c>
    </row>
    <row r="222" spans="1:32" x14ac:dyDescent="0.35">
      <c r="A222" s="2" t="s">
        <v>610</v>
      </c>
      <c r="B222" s="2" t="s">
        <v>390</v>
      </c>
      <c r="C222" s="2">
        <v>27</v>
      </c>
      <c r="D222" s="2">
        <v>9.15</v>
      </c>
      <c r="E222" s="7">
        <v>0</v>
      </c>
      <c r="F222" s="7">
        <v>2</v>
      </c>
      <c r="G222" s="7">
        <v>0</v>
      </c>
      <c r="H222" s="7">
        <v>7</v>
      </c>
      <c r="I222" s="7">
        <v>2</v>
      </c>
      <c r="J222" s="7">
        <v>0</v>
      </c>
      <c r="K222" s="7">
        <v>0</v>
      </c>
      <c r="L222" s="7">
        <v>19</v>
      </c>
      <c r="M222" s="7">
        <v>2</v>
      </c>
      <c r="N222" s="7">
        <v>26</v>
      </c>
      <c r="O222" s="7">
        <v>20</v>
      </c>
      <c r="P222" s="7">
        <v>20</v>
      </c>
      <c r="Q222" s="7">
        <v>9</v>
      </c>
      <c r="R222" s="7">
        <v>1</v>
      </c>
      <c r="S222" s="7">
        <v>7</v>
      </c>
      <c r="T222" s="7">
        <v>0</v>
      </c>
      <c r="U222" s="7">
        <v>18</v>
      </c>
      <c r="V222" s="2">
        <f t="shared" si="36"/>
        <v>11.41287406449872</v>
      </c>
      <c r="W222" s="7">
        <v>50</v>
      </c>
      <c r="X222" s="2">
        <f t="shared" si="29"/>
        <v>61.412874064498723</v>
      </c>
      <c r="Y222" s="2"/>
      <c r="Z222" s="2">
        <f t="shared" si="30"/>
        <v>93</v>
      </c>
      <c r="AA222" s="1">
        <f t="shared" si="31"/>
        <v>19.35483870967742</v>
      </c>
      <c r="AB222" s="1">
        <f t="shared" si="32"/>
        <v>8.6021505376344098</v>
      </c>
      <c r="AC222" s="1">
        <f t="shared" si="33"/>
        <v>9.67741935483871</v>
      </c>
      <c r="AD222" s="2">
        <f t="shared" si="34"/>
        <v>3.4444444444444446</v>
      </c>
      <c r="AE222" s="2">
        <f t="shared" si="35"/>
        <v>10.75268817204301</v>
      </c>
      <c r="AF222" s="2">
        <f t="shared" si="37"/>
        <v>57.064370322493595</v>
      </c>
    </row>
    <row r="223" spans="1:32" x14ac:dyDescent="0.35">
      <c r="A223" s="2" t="s">
        <v>611</v>
      </c>
      <c r="B223" s="2" t="s">
        <v>390</v>
      </c>
      <c r="C223" s="2">
        <v>27</v>
      </c>
      <c r="D223" s="2">
        <v>7.02</v>
      </c>
      <c r="E223" s="7">
        <v>1</v>
      </c>
      <c r="F223" s="7">
        <v>0</v>
      </c>
      <c r="G223" s="7">
        <v>0</v>
      </c>
      <c r="H223" s="7">
        <v>31</v>
      </c>
      <c r="I223" s="7">
        <v>1</v>
      </c>
      <c r="J223" s="7">
        <v>0</v>
      </c>
      <c r="K223" s="7">
        <v>0</v>
      </c>
      <c r="L223" s="7">
        <v>42</v>
      </c>
      <c r="M223" s="7">
        <v>1</v>
      </c>
      <c r="N223" s="7">
        <v>55</v>
      </c>
      <c r="O223" s="7">
        <v>35</v>
      </c>
      <c r="P223" s="7">
        <v>33</v>
      </c>
      <c r="Q223" s="7">
        <v>11</v>
      </c>
      <c r="R223" s="7">
        <v>0</v>
      </c>
      <c r="S223" s="7">
        <v>20</v>
      </c>
      <c r="T223" s="7">
        <v>0</v>
      </c>
      <c r="U223" s="7">
        <v>25</v>
      </c>
      <c r="V223" s="2">
        <f t="shared" si="36"/>
        <v>13.679076887323641</v>
      </c>
      <c r="W223" s="7">
        <v>50</v>
      </c>
      <c r="X223" s="2">
        <f t="shared" si="29"/>
        <v>63.679076887323639</v>
      </c>
      <c r="Y223" s="2"/>
      <c r="Z223" s="2">
        <f t="shared" si="30"/>
        <v>202</v>
      </c>
      <c r="AA223" s="1">
        <f t="shared" si="31"/>
        <v>12.376237623762377</v>
      </c>
      <c r="AB223" s="1">
        <f t="shared" si="32"/>
        <v>9.9009900990099009</v>
      </c>
      <c r="AC223" s="1">
        <f t="shared" si="33"/>
        <v>5.4455445544554459</v>
      </c>
      <c r="AD223" s="2">
        <f t="shared" si="34"/>
        <v>7.4814814814814818</v>
      </c>
      <c r="AE223" s="2">
        <f t="shared" si="35"/>
        <v>2.4752475247524757</v>
      </c>
      <c r="AF223" s="2">
        <f t="shared" si="37"/>
        <v>68.395384436618201</v>
      </c>
    </row>
    <row r="224" spans="1:32" x14ac:dyDescent="0.35">
      <c r="A224" s="2" t="s">
        <v>612</v>
      </c>
      <c r="B224" s="2" t="s">
        <v>390</v>
      </c>
      <c r="C224" s="2">
        <v>27</v>
      </c>
      <c r="D224" s="2">
        <v>1.24</v>
      </c>
      <c r="E224" s="7">
        <v>2</v>
      </c>
      <c r="F224" s="7">
        <v>1</v>
      </c>
      <c r="G224" s="7">
        <v>3</v>
      </c>
      <c r="H224" s="7">
        <v>28</v>
      </c>
      <c r="I224" s="7">
        <v>0</v>
      </c>
      <c r="J224" s="7">
        <v>0</v>
      </c>
      <c r="K224" s="7">
        <v>0</v>
      </c>
      <c r="L224" s="7">
        <v>29</v>
      </c>
      <c r="N224" s="7">
        <v>19</v>
      </c>
      <c r="O224" s="7">
        <v>5</v>
      </c>
      <c r="P224" s="7">
        <v>4</v>
      </c>
      <c r="Q224" s="7">
        <v>1</v>
      </c>
      <c r="R224" s="7">
        <v>0</v>
      </c>
      <c r="S224" s="7">
        <v>10</v>
      </c>
      <c r="T224" s="7">
        <v>1</v>
      </c>
      <c r="U224" s="7">
        <v>19</v>
      </c>
      <c r="V224" s="2">
        <f t="shared" si="36"/>
        <v>15.55473159477609</v>
      </c>
      <c r="W224" s="7">
        <v>50</v>
      </c>
      <c r="X224" s="2">
        <f t="shared" si="29"/>
        <v>65.554731594776086</v>
      </c>
      <c r="Y224" s="2"/>
      <c r="Z224" s="2">
        <f t="shared" si="30"/>
        <v>116</v>
      </c>
      <c r="AA224" s="1">
        <f t="shared" si="31"/>
        <v>16.379310344827587</v>
      </c>
      <c r="AB224" s="1">
        <f t="shared" si="32"/>
        <v>8.6206896551724146</v>
      </c>
      <c r="AC224" s="1">
        <f t="shared" si="33"/>
        <v>0.86206896551724133</v>
      </c>
      <c r="AD224" s="2">
        <f t="shared" si="34"/>
        <v>4.2962962962962967</v>
      </c>
      <c r="AE224" s="2">
        <f t="shared" si="35"/>
        <v>7.7586206896551726</v>
      </c>
      <c r="AF224" s="2">
        <f t="shared" si="37"/>
        <v>77.773657973880447</v>
      </c>
    </row>
    <row r="225" spans="1:32" x14ac:dyDescent="0.35">
      <c r="A225" s="2" t="s">
        <v>613</v>
      </c>
      <c r="B225" s="2" t="s">
        <v>390</v>
      </c>
      <c r="C225" s="2">
        <v>27</v>
      </c>
      <c r="D225" s="2">
        <v>1.84</v>
      </c>
      <c r="E225" s="7">
        <v>0</v>
      </c>
      <c r="F225" s="7">
        <v>1</v>
      </c>
      <c r="G225" s="7">
        <v>0</v>
      </c>
      <c r="H225" s="7">
        <v>33</v>
      </c>
      <c r="I225" s="7">
        <v>0</v>
      </c>
      <c r="J225" s="7">
        <v>0</v>
      </c>
      <c r="K225" s="7">
        <v>0</v>
      </c>
      <c r="L225" s="7">
        <v>29</v>
      </c>
      <c r="M225" s="7">
        <v>1</v>
      </c>
      <c r="N225" s="7">
        <v>14</v>
      </c>
      <c r="O225" s="7">
        <v>8</v>
      </c>
      <c r="P225" s="7">
        <v>6</v>
      </c>
      <c r="Q225" s="7">
        <v>2</v>
      </c>
      <c r="R225" s="7">
        <v>3</v>
      </c>
      <c r="S225" s="7">
        <v>21</v>
      </c>
      <c r="T225" s="7">
        <v>0</v>
      </c>
      <c r="U225" s="7">
        <v>42</v>
      </c>
      <c r="V225" s="2">
        <f t="shared" si="36"/>
        <v>24.873092554251965</v>
      </c>
      <c r="W225" s="7">
        <v>50</v>
      </c>
      <c r="X225" s="2">
        <f t="shared" si="29"/>
        <v>74.873092554251969</v>
      </c>
      <c r="Y225" s="2"/>
      <c r="Z225" s="2">
        <f t="shared" si="30"/>
        <v>126</v>
      </c>
      <c r="AA225" s="1">
        <f t="shared" si="31"/>
        <v>33.333333333333329</v>
      </c>
      <c r="AB225" s="1">
        <f t="shared" si="32"/>
        <v>19.047619047619047</v>
      </c>
      <c r="AC225" s="1">
        <f t="shared" si="33"/>
        <v>1.5873015873015872</v>
      </c>
      <c r="AD225" s="2">
        <f t="shared" si="34"/>
        <v>4.666666666666667</v>
      </c>
      <c r="AE225" s="2">
        <f t="shared" si="35"/>
        <v>14.285714285714281</v>
      </c>
      <c r="AF225" s="2">
        <f t="shared" si="37"/>
        <v>124.36546277125983</v>
      </c>
    </row>
    <row r="226" spans="1:32" x14ac:dyDescent="0.35">
      <c r="A226" s="2" t="s">
        <v>614</v>
      </c>
      <c r="B226" s="2" t="s">
        <v>390</v>
      </c>
      <c r="C226" s="2">
        <v>27</v>
      </c>
      <c r="D226" s="2">
        <v>8.3800000000000008</v>
      </c>
      <c r="E226" s="7">
        <v>0</v>
      </c>
      <c r="F226" s="7">
        <v>1</v>
      </c>
      <c r="G226" s="7">
        <v>0</v>
      </c>
      <c r="H226" s="7">
        <v>30</v>
      </c>
      <c r="I226" s="7">
        <v>0</v>
      </c>
      <c r="J226" s="7">
        <v>0</v>
      </c>
      <c r="K226" s="7">
        <v>0</v>
      </c>
      <c r="L226" s="7">
        <v>29</v>
      </c>
      <c r="N226" s="7">
        <v>47</v>
      </c>
      <c r="O226" s="7">
        <v>29</v>
      </c>
      <c r="P226" s="7">
        <v>27</v>
      </c>
      <c r="Q226" s="7">
        <v>7</v>
      </c>
      <c r="R226" s="7">
        <v>1</v>
      </c>
      <c r="S226" s="7">
        <v>16</v>
      </c>
      <c r="T226" s="7">
        <v>0</v>
      </c>
      <c r="U226" s="7">
        <v>23</v>
      </c>
      <c r="V226" s="2">
        <f t="shared" si="36"/>
        <v>7.1959279147340922</v>
      </c>
      <c r="W226" s="7">
        <v>50</v>
      </c>
      <c r="X226" s="2">
        <f t="shared" si="29"/>
        <v>57.195927914734092</v>
      </c>
      <c r="Y226" s="2"/>
      <c r="Z226" s="2">
        <f t="shared" si="30"/>
        <v>151</v>
      </c>
      <c r="AA226" s="1">
        <f t="shared" si="31"/>
        <v>15.231788079470199</v>
      </c>
      <c r="AB226" s="1">
        <f t="shared" si="32"/>
        <v>11.258278145695364</v>
      </c>
      <c r="AC226" s="1">
        <f t="shared" si="33"/>
        <v>4.6357615894039732</v>
      </c>
      <c r="AD226" s="2">
        <f t="shared" si="34"/>
        <v>5.5925925925925926</v>
      </c>
      <c r="AE226" s="2">
        <f t="shared" si="35"/>
        <v>3.9735099337748352</v>
      </c>
      <c r="AF226" s="2">
        <f t="shared" si="37"/>
        <v>35.979639573670461</v>
      </c>
    </row>
    <row r="227" spans="1:32" x14ac:dyDescent="0.35">
      <c r="A227" s="2" t="s">
        <v>615</v>
      </c>
      <c r="B227" s="2" t="s">
        <v>390</v>
      </c>
      <c r="C227" s="2">
        <v>27</v>
      </c>
      <c r="D227" s="2">
        <v>4.5</v>
      </c>
      <c r="E227" s="7">
        <v>4</v>
      </c>
      <c r="F227" s="7">
        <v>6</v>
      </c>
      <c r="G227" s="7">
        <v>3</v>
      </c>
      <c r="H227" s="7">
        <v>69</v>
      </c>
      <c r="I227" s="7">
        <v>3</v>
      </c>
      <c r="J227" s="7">
        <v>0</v>
      </c>
      <c r="K227" s="7">
        <v>0</v>
      </c>
      <c r="L227" s="7">
        <v>72</v>
      </c>
      <c r="N227" s="7">
        <v>65</v>
      </c>
      <c r="O227" s="7">
        <v>41</v>
      </c>
      <c r="P227" s="7">
        <v>36</v>
      </c>
      <c r="Q227" s="7">
        <v>7</v>
      </c>
      <c r="R227" s="7">
        <v>4</v>
      </c>
      <c r="S227" s="7">
        <v>19</v>
      </c>
      <c r="T227" s="7">
        <v>2</v>
      </c>
      <c r="U227" s="7">
        <v>64</v>
      </c>
      <c r="V227" s="2">
        <f t="shared" si="36"/>
        <v>40.897260526716884</v>
      </c>
      <c r="W227" s="7">
        <v>50</v>
      </c>
      <c r="X227" s="2">
        <f t="shared" si="29"/>
        <v>90.897260526716877</v>
      </c>
      <c r="Y227" s="2"/>
      <c r="Z227" s="2">
        <f t="shared" si="30"/>
        <v>304</v>
      </c>
      <c r="AA227" s="1">
        <f t="shared" si="31"/>
        <v>21.052631578947366</v>
      </c>
      <c r="AB227" s="1">
        <f t="shared" si="32"/>
        <v>7.5657894736842106</v>
      </c>
      <c r="AC227" s="1">
        <f t="shared" si="33"/>
        <v>2.3026315789473681</v>
      </c>
      <c r="AD227" s="2">
        <f t="shared" si="34"/>
        <v>11.25925925925926</v>
      </c>
      <c r="AE227" s="2">
        <f t="shared" si="35"/>
        <v>13.486842105263156</v>
      </c>
      <c r="AF227" s="2">
        <f t="shared" si="37"/>
        <v>204.48630263358442</v>
      </c>
    </row>
    <row r="228" spans="1:32" x14ac:dyDescent="0.35">
      <c r="A228" s="2" t="s">
        <v>616</v>
      </c>
      <c r="B228" s="2" t="s">
        <v>390</v>
      </c>
      <c r="C228" s="2">
        <v>27</v>
      </c>
      <c r="D228" s="2">
        <v>4.38</v>
      </c>
      <c r="E228" s="7">
        <v>0</v>
      </c>
      <c r="F228" s="7">
        <v>0</v>
      </c>
      <c r="G228" s="7">
        <v>0</v>
      </c>
      <c r="H228" s="7">
        <v>13</v>
      </c>
      <c r="I228" s="7">
        <v>2</v>
      </c>
      <c r="J228" s="7">
        <v>0</v>
      </c>
      <c r="K228" s="7">
        <v>0</v>
      </c>
      <c r="L228" s="7">
        <v>24</v>
      </c>
      <c r="M228" s="7">
        <v>2</v>
      </c>
      <c r="N228" s="7">
        <v>27</v>
      </c>
      <c r="O228" s="7">
        <v>16</v>
      </c>
      <c r="P228" s="7">
        <v>12</v>
      </c>
      <c r="Q228" s="7">
        <v>4</v>
      </c>
      <c r="R228" s="7">
        <v>1</v>
      </c>
      <c r="S228" s="7">
        <v>8</v>
      </c>
      <c r="T228" s="7">
        <v>0</v>
      </c>
      <c r="U228" s="7">
        <v>28</v>
      </c>
      <c r="V228" s="2">
        <f t="shared" si="36"/>
        <v>18.411751542142213</v>
      </c>
      <c r="W228" s="7">
        <v>50</v>
      </c>
      <c r="X228" s="2">
        <f t="shared" si="29"/>
        <v>68.411751542142213</v>
      </c>
      <c r="Y228" s="2"/>
      <c r="Z228" s="2">
        <f t="shared" si="30"/>
        <v>110</v>
      </c>
      <c r="AA228" s="1">
        <f t="shared" si="31"/>
        <v>25.454545454545453</v>
      </c>
      <c r="AB228" s="1">
        <f t="shared" si="32"/>
        <v>8.1818181818181817</v>
      </c>
      <c r="AC228" s="1">
        <f t="shared" si="33"/>
        <v>3.6363636363636362</v>
      </c>
      <c r="AD228" s="2">
        <f t="shared" si="34"/>
        <v>4.0740740740740744</v>
      </c>
      <c r="AE228" s="2">
        <f t="shared" si="35"/>
        <v>17.272727272727273</v>
      </c>
      <c r="AF228" s="2">
        <f t="shared" si="37"/>
        <v>92.058757710711063</v>
      </c>
    </row>
    <row r="229" spans="1:32" x14ac:dyDescent="0.35">
      <c r="A229" s="2" t="s">
        <v>617</v>
      </c>
      <c r="B229" s="2" t="s">
        <v>390</v>
      </c>
      <c r="C229" s="2">
        <v>27</v>
      </c>
      <c r="D229" s="2">
        <v>3.21</v>
      </c>
      <c r="E229" s="7">
        <v>0</v>
      </c>
      <c r="F229" s="7">
        <v>2</v>
      </c>
      <c r="G229" s="7">
        <v>0</v>
      </c>
      <c r="H229" s="7">
        <v>11</v>
      </c>
      <c r="I229" s="7">
        <v>0</v>
      </c>
      <c r="J229" s="7">
        <v>0</v>
      </c>
      <c r="K229" s="7">
        <v>0</v>
      </c>
      <c r="L229" s="7">
        <v>14</v>
      </c>
      <c r="N229" s="7">
        <v>16</v>
      </c>
      <c r="O229" s="7">
        <v>5</v>
      </c>
      <c r="P229" s="7">
        <v>5</v>
      </c>
      <c r="Q229" s="7">
        <v>2</v>
      </c>
      <c r="R229" s="7">
        <v>0</v>
      </c>
      <c r="S229" s="7">
        <v>2</v>
      </c>
      <c r="T229" s="7">
        <v>0</v>
      </c>
      <c r="U229" s="7">
        <v>14</v>
      </c>
      <c r="V229" s="2">
        <f t="shared" si="36"/>
        <v>13.332820532543622</v>
      </c>
      <c r="W229" s="7">
        <v>50</v>
      </c>
      <c r="X229" s="2">
        <f t="shared" si="29"/>
        <v>63.332820532543622</v>
      </c>
      <c r="Y229" s="2"/>
      <c r="Z229" s="2">
        <f t="shared" si="30"/>
        <v>60</v>
      </c>
      <c r="AA229" s="1">
        <f t="shared" si="31"/>
        <v>23.333333333333332</v>
      </c>
      <c r="AB229" s="1">
        <f t="shared" si="32"/>
        <v>3.3333333333333335</v>
      </c>
      <c r="AC229" s="1">
        <f t="shared" si="33"/>
        <v>3.3333333333333335</v>
      </c>
      <c r="AD229" s="2">
        <f t="shared" si="34"/>
        <v>2.2222222222222223</v>
      </c>
      <c r="AE229" s="2">
        <f t="shared" si="35"/>
        <v>20</v>
      </c>
      <c r="AF229" s="2">
        <f t="shared" si="37"/>
        <v>66.664102662718108</v>
      </c>
    </row>
    <row r="230" spans="1:32" x14ac:dyDescent="0.35">
      <c r="A230" s="2" t="s">
        <v>618</v>
      </c>
      <c r="B230" s="2" t="s">
        <v>390</v>
      </c>
      <c r="C230" s="2">
        <v>27</v>
      </c>
      <c r="D230" s="2">
        <v>7.34</v>
      </c>
      <c r="E230" s="7">
        <v>4</v>
      </c>
      <c r="F230" s="7">
        <v>2</v>
      </c>
      <c r="G230" s="7">
        <v>0</v>
      </c>
      <c r="H230" s="7">
        <v>31</v>
      </c>
      <c r="I230" s="7">
        <v>0</v>
      </c>
      <c r="J230" s="7">
        <v>0</v>
      </c>
      <c r="K230" s="7">
        <v>0</v>
      </c>
      <c r="L230" s="7">
        <v>30</v>
      </c>
      <c r="M230" s="7">
        <v>2</v>
      </c>
      <c r="N230" s="7">
        <v>34</v>
      </c>
      <c r="O230" s="7">
        <v>28</v>
      </c>
      <c r="P230" s="7">
        <v>25</v>
      </c>
      <c r="Q230" s="7">
        <v>5</v>
      </c>
      <c r="R230" s="7">
        <v>3</v>
      </c>
      <c r="S230" s="7">
        <v>22</v>
      </c>
      <c r="T230" s="7">
        <v>2</v>
      </c>
      <c r="U230" s="7">
        <v>36</v>
      </c>
      <c r="V230" s="2">
        <f t="shared" si="36"/>
        <v>8.4601492418387743</v>
      </c>
      <c r="W230" s="7">
        <v>50</v>
      </c>
      <c r="X230" s="2">
        <f t="shared" si="29"/>
        <v>58.460149241838778</v>
      </c>
      <c r="Y230" s="2"/>
      <c r="Z230" s="2">
        <f t="shared" si="30"/>
        <v>151</v>
      </c>
      <c r="AA230" s="1">
        <f t="shared" si="31"/>
        <v>23.841059602649008</v>
      </c>
      <c r="AB230" s="1">
        <f t="shared" si="32"/>
        <v>16.556291390728479</v>
      </c>
      <c r="AC230" s="1">
        <f t="shared" si="33"/>
        <v>3.3112582781456954</v>
      </c>
      <c r="AD230" s="2">
        <f t="shared" si="34"/>
        <v>5.5925925925925926</v>
      </c>
      <c r="AE230" s="2">
        <f t="shared" si="35"/>
        <v>7.2847682119205288</v>
      </c>
      <c r="AF230" s="2">
        <f t="shared" si="37"/>
        <v>42.300746209193875</v>
      </c>
    </row>
    <row r="231" spans="1:32" x14ac:dyDescent="0.35">
      <c r="A231" s="2" t="s">
        <v>619</v>
      </c>
      <c r="B231" s="2" t="s">
        <v>390</v>
      </c>
      <c r="C231" s="2">
        <v>27</v>
      </c>
      <c r="D231" s="2">
        <v>4.24</v>
      </c>
      <c r="E231" s="7">
        <v>2</v>
      </c>
      <c r="F231" s="7">
        <v>4</v>
      </c>
      <c r="G231" s="7">
        <v>3</v>
      </c>
      <c r="H231" s="7">
        <v>36</v>
      </c>
      <c r="I231" s="7">
        <v>0</v>
      </c>
      <c r="J231" s="7">
        <v>0</v>
      </c>
      <c r="K231" s="7">
        <v>0</v>
      </c>
      <c r="L231" s="7">
        <v>34</v>
      </c>
      <c r="N231" s="7">
        <v>27</v>
      </c>
      <c r="O231" s="7">
        <v>19</v>
      </c>
      <c r="P231" s="7">
        <v>16</v>
      </c>
      <c r="Q231" s="7">
        <v>3</v>
      </c>
      <c r="R231" s="7">
        <v>0</v>
      </c>
      <c r="S231" s="7">
        <v>10</v>
      </c>
      <c r="T231" s="7">
        <v>2</v>
      </c>
      <c r="U231" s="7">
        <v>25</v>
      </c>
      <c r="V231" s="2">
        <f t="shared" si="36"/>
        <v>12.224750365093433</v>
      </c>
      <c r="W231" s="7">
        <v>50</v>
      </c>
      <c r="X231" s="2">
        <f t="shared" si="29"/>
        <v>62.224750365093435</v>
      </c>
      <c r="Y231" s="2"/>
      <c r="Z231" s="2">
        <f t="shared" si="30"/>
        <v>139</v>
      </c>
      <c r="AA231" s="1">
        <f t="shared" si="31"/>
        <v>17.985611510791365</v>
      </c>
      <c r="AB231" s="1">
        <f t="shared" si="32"/>
        <v>7.1942446043165464</v>
      </c>
      <c r="AC231" s="1">
        <f t="shared" si="33"/>
        <v>2.1582733812949639</v>
      </c>
      <c r="AD231" s="2">
        <f t="shared" si="34"/>
        <v>5.1481481481481479</v>
      </c>
      <c r="AE231" s="2">
        <f t="shared" si="35"/>
        <v>10.791366906474819</v>
      </c>
      <c r="AF231" s="2">
        <f t="shared" si="37"/>
        <v>61.123751825467167</v>
      </c>
    </row>
    <row r="232" spans="1:32" x14ac:dyDescent="0.35">
      <c r="A232" s="2" t="s">
        <v>620</v>
      </c>
      <c r="B232" s="2" t="s">
        <v>390</v>
      </c>
      <c r="C232" s="2">
        <v>27</v>
      </c>
      <c r="D232" s="2">
        <v>5.0999999999999996</v>
      </c>
      <c r="E232" s="7">
        <v>3</v>
      </c>
      <c r="F232" s="7">
        <v>6</v>
      </c>
      <c r="G232" s="7">
        <v>1</v>
      </c>
      <c r="H232" s="7">
        <v>32</v>
      </c>
      <c r="I232" s="7">
        <v>8</v>
      </c>
      <c r="J232" s="7">
        <v>0</v>
      </c>
      <c r="K232" s="7">
        <v>0</v>
      </c>
      <c r="L232" s="7">
        <v>84</v>
      </c>
      <c r="M232" s="7">
        <v>2</v>
      </c>
      <c r="N232" s="7">
        <v>96</v>
      </c>
      <c r="O232" s="7">
        <v>57</v>
      </c>
      <c r="P232" s="7">
        <v>48</v>
      </c>
      <c r="Q232" s="7">
        <v>16</v>
      </c>
      <c r="R232" s="7">
        <v>4</v>
      </c>
      <c r="S232" s="7">
        <v>26</v>
      </c>
      <c r="T232" s="7">
        <v>2</v>
      </c>
      <c r="U232" s="7">
        <v>66</v>
      </c>
      <c r="V232" s="2">
        <f t="shared" si="36"/>
        <v>67.719043432837736</v>
      </c>
      <c r="W232" s="7">
        <v>50</v>
      </c>
      <c r="X232" s="2">
        <f t="shared" si="29"/>
        <v>117.71904343283774</v>
      </c>
      <c r="Y232" s="2"/>
      <c r="Z232" s="2">
        <f t="shared" si="30"/>
        <v>380</v>
      </c>
      <c r="AA232" s="1">
        <f t="shared" si="31"/>
        <v>17.368421052631579</v>
      </c>
      <c r="AB232" s="1">
        <f t="shared" si="32"/>
        <v>7.8947368421052628</v>
      </c>
      <c r="AC232" s="1">
        <f t="shared" si="33"/>
        <v>4.2105263157894735</v>
      </c>
      <c r="AD232" s="2">
        <f t="shared" si="34"/>
        <v>14.074074074074074</v>
      </c>
      <c r="AE232" s="2">
        <f t="shared" si="35"/>
        <v>9.473684210526315</v>
      </c>
      <c r="AF232" s="2">
        <f t="shared" si="37"/>
        <v>338.59521716418868</v>
      </c>
    </row>
    <row r="233" spans="1:32" x14ac:dyDescent="0.35">
      <c r="A233" s="2" t="s">
        <v>621</v>
      </c>
      <c r="B233" s="2" t="s">
        <v>388</v>
      </c>
      <c r="C233" s="2">
        <v>27</v>
      </c>
      <c r="D233" s="2">
        <v>6.07</v>
      </c>
      <c r="E233" s="7">
        <v>0</v>
      </c>
      <c r="F233" s="7">
        <v>2</v>
      </c>
      <c r="G233" s="7">
        <v>0</v>
      </c>
      <c r="H233" s="7">
        <v>3</v>
      </c>
      <c r="I233" s="7">
        <v>2</v>
      </c>
      <c r="J233" s="7">
        <v>0</v>
      </c>
      <c r="K233" s="7">
        <v>0</v>
      </c>
      <c r="L233" s="7">
        <v>13</v>
      </c>
      <c r="M233" s="7">
        <v>1</v>
      </c>
      <c r="N233" s="7">
        <v>13</v>
      </c>
      <c r="O233" s="7">
        <v>9</v>
      </c>
      <c r="P233" s="7">
        <v>9</v>
      </c>
      <c r="Q233" s="7">
        <v>3</v>
      </c>
      <c r="R233" s="7">
        <v>1</v>
      </c>
      <c r="S233" s="7">
        <v>7</v>
      </c>
      <c r="T233" s="7">
        <v>0</v>
      </c>
      <c r="U233" s="7">
        <v>11</v>
      </c>
      <c r="V233" s="2">
        <f t="shared" si="36"/>
        <v>3.1618798323975423</v>
      </c>
      <c r="W233" s="7">
        <v>50</v>
      </c>
      <c r="X233" s="2">
        <f t="shared" si="29"/>
        <v>53.161879832397545</v>
      </c>
      <c r="Y233" s="2"/>
      <c r="Z233" s="2">
        <f t="shared" si="30"/>
        <v>61</v>
      </c>
      <c r="AA233" s="1">
        <f t="shared" si="31"/>
        <v>18.032786885245901</v>
      </c>
      <c r="AB233" s="1">
        <f t="shared" si="32"/>
        <v>13.114754098360656</v>
      </c>
      <c r="AC233" s="1">
        <f t="shared" si="33"/>
        <v>4.918032786885246</v>
      </c>
      <c r="AD233" s="2">
        <f t="shared" si="34"/>
        <v>2.2592592592592591</v>
      </c>
      <c r="AE233" s="2">
        <f t="shared" si="35"/>
        <v>4.9180327868852451</v>
      </c>
      <c r="AF233" s="2">
        <f t="shared" si="37"/>
        <v>15.809399161987711</v>
      </c>
    </row>
    <row r="234" spans="1:32" x14ac:dyDescent="0.35">
      <c r="A234" s="2" t="s">
        <v>622</v>
      </c>
      <c r="B234" s="2" t="s">
        <v>390</v>
      </c>
      <c r="C234" s="2">
        <v>27</v>
      </c>
      <c r="D234" s="2">
        <v>1.71</v>
      </c>
      <c r="E234" s="7">
        <v>0</v>
      </c>
      <c r="F234" s="7">
        <v>1</v>
      </c>
      <c r="G234" s="7">
        <v>0</v>
      </c>
      <c r="H234" s="7">
        <v>25</v>
      </c>
      <c r="I234" s="7">
        <v>0</v>
      </c>
      <c r="J234" s="7">
        <v>0</v>
      </c>
      <c r="K234" s="7">
        <v>0</v>
      </c>
      <c r="L234" s="7">
        <v>26</v>
      </c>
      <c r="M234" s="7">
        <v>1</v>
      </c>
      <c r="N234" s="7">
        <v>16</v>
      </c>
      <c r="O234" s="7">
        <v>6</v>
      </c>
      <c r="P234" s="7">
        <v>5</v>
      </c>
      <c r="Q234" s="7">
        <v>1</v>
      </c>
      <c r="R234" s="7">
        <v>1</v>
      </c>
      <c r="S234" s="7">
        <v>13</v>
      </c>
      <c r="T234" s="7">
        <v>0</v>
      </c>
      <c r="U234" s="7">
        <v>24</v>
      </c>
      <c r="V234" s="2">
        <f t="shared" si="36"/>
        <v>11.960892065849217</v>
      </c>
      <c r="W234" s="7">
        <v>50</v>
      </c>
      <c r="X234" s="2">
        <f t="shared" si="29"/>
        <v>61.960892065849215</v>
      </c>
      <c r="Y234" s="2"/>
      <c r="Z234" s="2">
        <f t="shared" si="30"/>
        <v>109</v>
      </c>
      <c r="AA234" s="1">
        <f t="shared" si="31"/>
        <v>22.018348623853214</v>
      </c>
      <c r="AB234" s="1">
        <f t="shared" si="32"/>
        <v>12.844036697247708</v>
      </c>
      <c r="AC234" s="1">
        <f t="shared" si="33"/>
        <v>0.91743119266055051</v>
      </c>
      <c r="AD234" s="2">
        <f t="shared" si="34"/>
        <v>4.0370370370370372</v>
      </c>
      <c r="AE234" s="2">
        <f t="shared" si="35"/>
        <v>9.1743119266055064</v>
      </c>
      <c r="AF234" s="2">
        <f t="shared" si="37"/>
        <v>59.804460329246083</v>
      </c>
    </row>
    <row r="235" spans="1:32" x14ac:dyDescent="0.35">
      <c r="A235" s="2" t="s">
        <v>623</v>
      </c>
      <c r="B235" s="2" t="s">
        <v>390</v>
      </c>
      <c r="C235" s="2">
        <v>27</v>
      </c>
      <c r="D235" s="2">
        <v>1.86</v>
      </c>
      <c r="E235" s="7">
        <v>2</v>
      </c>
      <c r="F235" s="7">
        <v>0</v>
      </c>
      <c r="G235" s="7">
        <v>1</v>
      </c>
      <c r="H235" s="7">
        <v>7</v>
      </c>
      <c r="I235" s="7">
        <v>1</v>
      </c>
      <c r="J235" s="7">
        <v>0</v>
      </c>
      <c r="K235" s="7">
        <v>0</v>
      </c>
      <c r="L235" s="7">
        <v>19</v>
      </c>
      <c r="M235" s="7">
        <v>1</v>
      </c>
      <c r="N235" s="7">
        <v>15</v>
      </c>
      <c r="O235" s="7">
        <v>5</v>
      </c>
      <c r="P235" s="7">
        <v>4</v>
      </c>
      <c r="Q235" s="7">
        <v>1</v>
      </c>
      <c r="R235" s="7">
        <v>0</v>
      </c>
      <c r="S235" s="7">
        <v>10</v>
      </c>
      <c r="T235" s="7">
        <v>1</v>
      </c>
      <c r="U235" s="7">
        <v>16</v>
      </c>
      <c r="V235" s="2">
        <f t="shared" si="36"/>
        <v>7.5087499873381756</v>
      </c>
      <c r="W235" s="7">
        <v>50</v>
      </c>
      <c r="X235" s="2">
        <f t="shared" si="29"/>
        <v>57.508749987338177</v>
      </c>
      <c r="Y235" s="2"/>
      <c r="Z235" s="2">
        <f t="shared" si="30"/>
        <v>83</v>
      </c>
      <c r="AA235" s="1">
        <f t="shared" si="31"/>
        <v>19.277108433734941</v>
      </c>
      <c r="AB235" s="1">
        <f t="shared" si="32"/>
        <v>12.048192771084338</v>
      </c>
      <c r="AC235" s="1">
        <f t="shared" si="33"/>
        <v>1.2048192771084338</v>
      </c>
      <c r="AD235" s="2">
        <f t="shared" si="34"/>
        <v>3.074074074074074</v>
      </c>
      <c r="AE235" s="2">
        <f t="shared" si="35"/>
        <v>7.2289156626506035</v>
      </c>
      <c r="AF235" s="2">
        <f t="shared" si="37"/>
        <v>37.54374993669088</v>
      </c>
    </row>
    <row r="236" spans="1:32" x14ac:dyDescent="0.35">
      <c r="A236" s="2" t="s">
        <v>624</v>
      </c>
      <c r="B236" s="2" t="s">
        <v>390</v>
      </c>
      <c r="C236" s="2">
        <v>27</v>
      </c>
      <c r="D236" s="2">
        <v>20.25</v>
      </c>
      <c r="E236" s="7">
        <v>0</v>
      </c>
      <c r="F236" s="7">
        <v>0</v>
      </c>
      <c r="G236" s="7">
        <v>0</v>
      </c>
      <c r="H236" s="7">
        <v>2</v>
      </c>
      <c r="I236" s="7">
        <v>0</v>
      </c>
      <c r="J236" s="7">
        <v>0</v>
      </c>
      <c r="K236" s="7">
        <v>0</v>
      </c>
      <c r="L236" s="7">
        <v>5</v>
      </c>
      <c r="M236" s="7">
        <v>1</v>
      </c>
      <c r="N236" s="7">
        <v>12</v>
      </c>
      <c r="O236" s="7">
        <v>12</v>
      </c>
      <c r="P236" s="7">
        <v>12</v>
      </c>
      <c r="Q236" s="7">
        <v>3</v>
      </c>
      <c r="R236" s="7">
        <v>1</v>
      </c>
      <c r="S236" s="7">
        <v>2</v>
      </c>
      <c r="T236" s="7">
        <v>0</v>
      </c>
      <c r="U236" s="7">
        <v>5</v>
      </c>
      <c r="V236" s="2">
        <f t="shared" si="36"/>
        <v>0.92017225715766937</v>
      </c>
      <c r="W236" s="7">
        <v>50</v>
      </c>
      <c r="X236" s="2">
        <f t="shared" si="29"/>
        <v>50.920172257157667</v>
      </c>
      <c r="Y236" s="2"/>
      <c r="Z236" s="2">
        <f t="shared" si="30"/>
        <v>31</v>
      </c>
      <c r="AA236" s="1">
        <f t="shared" si="31"/>
        <v>16.129032258064516</v>
      </c>
      <c r="AB236" s="1">
        <f t="shared" si="32"/>
        <v>9.67741935483871</v>
      </c>
      <c r="AC236" s="1">
        <f t="shared" si="33"/>
        <v>9.67741935483871</v>
      </c>
      <c r="AD236" s="2">
        <f t="shared" si="34"/>
        <v>1.1481481481481481</v>
      </c>
      <c r="AE236" s="2">
        <f t="shared" si="35"/>
        <v>6.4516129032258061</v>
      </c>
      <c r="AF236" s="2">
        <f t="shared" si="37"/>
        <v>4.6008612857883469</v>
      </c>
    </row>
    <row r="237" spans="1:32" x14ac:dyDescent="0.35">
      <c r="A237" s="2" t="s">
        <v>625</v>
      </c>
      <c r="B237" s="2" t="s">
        <v>390</v>
      </c>
      <c r="C237" s="2">
        <v>27</v>
      </c>
      <c r="D237" s="2">
        <v>11.81</v>
      </c>
      <c r="E237" s="7">
        <v>1</v>
      </c>
      <c r="F237" s="7">
        <v>1</v>
      </c>
      <c r="G237" s="7">
        <v>0</v>
      </c>
      <c r="H237" s="7">
        <v>14</v>
      </c>
      <c r="I237" s="7">
        <v>0</v>
      </c>
      <c r="J237" s="7">
        <v>0</v>
      </c>
      <c r="K237" s="7">
        <v>0</v>
      </c>
      <c r="L237" s="7">
        <v>10</v>
      </c>
      <c r="M237" s="7">
        <v>2</v>
      </c>
      <c r="N237" s="7">
        <v>16</v>
      </c>
      <c r="O237" s="7">
        <v>16</v>
      </c>
      <c r="P237" s="7">
        <v>14</v>
      </c>
      <c r="Q237" s="7">
        <v>1</v>
      </c>
      <c r="R237" s="7">
        <v>0</v>
      </c>
      <c r="S237" s="7">
        <v>12</v>
      </c>
      <c r="T237" s="7">
        <v>2</v>
      </c>
      <c r="U237" s="7">
        <v>11</v>
      </c>
      <c r="V237" s="2">
        <f t="shared" si="36"/>
        <v>5.5752431328684869E-2</v>
      </c>
      <c r="W237" s="7">
        <v>50</v>
      </c>
      <c r="X237" s="2">
        <f t="shared" si="29"/>
        <v>50.055752431328685</v>
      </c>
      <c r="Y237" s="2"/>
      <c r="Z237" s="2">
        <f t="shared" si="30"/>
        <v>60</v>
      </c>
      <c r="AA237" s="1">
        <f t="shared" si="31"/>
        <v>18.333333333333332</v>
      </c>
      <c r="AB237" s="1">
        <f t="shared" si="32"/>
        <v>20</v>
      </c>
      <c r="AC237" s="1">
        <f t="shared" si="33"/>
        <v>1.6666666666666667</v>
      </c>
      <c r="AD237" s="2">
        <f t="shared" si="34"/>
        <v>2.2222222222222223</v>
      </c>
      <c r="AE237" s="2">
        <f t="shared" si="35"/>
        <v>-1.6666666666666679</v>
      </c>
      <c r="AF237" s="2">
        <f t="shared" si="37"/>
        <v>0.27876215664342435</v>
      </c>
    </row>
    <row r="238" spans="1:32" x14ac:dyDescent="0.35">
      <c r="A238" s="2" t="s">
        <v>626</v>
      </c>
      <c r="B238" s="2" t="s">
        <v>390</v>
      </c>
      <c r="C238" s="2">
        <v>27</v>
      </c>
      <c r="D238" s="2">
        <v>2.97</v>
      </c>
      <c r="E238" s="7">
        <v>4</v>
      </c>
      <c r="F238" s="7">
        <v>3</v>
      </c>
      <c r="G238" s="7">
        <v>0</v>
      </c>
      <c r="H238" s="7">
        <v>74</v>
      </c>
      <c r="I238" s="7">
        <v>1</v>
      </c>
      <c r="J238" s="7">
        <v>0</v>
      </c>
      <c r="K238" s="7">
        <v>0</v>
      </c>
      <c r="L238" s="7">
        <v>72</v>
      </c>
      <c r="M238" s="7">
        <v>2</v>
      </c>
      <c r="N238" s="7">
        <v>65</v>
      </c>
      <c r="O238" s="7">
        <v>27</v>
      </c>
      <c r="P238" s="7">
        <v>24</v>
      </c>
      <c r="Q238" s="7">
        <v>6</v>
      </c>
      <c r="R238" s="7">
        <v>2</v>
      </c>
      <c r="S238" s="7">
        <v>22</v>
      </c>
      <c r="T238" s="7">
        <v>1</v>
      </c>
      <c r="U238" s="7">
        <v>75</v>
      </c>
      <c r="V238" s="2">
        <f t="shared" si="36"/>
        <v>63.300542800906953</v>
      </c>
      <c r="W238" s="7">
        <v>50</v>
      </c>
      <c r="X238" s="2">
        <f t="shared" si="29"/>
        <v>113.30054280090695</v>
      </c>
      <c r="Y238" s="2"/>
      <c r="Z238" s="2">
        <f t="shared" si="30"/>
        <v>307</v>
      </c>
      <c r="AA238" s="1">
        <f t="shared" si="31"/>
        <v>24.429967426710096</v>
      </c>
      <c r="AB238" s="1">
        <f t="shared" si="32"/>
        <v>7.8175895765472303</v>
      </c>
      <c r="AC238" s="1">
        <f t="shared" si="33"/>
        <v>1.9543973941368076</v>
      </c>
      <c r="AD238" s="2">
        <f t="shared" si="34"/>
        <v>11.37037037037037</v>
      </c>
      <c r="AE238" s="2">
        <f t="shared" si="35"/>
        <v>16.612377850162865</v>
      </c>
      <c r="AF238" s="2">
        <f t="shared" si="37"/>
        <v>316.50271400453477</v>
      </c>
    </row>
    <row r="239" spans="1:32" x14ac:dyDescent="0.35">
      <c r="A239" s="2" t="s">
        <v>627</v>
      </c>
      <c r="B239" s="2" t="s">
        <v>390</v>
      </c>
      <c r="C239" s="2">
        <v>27</v>
      </c>
      <c r="D239" s="2">
        <v>4.68</v>
      </c>
      <c r="E239" s="7">
        <v>0</v>
      </c>
      <c r="F239" s="7">
        <v>0</v>
      </c>
      <c r="G239" s="7">
        <v>0</v>
      </c>
      <c r="H239" s="7">
        <v>26</v>
      </c>
      <c r="I239" s="7">
        <v>1</v>
      </c>
      <c r="J239" s="7">
        <v>0</v>
      </c>
      <c r="K239" s="7">
        <v>0</v>
      </c>
      <c r="L239" s="7">
        <v>25</v>
      </c>
      <c r="N239" s="7">
        <v>28</v>
      </c>
      <c r="O239" s="7">
        <v>13</v>
      </c>
      <c r="P239" s="7">
        <v>13</v>
      </c>
      <c r="Q239" s="7">
        <v>4</v>
      </c>
      <c r="R239" s="7">
        <v>2</v>
      </c>
      <c r="S239" s="7">
        <v>11</v>
      </c>
      <c r="T239" s="7">
        <v>0</v>
      </c>
      <c r="U239" s="7">
        <v>25</v>
      </c>
      <c r="V239" s="2">
        <f t="shared" si="36"/>
        <v>11.957613047438507</v>
      </c>
      <c r="W239" s="7">
        <v>50</v>
      </c>
      <c r="X239" s="2">
        <f t="shared" si="29"/>
        <v>61.957613047438507</v>
      </c>
      <c r="Y239" s="2"/>
      <c r="Z239" s="2">
        <f t="shared" si="30"/>
        <v>116</v>
      </c>
      <c r="AA239" s="1">
        <f t="shared" si="31"/>
        <v>21.551724137931032</v>
      </c>
      <c r="AB239" s="1">
        <f t="shared" si="32"/>
        <v>11.206896551724139</v>
      </c>
      <c r="AC239" s="1">
        <f t="shared" si="33"/>
        <v>3.4482758620689653</v>
      </c>
      <c r="AD239" s="2">
        <f t="shared" si="34"/>
        <v>4.2962962962962967</v>
      </c>
      <c r="AE239" s="2">
        <f t="shared" si="35"/>
        <v>10.344827586206893</v>
      </c>
      <c r="AF239" s="2">
        <f t="shared" si="37"/>
        <v>59.788065237192534</v>
      </c>
    </row>
    <row r="240" spans="1:32" x14ac:dyDescent="0.35">
      <c r="A240" s="2" t="s">
        <v>628</v>
      </c>
      <c r="B240" s="2" t="s">
        <v>390</v>
      </c>
      <c r="C240" s="2">
        <v>27</v>
      </c>
      <c r="D240" s="2">
        <v>5.6</v>
      </c>
      <c r="E240" s="7">
        <v>5</v>
      </c>
      <c r="F240" s="7">
        <v>7</v>
      </c>
      <c r="G240" s="7">
        <v>0</v>
      </c>
      <c r="H240" s="7">
        <v>39</v>
      </c>
      <c r="I240" s="7">
        <v>13</v>
      </c>
      <c r="J240" s="7">
        <v>0</v>
      </c>
      <c r="K240" s="7">
        <v>0</v>
      </c>
      <c r="L240" s="7">
        <v>98</v>
      </c>
      <c r="N240" s="7">
        <v>110</v>
      </c>
      <c r="O240" s="7">
        <v>66</v>
      </c>
      <c r="P240" s="7">
        <v>61</v>
      </c>
      <c r="Q240" s="7">
        <v>11</v>
      </c>
      <c r="R240" s="7">
        <v>1</v>
      </c>
      <c r="S240" s="7">
        <v>43</v>
      </c>
      <c r="T240" s="7">
        <v>3</v>
      </c>
      <c r="U240" s="7">
        <v>92</v>
      </c>
      <c r="V240" s="2">
        <f t="shared" si="36"/>
        <v>55.914084152179399</v>
      </c>
      <c r="W240" s="7">
        <v>50</v>
      </c>
      <c r="X240" s="2">
        <f t="shared" si="29"/>
        <v>105.9140841521794</v>
      </c>
      <c r="Y240" s="2"/>
      <c r="Z240" s="2">
        <f t="shared" si="30"/>
        <v>448</v>
      </c>
      <c r="AA240" s="1">
        <f t="shared" si="31"/>
        <v>20.535714285714285</v>
      </c>
      <c r="AB240" s="1">
        <f t="shared" si="32"/>
        <v>9.8214285714285712</v>
      </c>
      <c r="AC240" s="1">
        <f t="shared" si="33"/>
        <v>2.4553571428571428</v>
      </c>
      <c r="AD240" s="2">
        <f t="shared" si="34"/>
        <v>16.592592592592592</v>
      </c>
      <c r="AE240" s="2">
        <f t="shared" si="35"/>
        <v>10.714285714285714</v>
      </c>
      <c r="AF240" s="2">
        <f t="shared" si="37"/>
        <v>279.57042076089698</v>
      </c>
    </row>
    <row r="241" spans="1:32" x14ac:dyDescent="0.35">
      <c r="A241" s="2" t="s">
        <v>629</v>
      </c>
      <c r="B241" s="2" t="s">
        <v>390</v>
      </c>
      <c r="C241" s="2">
        <v>27</v>
      </c>
      <c r="D241" s="2">
        <v>13.5</v>
      </c>
      <c r="E241" s="7">
        <v>0</v>
      </c>
      <c r="F241" s="7">
        <v>0</v>
      </c>
      <c r="G241" s="7">
        <v>0</v>
      </c>
      <c r="H241" s="7">
        <v>10</v>
      </c>
      <c r="I241" s="7">
        <v>0</v>
      </c>
      <c r="J241" s="7">
        <v>0</v>
      </c>
      <c r="K241" s="7">
        <v>0</v>
      </c>
      <c r="L241" s="7">
        <v>12</v>
      </c>
      <c r="N241" s="7">
        <v>19</v>
      </c>
      <c r="O241" s="7">
        <v>20</v>
      </c>
      <c r="P241" s="7">
        <v>18</v>
      </c>
      <c r="Q241" s="7">
        <v>3</v>
      </c>
      <c r="R241" s="7">
        <v>1</v>
      </c>
      <c r="S241" s="7">
        <v>8</v>
      </c>
      <c r="T241" s="7">
        <v>0</v>
      </c>
      <c r="U241" s="7">
        <v>12</v>
      </c>
      <c r="V241" s="2">
        <f t="shared" si="36"/>
        <v>1.4096377584717776</v>
      </c>
      <c r="W241" s="7">
        <v>50</v>
      </c>
      <c r="X241" s="2">
        <f t="shared" si="29"/>
        <v>51.409637758471774</v>
      </c>
      <c r="Y241" s="2"/>
      <c r="Z241" s="2">
        <f t="shared" si="30"/>
        <v>64</v>
      </c>
      <c r="AA241" s="1">
        <f t="shared" si="31"/>
        <v>18.75</v>
      </c>
      <c r="AB241" s="1">
        <f t="shared" si="32"/>
        <v>14.0625</v>
      </c>
      <c r="AC241" s="1">
        <f t="shared" si="33"/>
        <v>4.6875</v>
      </c>
      <c r="AD241" s="2">
        <f t="shared" si="34"/>
        <v>2.3703703703703702</v>
      </c>
      <c r="AE241" s="2">
        <f t="shared" si="35"/>
        <v>4.6875</v>
      </c>
      <c r="AF241" s="2">
        <f t="shared" si="37"/>
        <v>7.0481887923588884</v>
      </c>
    </row>
    <row r="242" spans="1:32" x14ac:dyDescent="0.35">
      <c r="A242" s="2" t="s">
        <v>630</v>
      </c>
      <c r="B242" s="2" t="s">
        <v>390</v>
      </c>
      <c r="C242" s="2">
        <v>27</v>
      </c>
      <c r="D242" s="2">
        <v>6.65</v>
      </c>
      <c r="E242" s="7">
        <v>0</v>
      </c>
      <c r="F242" s="7">
        <v>2</v>
      </c>
      <c r="G242" s="7">
        <v>0</v>
      </c>
      <c r="H242" s="7">
        <v>20</v>
      </c>
      <c r="I242" s="7">
        <v>5</v>
      </c>
      <c r="J242" s="7">
        <v>0</v>
      </c>
      <c r="K242" s="7">
        <v>0</v>
      </c>
      <c r="L242" s="7">
        <v>47</v>
      </c>
      <c r="M242" s="7">
        <v>1</v>
      </c>
      <c r="N242" s="7">
        <v>67</v>
      </c>
      <c r="O242" s="7">
        <v>37</v>
      </c>
      <c r="P242" s="7">
        <v>35</v>
      </c>
      <c r="Q242" s="7">
        <v>11</v>
      </c>
      <c r="R242" s="7">
        <v>2</v>
      </c>
      <c r="S242" s="7">
        <v>19</v>
      </c>
      <c r="T242" s="7">
        <v>0</v>
      </c>
      <c r="U242" s="7">
        <v>28</v>
      </c>
      <c r="V242" s="2">
        <f t="shared" si="36"/>
        <v>17.128884117611978</v>
      </c>
      <c r="W242" s="7">
        <v>50</v>
      </c>
      <c r="X242" s="2">
        <f t="shared" si="29"/>
        <v>67.128884117611975</v>
      </c>
      <c r="Y242" s="2"/>
      <c r="Z242" s="2">
        <f t="shared" si="30"/>
        <v>230</v>
      </c>
      <c r="AA242" s="1">
        <f t="shared" si="31"/>
        <v>12.173913043478262</v>
      </c>
      <c r="AB242" s="1">
        <f t="shared" si="32"/>
        <v>9.1304347826086953</v>
      </c>
      <c r="AC242" s="1">
        <f t="shared" si="33"/>
        <v>4.7826086956521738</v>
      </c>
      <c r="AD242" s="2">
        <f t="shared" si="34"/>
        <v>8.518518518518519</v>
      </c>
      <c r="AE242" s="2">
        <f t="shared" si="35"/>
        <v>3.0434782608695663</v>
      </c>
      <c r="AF242" s="2">
        <f t="shared" si="37"/>
        <v>85.644420588059887</v>
      </c>
    </row>
    <row r="243" spans="1:32" x14ac:dyDescent="0.35">
      <c r="A243" s="2" t="s">
        <v>631</v>
      </c>
      <c r="B243" s="2" t="s">
        <v>390</v>
      </c>
      <c r="C243" s="2">
        <v>27</v>
      </c>
      <c r="D243" s="2">
        <v>3.86</v>
      </c>
      <c r="E243" s="7">
        <v>0</v>
      </c>
      <c r="F243" s="7">
        <v>1</v>
      </c>
      <c r="G243" s="7">
        <v>0</v>
      </c>
      <c r="H243" s="7">
        <v>6</v>
      </c>
      <c r="I243" s="7">
        <v>0</v>
      </c>
      <c r="J243" s="7">
        <v>0</v>
      </c>
      <c r="K243" s="7">
        <v>0</v>
      </c>
      <c r="L243" s="7">
        <v>11</v>
      </c>
      <c r="M243" s="7">
        <v>2</v>
      </c>
      <c r="N243" s="7">
        <v>11</v>
      </c>
      <c r="O243" s="7">
        <v>7</v>
      </c>
      <c r="P243" s="7">
        <v>5</v>
      </c>
      <c r="Q243" s="7">
        <v>0</v>
      </c>
      <c r="R243" s="7">
        <v>1</v>
      </c>
      <c r="S243" s="7">
        <v>5</v>
      </c>
      <c r="T243" s="7">
        <v>0</v>
      </c>
      <c r="U243" s="7">
        <v>9</v>
      </c>
      <c r="V243" s="2">
        <f t="shared" si="36"/>
        <v>0.76789128410698149</v>
      </c>
      <c r="W243" s="7">
        <v>50</v>
      </c>
      <c r="X243" s="2">
        <f t="shared" si="29"/>
        <v>50.76789128410698</v>
      </c>
      <c r="Y243" s="2"/>
      <c r="Z243" s="2">
        <f t="shared" si="30"/>
        <v>52</v>
      </c>
      <c r="AA243" s="1">
        <f t="shared" si="31"/>
        <v>17.307692307692307</v>
      </c>
      <c r="AB243" s="1">
        <f t="shared" si="32"/>
        <v>11.538461538461538</v>
      </c>
      <c r="AC243" s="1">
        <f t="shared" si="33"/>
        <v>0</v>
      </c>
      <c r="AD243" s="2">
        <f t="shared" si="34"/>
        <v>1.9259259259259258</v>
      </c>
      <c r="AE243" s="2">
        <f t="shared" si="35"/>
        <v>5.7692307692307683</v>
      </c>
      <c r="AF243" s="2">
        <f t="shared" si="37"/>
        <v>3.8394564205349075</v>
      </c>
    </row>
    <row r="244" spans="1:32" x14ac:dyDescent="0.35">
      <c r="A244" s="2" t="s">
        <v>632</v>
      </c>
      <c r="B244" s="2" t="s">
        <v>390</v>
      </c>
      <c r="C244" s="2">
        <v>27</v>
      </c>
      <c r="D244" s="2">
        <v>4.5</v>
      </c>
      <c r="E244" s="7">
        <v>0</v>
      </c>
      <c r="F244" s="7">
        <v>0</v>
      </c>
      <c r="G244" s="7">
        <v>0</v>
      </c>
      <c r="H244" s="7">
        <v>7</v>
      </c>
      <c r="I244" s="7">
        <v>0</v>
      </c>
      <c r="J244" s="7">
        <v>0</v>
      </c>
      <c r="K244" s="7">
        <v>0</v>
      </c>
      <c r="L244" s="7">
        <v>10</v>
      </c>
      <c r="N244" s="7">
        <v>12</v>
      </c>
      <c r="O244" s="7">
        <v>5</v>
      </c>
      <c r="P244" s="7">
        <v>5</v>
      </c>
      <c r="Q244" s="7">
        <v>1</v>
      </c>
      <c r="R244" s="7">
        <v>0</v>
      </c>
      <c r="S244" s="7">
        <v>2</v>
      </c>
      <c r="T244" s="7">
        <v>0</v>
      </c>
      <c r="U244" s="7">
        <v>9</v>
      </c>
      <c r="V244" s="2">
        <f t="shared" si="36"/>
        <v>4.1573263499189421</v>
      </c>
      <c r="W244" s="7">
        <v>50</v>
      </c>
      <c r="X244" s="2">
        <f t="shared" si="29"/>
        <v>54.157326349918939</v>
      </c>
      <c r="Y244" s="2"/>
      <c r="Z244" s="2">
        <f t="shared" si="30"/>
        <v>44</v>
      </c>
      <c r="AA244" s="1">
        <f t="shared" si="31"/>
        <v>20.454545454545457</v>
      </c>
      <c r="AB244" s="1">
        <f t="shared" si="32"/>
        <v>4.5454545454545459</v>
      </c>
      <c r="AC244" s="1">
        <f t="shared" si="33"/>
        <v>2.2727272727272729</v>
      </c>
      <c r="AD244" s="2">
        <f t="shared" si="34"/>
        <v>1.6296296296296295</v>
      </c>
      <c r="AE244" s="2">
        <f t="shared" si="35"/>
        <v>15.90909090909091</v>
      </c>
      <c r="AF244" s="2">
        <f t="shared" si="37"/>
        <v>20.786631749594711</v>
      </c>
    </row>
    <row r="245" spans="1:32" x14ac:dyDescent="0.35">
      <c r="A245" s="2" t="s">
        <v>633</v>
      </c>
      <c r="B245" s="2" t="s">
        <v>390</v>
      </c>
      <c r="C245" s="2">
        <v>27</v>
      </c>
      <c r="D245" s="2">
        <v>4.74</v>
      </c>
      <c r="E245" s="7">
        <v>6</v>
      </c>
      <c r="F245" s="7">
        <v>5</v>
      </c>
      <c r="G245" s="7">
        <v>2</v>
      </c>
      <c r="H245" s="7">
        <v>62</v>
      </c>
      <c r="I245" s="7">
        <v>1</v>
      </c>
      <c r="J245" s="7">
        <v>0</v>
      </c>
      <c r="K245" s="7">
        <v>0</v>
      </c>
      <c r="L245" s="7">
        <v>57</v>
      </c>
      <c r="N245" s="7">
        <v>49</v>
      </c>
      <c r="O245" s="7">
        <v>31</v>
      </c>
      <c r="P245" s="7">
        <v>30</v>
      </c>
      <c r="Q245" s="7">
        <v>12</v>
      </c>
      <c r="R245" s="7">
        <v>4</v>
      </c>
      <c r="S245" s="7">
        <v>35</v>
      </c>
      <c r="T245" s="7">
        <v>3</v>
      </c>
      <c r="U245" s="7">
        <v>73</v>
      </c>
      <c r="V245" s="2">
        <f t="shared" si="36"/>
        <v>51.802607197200096</v>
      </c>
      <c r="W245" s="7">
        <v>50</v>
      </c>
      <c r="X245" s="2">
        <f t="shared" si="29"/>
        <v>101.8026071972001</v>
      </c>
      <c r="Y245" s="2"/>
      <c r="Z245" s="2">
        <f t="shared" si="30"/>
        <v>259</v>
      </c>
      <c r="AA245" s="1">
        <f t="shared" si="31"/>
        <v>28.185328185328185</v>
      </c>
      <c r="AB245" s="1">
        <f t="shared" si="32"/>
        <v>15.057915057915059</v>
      </c>
      <c r="AC245" s="1">
        <f t="shared" si="33"/>
        <v>4.6332046332046328</v>
      </c>
      <c r="AD245" s="2">
        <f t="shared" si="34"/>
        <v>9.5925925925925934</v>
      </c>
      <c r="AE245" s="2">
        <f t="shared" si="35"/>
        <v>13.127413127413126</v>
      </c>
      <c r="AF245" s="2">
        <f t="shared" si="37"/>
        <v>259.01303598600049</v>
      </c>
    </row>
    <row r="246" spans="1:32" x14ac:dyDescent="0.35">
      <c r="A246" s="2" t="s">
        <v>634</v>
      </c>
      <c r="B246" s="2" t="s">
        <v>390</v>
      </c>
      <c r="C246" s="2">
        <v>27</v>
      </c>
      <c r="D246" s="2">
        <v>6.14</v>
      </c>
      <c r="E246" s="7">
        <v>1</v>
      </c>
      <c r="F246" s="7">
        <v>0</v>
      </c>
      <c r="G246" s="7">
        <v>0</v>
      </c>
      <c r="H246" s="7">
        <v>7</v>
      </c>
      <c r="I246" s="7">
        <v>0</v>
      </c>
      <c r="J246" s="7">
        <v>0</v>
      </c>
      <c r="K246" s="7">
        <v>0</v>
      </c>
      <c r="L246" s="7">
        <v>7</v>
      </c>
      <c r="M246" s="7">
        <v>1</v>
      </c>
      <c r="N246" s="7">
        <v>5</v>
      </c>
      <c r="O246" s="7">
        <v>5</v>
      </c>
      <c r="P246" s="7">
        <v>5</v>
      </c>
      <c r="Q246" s="7">
        <v>1</v>
      </c>
      <c r="R246" s="7">
        <v>0</v>
      </c>
      <c r="S246" s="7">
        <v>4</v>
      </c>
      <c r="T246" s="7">
        <v>0</v>
      </c>
      <c r="U246" s="7">
        <v>5</v>
      </c>
      <c r="V246" s="2">
        <f t="shared" si="36"/>
        <v>0.69126318321715252</v>
      </c>
      <c r="W246" s="7">
        <v>50</v>
      </c>
      <c r="X246" s="2">
        <f t="shared" si="29"/>
        <v>50.691263183217153</v>
      </c>
      <c r="Y246" s="2"/>
      <c r="Z246" s="2">
        <f t="shared" si="30"/>
        <v>31</v>
      </c>
      <c r="AA246" s="1">
        <f t="shared" si="31"/>
        <v>16.129032258064516</v>
      </c>
      <c r="AB246" s="1">
        <f t="shared" si="32"/>
        <v>12.903225806451612</v>
      </c>
      <c r="AC246" s="1">
        <f t="shared" si="33"/>
        <v>3.225806451612903</v>
      </c>
      <c r="AD246" s="2">
        <f t="shared" si="34"/>
        <v>1.1481481481481481</v>
      </c>
      <c r="AE246" s="2">
        <f t="shared" si="35"/>
        <v>3.2258064516129039</v>
      </c>
      <c r="AF246" s="2">
        <f t="shared" si="37"/>
        <v>3.4563159160857628</v>
      </c>
    </row>
    <row r="247" spans="1:32" x14ac:dyDescent="0.35">
      <c r="A247" s="2" t="s">
        <v>635</v>
      </c>
      <c r="B247" s="2" t="s">
        <v>390</v>
      </c>
      <c r="C247" s="2">
        <v>28</v>
      </c>
      <c r="D247" s="2">
        <v>3</v>
      </c>
      <c r="E247" s="7">
        <v>0</v>
      </c>
      <c r="F247" s="7">
        <v>0</v>
      </c>
      <c r="G247" s="7">
        <v>0</v>
      </c>
      <c r="H247" s="7">
        <v>3</v>
      </c>
      <c r="I247" s="7">
        <v>0</v>
      </c>
      <c r="J247" s="7">
        <v>0</v>
      </c>
      <c r="K247" s="7">
        <v>0</v>
      </c>
      <c r="L247" s="7">
        <v>3</v>
      </c>
      <c r="N247" s="7">
        <v>2</v>
      </c>
      <c r="O247" s="7">
        <v>1</v>
      </c>
      <c r="P247" s="7">
        <v>1</v>
      </c>
      <c r="Q247" s="7">
        <v>1</v>
      </c>
      <c r="R247" s="7">
        <v>0</v>
      </c>
      <c r="S247" s="7">
        <v>2</v>
      </c>
      <c r="T247" s="7">
        <v>0</v>
      </c>
      <c r="U247" s="7">
        <v>5</v>
      </c>
      <c r="V247" s="2">
        <f t="shared" si="36"/>
        <v>6.3337061747776051</v>
      </c>
      <c r="W247" s="7">
        <v>50</v>
      </c>
      <c r="X247" s="2">
        <f t="shared" si="29"/>
        <v>56.333706174777603</v>
      </c>
      <c r="Y247" s="2"/>
      <c r="Z247" s="2">
        <f t="shared" si="30"/>
        <v>13</v>
      </c>
      <c r="AA247" s="1">
        <f t="shared" si="31"/>
        <v>38.461538461538467</v>
      </c>
      <c r="AB247" s="1">
        <f t="shared" si="32"/>
        <v>15.384615384615385</v>
      </c>
      <c r="AC247" s="1">
        <f t="shared" si="33"/>
        <v>7.6923076923076925</v>
      </c>
      <c r="AD247" s="2">
        <f t="shared" si="34"/>
        <v>0.4642857142857143</v>
      </c>
      <c r="AE247" s="2">
        <f t="shared" si="35"/>
        <v>23.07692307692308</v>
      </c>
      <c r="AF247" s="2">
        <f t="shared" si="37"/>
        <v>31.668530873888024</v>
      </c>
    </row>
    <row r="248" spans="1:32" x14ac:dyDescent="0.35">
      <c r="A248" s="2" t="s">
        <v>636</v>
      </c>
      <c r="B248" s="2" t="s">
        <v>390</v>
      </c>
      <c r="C248" s="2">
        <v>28</v>
      </c>
      <c r="D248" s="2">
        <v>3.23</v>
      </c>
      <c r="E248" s="7">
        <v>2</v>
      </c>
      <c r="F248" s="7">
        <v>6</v>
      </c>
      <c r="G248" s="7">
        <v>0</v>
      </c>
      <c r="H248" s="7">
        <v>66</v>
      </c>
      <c r="I248" s="7">
        <v>0</v>
      </c>
      <c r="J248" s="7">
        <v>0</v>
      </c>
      <c r="K248" s="7">
        <v>0</v>
      </c>
      <c r="L248" s="7">
        <v>69</v>
      </c>
      <c r="M248" s="7">
        <v>2</v>
      </c>
      <c r="N248" s="7">
        <v>59</v>
      </c>
      <c r="O248" s="7">
        <v>35</v>
      </c>
      <c r="P248" s="7">
        <v>25</v>
      </c>
      <c r="Q248" s="7">
        <v>8</v>
      </c>
      <c r="R248" s="7">
        <v>2</v>
      </c>
      <c r="S248" s="7">
        <v>29</v>
      </c>
      <c r="T248" s="7">
        <v>3</v>
      </c>
      <c r="U248" s="7">
        <v>74</v>
      </c>
      <c r="V248" s="2">
        <f t="shared" si="36"/>
        <v>60.903951177372903</v>
      </c>
      <c r="W248" s="7">
        <v>50</v>
      </c>
      <c r="X248" s="2">
        <f t="shared" si="29"/>
        <v>110.9039511773729</v>
      </c>
      <c r="Y248" s="2"/>
      <c r="Z248" s="2">
        <f t="shared" si="30"/>
        <v>299</v>
      </c>
      <c r="AA248" s="1">
        <f t="shared" si="31"/>
        <v>24.749163879598662</v>
      </c>
      <c r="AB248" s="1">
        <f t="shared" si="32"/>
        <v>10.367892976588628</v>
      </c>
      <c r="AC248" s="1">
        <f t="shared" si="33"/>
        <v>2.6755852842809364</v>
      </c>
      <c r="AD248" s="2">
        <f t="shared" si="34"/>
        <v>10.678571428571429</v>
      </c>
      <c r="AE248" s="2">
        <f t="shared" si="35"/>
        <v>14.381270903010034</v>
      </c>
      <c r="AF248" s="2">
        <f t="shared" si="37"/>
        <v>304.51975588686452</v>
      </c>
    </row>
    <row r="249" spans="1:32" x14ac:dyDescent="0.35">
      <c r="A249" s="2" t="s">
        <v>637</v>
      </c>
      <c r="B249" s="2" t="s">
        <v>390</v>
      </c>
      <c r="C249" s="2">
        <v>28</v>
      </c>
      <c r="D249" s="2">
        <v>3.86</v>
      </c>
      <c r="E249" s="7">
        <v>1</v>
      </c>
      <c r="F249" s="7">
        <v>2</v>
      </c>
      <c r="G249" s="7">
        <v>0</v>
      </c>
      <c r="H249" s="7">
        <v>34</v>
      </c>
      <c r="I249" s="7">
        <v>1</v>
      </c>
      <c r="J249" s="7">
        <v>0</v>
      </c>
      <c r="K249" s="7">
        <v>0</v>
      </c>
      <c r="L249" s="7">
        <v>44</v>
      </c>
      <c r="M249" s="7">
        <v>1</v>
      </c>
      <c r="N249" s="7">
        <v>37</v>
      </c>
      <c r="O249" s="7">
        <v>21</v>
      </c>
      <c r="P249" s="7">
        <v>19</v>
      </c>
      <c r="Q249" s="7">
        <v>6</v>
      </c>
      <c r="R249" s="7">
        <v>0</v>
      </c>
      <c r="S249" s="7">
        <v>17</v>
      </c>
      <c r="T249" s="7">
        <v>0</v>
      </c>
      <c r="U249" s="7">
        <v>46</v>
      </c>
      <c r="V249" s="2">
        <f t="shared" si="36"/>
        <v>32.310970667117545</v>
      </c>
      <c r="W249" s="7">
        <v>50</v>
      </c>
      <c r="X249" s="2">
        <f t="shared" si="29"/>
        <v>82.310970667117545</v>
      </c>
      <c r="Y249" s="2"/>
      <c r="Z249" s="2">
        <f t="shared" si="30"/>
        <v>187</v>
      </c>
      <c r="AA249" s="1">
        <f t="shared" si="31"/>
        <v>24.598930481283425</v>
      </c>
      <c r="AB249" s="1">
        <f t="shared" si="32"/>
        <v>9.0909090909090917</v>
      </c>
      <c r="AC249" s="1">
        <f t="shared" si="33"/>
        <v>3.2085561497326207</v>
      </c>
      <c r="AD249" s="2">
        <f t="shared" si="34"/>
        <v>6.6785714285714288</v>
      </c>
      <c r="AE249" s="2">
        <f t="shared" si="35"/>
        <v>15.508021390374333</v>
      </c>
      <c r="AF249" s="2">
        <f t="shared" si="37"/>
        <v>161.55485333558772</v>
      </c>
    </row>
    <row r="250" spans="1:32" x14ac:dyDescent="0.35">
      <c r="A250" s="2" t="s">
        <v>638</v>
      </c>
      <c r="B250" s="2" t="s">
        <v>390</v>
      </c>
      <c r="C250" s="2">
        <v>28</v>
      </c>
      <c r="D250" s="2">
        <v>5.27</v>
      </c>
      <c r="E250" s="7">
        <v>0</v>
      </c>
      <c r="F250" s="7">
        <v>0</v>
      </c>
      <c r="G250" s="7">
        <v>0</v>
      </c>
      <c r="H250" s="7">
        <v>15</v>
      </c>
      <c r="I250" s="7">
        <v>0</v>
      </c>
      <c r="J250" s="7">
        <v>0</v>
      </c>
      <c r="K250" s="7">
        <v>0</v>
      </c>
      <c r="L250" s="7">
        <v>13</v>
      </c>
      <c r="M250" s="7">
        <v>2</v>
      </c>
      <c r="N250" s="7">
        <v>19</v>
      </c>
      <c r="O250" s="7">
        <v>10</v>
      </c>
      <c r="P250" s="7">
        <v>8</v>
      </c>
      <c r="Q250" s="7">
        <v>2</v>
      </c>
      <c r="R250" s="7">
        <v>1</v>
      </c>
      <c r="S250" s="7">
        <v>7</v>
      </c>
      <c r="T250" s="7">
        <v>3</v>
      </c>
      <c r="U250" s="7">
        <v>18</v>
      </c>
      <c r="V250" s="2">
        <f t="shared" si="36"/>
        <v>6.2239544774266449</v>
      </c>
      <c r="W250" s="7">
        <v>50</v>
      </c>
      <c r="X250" s="2">
        <f t="shared" si="29"/>
        <v>56.223954477426645</v>
      </c>
      <c r="Y250" s="2"/>
      <c r="Z250" s="2">
        <f t="shared" si="30"/>
        <v>68</v>
      </c>
      <c r="AA250" s="1">
        <f t="shared" si="31"/>
        <v>26.47058823529412</v>
      </c>
      <c r="AB250" s="1">
        <f t="shared" si="32"/>
        <v>11.76470588235294</v>
      </c>
      <c r="AC250" s="1">
        <f t="shared" si="33"/>
        <v>2.9411764705882351</v>
      </c>
      <c r="AD250" s="2">
        <f t="shared" si="34"/>
        <v>2.4285714285714284</v>
      </c>
      <c r="AE250" s="2">
        <f t="shared" si="35"/>
        <v>14.705882352941179</v>
      </c>
      <c r="AF250" s="2">
        <f t="shared" si="37"/>
        <v>31.119772387133224</v>
      </c>
    </row>
    <row r="251" spans="1:32" x14ac:dyDescent="0.35">
      <c r="A251" s="2" t="s">
        <v>639</v>
      </c>
      <c r="B251" s="2" t="s">
        <v>390</v>
      </c>
      <c r="C251" s="2">
        <v>28</v>
      </c>
      <c r="D251" s="2">
        <v>3.36</v>
      </c>
      <c r="E251" s="7">
        <v>7</v>
      </c>
      <c r="F251" s="7">
        <v>1</v>
      </c>
      <c r="G251" s="7">
        <v>0</v>
      </c>
      <c r="H251" s="7">
        <v>69</v>
      </c>
      <c r="I251" s="7">
        <v>1</v>
      </c>
      <c r="J251" s="7">
        <v>0</v>
      </c>
      <c r="K251" s="7">
        <v>0</v>
      </c>
      <c r="L251" s="7">
        <v>61</v>
      </c>
      <c r="M251" s="7">
        <v>2</v>
      </c>
      <c r="N251" s="7">
        <v>58</v>
      </c>
      <c r="O251" s="7">
        <v>24</v>
      </c>
      <c r="P251" s="7">
        <v>23</v>
      </c>
      <c r="Q251" s="7">
        <v>8</v>
      </c>
      <c r="R251" s="7">
        <v>3</v>
      </c>
      <c r="S251" s="7">
        <v>18</v>
      </c>
      <c r="T251" s="7">
        <v>4</v>
      </c>
      <c r="U251" s="7">
        <v>52</v>
      </c>
      <c r="V251" s="2">
        <f t="shared" si="36"/>
        <v>47.886775922490216</v>
      </c>
      <c r="W251" s="7">
        <v>50</v>
      </c>
      <c r="X251" s="2">
        <f t="shared" si="29"/>
        <v>97.886775922490216</v>
      </c>
      <c r="Y251" s="2"/>
      <c r="Z251" s="2">
        <f t="shared" si="30"/>
        <v>264</v>
      </c>
      <c r="AA251" s="1">
        <f t="shared" si="31"/>
        <v>19.696969696969695</v>
      </c>
      <c r="AB251" s="1">
        <f t="shared" si="32"/>
        <v>7.9545454545454541</v>
      </c>
      <c r="AC251" s="1">
        <f t="shared" si="33"/>
        <v>3.0303030303030303</v>
      </c>
      <c r="AD251" s="2">
        <f t="shared" si="34"/>
        <v>9.4285714285714288</v>
      </c>
      <c r="AE251" s="2">
        <f t="shared" si="35"/>
        <v>11.742424242424242</v>
      </c>
      <c r="AF251" s="2">
        <f t="shared" si="37"/>
        <v>239.43387961245108</v>
      </c>
    </row>
    <row r="252" spans="1:32" x14ac:dyDescent="0.35">
      <c r="A252" s="2" t="s">
        <v>640</v>
      </c>
      <c r="B252" s="2" t="s">
        <v>390</v>
      </c>
      <c r="C252" s="2">
        <v>28</v>
      </c>
      <c r="D252" s="2">
        <v>6.54</v>
      </c>
      <c r="E252" s="7">
        <v>0</v>
      </c>
      <c r="F252" s="7">
        <v>1</v>
      </c>
      <c r="G252" s="7">
        <v>1</v>
      </c>
      <c r="H252" s="7">
        <v>40</v>
      </c>
      <c r="I252" s="7">
        <v>0</v>
      </c>
      <c r="J252" s="7">
        <v>0</v>
      </c>
      <c r="K252" s="7">
        <v>0</v>
      </c>
      <c r="L252" s="7">
        <v>42</v>
      </c>
      <c r="M252" s="7">
        <v>2</v>
      </c>
      <c r="N252" s="7">
        <v>46</v>
      </c>
      <c r="O252" s="7">
        <v>32</v>
      </c>
      <c r="P252" s="7">
        <v>31</v>
      </c>
      <c r="Q252" s="7">
        <v>12</v>
      </c>
      <c r="R252" s="7">
        <v>2</v>
      </c>
      <c r="S252" s="7">
        <v>18</v>
      </c>
      <c r="T252" s="7">
        <v>1</v>
      </c>
      <c r="U252" s="7">
        <v>35</v>
      </c>
      <c r="V252" s="2">
        <f t="shared" si="36"/>
        <v>22.320641204557113</v>
      </c>
      <c r="W252" s="7">
        <v>50</v>
      </c>
      <c r="X252" s="2">
        <f t="shared" si="29"/>
        <v>72.32064120455712</v>
      </c>
      <c r="Y252" s="2"/>
      <c r="Z252" s="2">
        <f t="shared" si="30"/>
        <v>194</v>
      </c>
      <c r="AA252" s="1">
        <f t="shared" si="31"/>
        <v>18.041237113402062</v>
      </c>
      <c r="AB252" s="1">
        <f t="shared" si="32"/>
        <v>10.309278350515463</v>
      </c>
      <c r="AC252" s="1">
        <f t="shared" si="33"/>
        <v>6.1855670103092786</v>
      </c>
      <c r="AD252" s="2">
        <f t="shared" si="34"/>
        <v>6.9285714285714288</v>
      </c>
      <c r="AE252" s="2">
        <f t="shared" si="35"/>
        <v>7.7319587628865989</v>
      </c>
      <c r="AF252" s="2">
        <f t="shared" si="37"/>
        <v>111.60320602278556</v>
      </c>
    </row>
    <row r="253" spans="1:32" x14ac:dyDescent="0.35">
      <c r="A253" s="2" t="s">
        <v>641</v>
      </c>
      <c r="B253" s="2" t="s">
        <v>390</v>
      </c>
      <c r="C253" s="2">
        <v>28</v>
      </c>
      <c r="D253" s="2">
        <v>13.5</v>
      </c>
      <c r="E253" s="7">
        <v>0</v>
      </c>
      <c r="F253" s="7">
        <v>1</v>
      </c>
      <c r="G253" s="7">
        <v>0</v>
      </c>
      <c r="H253" s="7">
        <v>3</v>
      </c>
      <c r="I253" s="7">
        <v>0</v>
      </c>
      <c r="J253" s="7">
        <v>0</v>
      </c>
      <c r="K253" s="7">
        <v>0</v>
      </c>
      <c r="L253" s="7">
        <v>4</v>
      </c>
      <c r="M253" s="7">
        <v>2</v>
      </c>
      <c r="N253" s="7">
        <v>6</v>
      </c>
      <c r="O253" s="7">
        <v>7</v>
      </c>
      <c r="P253" s="7">
        <v>7</v>
      </c>
      <c r="Q253" s="7">
        <v>4</v>
      </c>
      <c r="R253" s="7">
        <v>1</v>
      </c>
      <c r="S253" s="7">
        <v>2</v>
      </c>
      <c r="T253" s="7">
        <v>0</v>
      </c>
      <c r="U253" s="7">
        <v>4</v>
      </c>
      <c r="V253" s="2">
        <f t="shared" si="36"/>
        <v>1.1569284235433304</v>
      </c>
      <c r="W253" s="7">
        <v>50</v>
      </c>
      <c r="X253" s="2">
        <f t="shared" si="29"/>
        <v>51.156928423543327</v>
      </c>
      <c r="Y253" s="2"/>
      <c r="Z253" s="2">
        <f t="shared" si="30"/>
        <v>23</v>
      </c>
      <c r="AA253" s="1">
        <f t="shared" si="31"/>
        <v>17.391304347826086</v>
      </c>
      <c r="AB253" s="1">
        <f t="shared" si="32"/>
        <v>13.043478260869565</v>
      </c>
      <c r="AC253" s="1">
        <f t="shared" si="33"/>
        <v>17.391304347826086</v>
      </c>
      <c r="AD253" s="2">
        <f t="shared" si="34"/>
        <v>0.8214285714285714</v>
      </c>
      <c r="AE253" s="2">
        <f t="shared" si="35"/>
        <v>4.3478260869565215</v>
      </c>
      <c r="AF253" s="2">
        <f t="shared" si="37"/>
        <v>5.7846421177166514</v>
      </c>
    </row>
    <row r="254" spans="1:32" x14ac:dyDescent="0.35">
      <c r="A254" s="2" t="s">
        <v>642</v>
      </c>
      <c r="B254" s="2" t="s">
        <v>390</v>
      </c>
      <c r="C254" s="2">
        <v>28</v>
      </c>
      <c r="D254" s="2">
        <v>8.86</v>
      </c>
      <c r="E254" s="7">
        <v>0</v>
      </c>
      <c r="F254" s="7">
        <v>0</v>
      </c>
      <c r="G254" s="7">
        <v>0</v>
      </c>
      <c r="H254" s="7">
        <v>13</v>
      </c>
      <c r="I254" s="7">
        <v>1</v>
      </c>
      <c r="J254" s="7">
        <v>0</v>
      </c>
      <c r="K254" s="7">
        <v>0</v>
      </c>
      <c r="L254" s="7">
        <v>21</v>
      </c>
      <c r="M254" s="7">
        <v>1</v>
      </c>
      <c r="N254" s="7">
        <v>30</v>
      </c>
      <c r="O254" s="7">
        <v>21</v>
      </c>
      <c r="P254" s="7">
        <v>21</v>
      </c>
      <c r="Q254" s="7">
        <v>9</v>
      </c>
      <c r="R254" s="7">
        <v>0</v>
      </c>
      <c r="S254" s="7">
        <v>7</v>
      </c>
      <c r="T254" s="7">
        <v>0</v>
      </c>
      <c r="U254" s="7">
        <v>22</v>
      </c>
      <c r="V254" s="2">
        <f t="shared" si="36"/>
        <v>14.896071133233928</v>
      </c>
      <c r="W254" s="7">
        <v>50</v>
      </c>
      <c r="X254" s="2">
        <f t="shared" si="29"/>
        <v>64.896071133233932</v>
      </c>
      <c r="Y254" s="2"/>
      <c r="Z254" s="2">
        <f t="shared" si="30"/>
        <v>101</v>
      </c>
      <c r="AA254" s="1">
        <f t="shared" si="31"/>
        <v>21.782178217821784</v>
      </c>
      <c r="AB254" s="1">
        <f t="shared" si="32"/>
        <v>6.9306930693069315</v>
      </c>
      <c r="AC254" s="1">
        <f t="shared" si="33"/>
        <v>8.9108910891089099</v>
      </c>
      <c r="AD254" s="2">
        <f t="shared" si="34"/>
        <v>3.6071428571428572</v>
      </c>
      <c r="AE254" s="2">
        <f t="shared" si="35"/>
        <v>14.851485148514852</v>
      </c>
      <c r="AF254" s="2">
        <f t="shared" si="37"/>
        <v>74.480355666169643</v>
      </c>
    </row>
    <row r="255" spans="1:32" x14ac:dyDescent="0.35">
      <c r="A255" s="2" t="s">
        <v>643</v>
      </c>
      <c r="B255" s="2" t="s">
        <v>390</v>
      </c>
      <c r="C255" s="2">
        <v>28</v>
      </c>
      <c r="D255" s="2">
        <v>3.57</v>
      </c>
      <c r="E255" s="7">
        <v>1</v>
      </c>
      <c r="F255" s="7">
        <v>0</v>
      </c>
      <c r="G255" s="7">
        <v>1</v>
      </c>
      <c r="H255" s="7">
        <v>7</v>
      </c>
      <c r="I255" s="7">
        <v>1</v>
      </c>
      <c r="J255" s="7">
        <v>0</v>
      </c>
      <c r="K255" s="7">
        <v>0</v>
      </c>
      <c r="L255" s="7">
        <v>17</v>
      </c>
      <c r="M255" s="7">
        <v>2</v>
      </c>
      <c r="N255" s="7">
        <v>23</v>
      </c>
      <c r="O255" s="7">
        <v>10</v>
      </c>
      <c r="P255" s="7">
        <v>7</v>
      </c>
      <c r="Q255" s="7">
        <v>3</v>
      </c>
      <c r="R255" s="7">
        <v>0</v>
      </c>
      <c r="S255" s="7">
        <v>5</v>
      </c>
      <c r="T255" s="7">
        <v>0</v>
      </c>
      <c r="U255" s="7">
        <v>9</v>
      </c>
      <c r="V255" s="2">
        <f t="shared" si="36"/>
        <v>5.9697079890157116</v>
      </c>
      <c r="W255" s="7">
        <v>50</v>
      </c>
      <c r="X255" s="2">
        <f t="shared" si="29"/>
        <v>55.96970798901571</v>
      </c>
      <c r="Y255" s="2"/>
      <c r="Z255" s="2">
        <f t="shared" si="30"/>
        <v>81</v>
      </c>
      <c r="AA255" s="1">
        <f t="shared" si="31"/>
        <v>11.111111111111111</v>
      </c>
      <c r="AB255" s="1">
        <f t="shared" si="32"/>
        <v>6.1728395061728394</v>
      </c>
      <c r="AC255" s="1">
        <f t="shared" si="33"/>
        <v>3.7037037037037033</v>
      </c>
      <c r="AD255" s="2">
        <f t="shared" si="34"/>
        <v>2.8928571428571428</v>
      </c>
      <c r="AE255" s="2">
        <f t="shared" si="35"/>
        <v>4.9382716049382713</v>
      </c>
      <c r="AF255" s="2">
        <f t="shared" si="37"/>
        <v>29.84853994507856</v>
      </c>
    </row>
    <row r="256" spans="1:32" x14ac:dyDescent="0.35">
      <c r="A256" s="2" t="s">
        <v>644</v>
      </c>
      <c r="B256" s="2" t="s">
        <v>388</v>
      </c>
      <c r="C256" s="2">
        <v>28</v>
      </c>
      <c r="D256" s="2">
        <v>5.4</v>
      </c>
      <c r="E256" s="7">
        <v>0</v>
      </c>
      <c r="F256" s="7">
        <v>1</v>
      </c>
      <c r="G256" s="7">
        <v>0</v>
      </c>
      <c r="H256" s="7">
        <v>3</v>
      </c>
      <c r="I256" s="7">
        <v>2</v>
      </c>
      <c r="J256" s="7">
        <v>0</v>
      </c>
      <c r="K256" s="7">
        <v>0</v>
      </c>
      <c r="L256" s="7">
        <v>10</v>
      </c>
      <c r="N256" s="7">
        <v>9</v>
      </c>
      <c r="O256" s="7">
        <v>6</v>
      </c>
      <c r="P256" s="7">
        <v>6</v>
      </c>
      <c r="Q256" s="7">
        <v>1</v>
      </c>
      <c r="R256" s="7">
        <v>1</v>
      </c>
      <c r="S256" s="7">
        <v>7</v>
      </c>
      <c r="T256" s="7">
        <v>0</v>
      </c>
      <c r="U256" s="7">
        <v>9</v>
      </c>
      <c r="V256" s="2">
        <f t="shared" si="36"/>
        <v>0.74010047281323921</v>
      </c>
      <c r="W256" s="7">
        <v>50</v>
      </c>
      <c r="X256" s="2">
        <f t="shared" si="29"/>
        <v>50.740100472813239</v>
      </c>
      <c r="Y256" s="2"/>
      <c r="Z256" s="2">
        <f t="shared" si="30"/>
        <v>47</v>
      </c>
      <c r="AA256" s="1">
        <f t="shared" si="31"/>
        <v>19.148936170212767</v>
      </c>
      <c r="AB256" s="1">
        <f t="shared" si="32"/>
        <v>17.021276595744681</v>
      </c>
      <c r="AC256" s="1">
        <f t="shared" si="33"/>
        <v>2.1276595744680851</v>
      </c>
      <c r="AD256" s="2">
        <f t="shared" si="34"/>
        <v>1.6785714285714286</v>
      </c>
      <c r="AE256" s="2">
        <f t="shared" si="35"/>
        <v>2.1276595744680868</v>
      </c>
      <c r="AF256" s="2">
        <f t="shared" si="37"/>
        <v>3.700502364066196</v>
      </c>
    </row>
    <row r="257" spans="1:32" x14ac:dyDescent="0.35">
      <c r="A257" s="2" t="s">
        <v>645</v>
      </c>
      <c r="B257" s="2" t="s">
        <v>390</v>
      </c>
      <c r="C257" s="2">
        <v>28</v>
      </c>
      <c r="D257" s="2">
        <v>3.86</v>
      </c>
      <c r="E257" s="7">
        <v>1</v>
      </c>
      <c r="F257" s="7">
        <v>0</v>
      </c>
      <c r="G257" s="7">
        <v>0</v>
      </c>
      <c r="H257" s="7">
        <v>9</v>
      </c>
      <c r="I257" s="7">
        <v>0</v>
      </c>
      <c r="J257" s="7">
        <v>0</v>
      </c>
      <c r="K257" s="7">
        <v>0</v>
      </c>
      <c r="L257" s="7">
        <v>11</v>
      </c>
      <c r="M257" s="7">
        <v>2</v>
      </c>
      <c r="N257" s="7">
        <v>10</v>
      </c>
      <c r="O257" s="7">
        <v>5</v>
      </c>
      <c r="P257" s="7">
        <v>5</v>
      </c>
      <c r="Q257" s="7">
        <v>1</v>
      </c>
      <c r="R257" s="7">
        <v>0</v>
      </c>
      <c r="S257" s="7">
        <v>7</v>
      </c>
      <c r="T257" s="7">
        <v>0</v>
      </c>
      <c r="U257" s="7">
        <v>5</v>
      </c>
      <c r="V257" s="2">
        <f t="shared" si="36"/>
        <v>-0.55945534850049994</v>
      </c>
      <c r="W257" s="7">
        <v>50</v>
      </c>
      <c r="X257" s="2">
        <f t="shared" si="29"/>
        <v>49.440544651499501</v>
      </c>
      <c r="Y257" s="2"/>
      <c r="Z257" s="2">
        <f t="shared" si="30"/>
        <v>52</v>
      </c>
      <c r="AA257" s="1">
        <f t="shared" si="31"/>
        <v>9.6153846153846168</v>
      </c>
      <c r="AB257" s="1">
        <f t="shared" si="32"/>
        <v>13.461538461538462</v>
      </c>
      <c r="AC257" s="1">
        <f t="shared" si="33"/>
        <v>1.9230769230769231</v>
      </c>
      <c r="AD257" s="2">
        <f t="shared" si="34"/>
        <v>1.8571428571428572</v>
      </c>
      <c r="AE257" s="2">
        <f t="shared" si="35"/>
        <v>-3.8461538461538449</v>
      </c>
      <c r="AF257" s="2">
        <f t="shared" si="37"/>
        <v>-2.7972767425024996</v>
      </c>
    </row>
    <row r="258" spans="1:32" x14ac:dyDescent="0.35">
      <c r="A258" s="2" t="s">
        <v>646</v>
      </c>
      <c r="B258" s="2" t="s">
        <v>390</v>
      </c>
      <c r="C258" s="2">
        <v>28</v>
      </c>
      <c r="D258" s="2">
        <v>18</v>
      </c>
      <c r="E258" s="7">
        <v>0</v>
      </c>
      <c r="F258" s="7">
        <v>2</v>
      </c>
      <c r="G258" s="7">
        <v>0</v>
      </c>
      <c r="H258" s="7">
        <v>9</v>
      </c>
      <c r="I258" s="7">
        <v>0</v>
      </c>
      <c r="J258" s="7">
        <v>0</v>
      </c>
      <c r="K258" s="7">
        <v>0</v>
      </c>
      <c r="L258" s="7">
        <v>11</v>
      </c>
      <c r="N258" s="7">
        <v>22</v>
      </c>
      <c r="O258" s="7">
        <v>24</v>
      </c>
      <c r="P258" s="7">
        <v>22</v>
      </c>
      <c r="Q258" s="7">
        <v>7</v>
      </c>
      <c r="R258" s="7">
        <v>7</v>
      </c>
      <c r="S258" s="7">
        <v>6</v>
      </c>
      <c r="T258" s="7">
        <v>0</v>
      </c>
      <c r="U258" s="7">
        <v>15</v>
      </c>
      <c r="V258" s="2">
        <f t="shared" si="36"/>
        <v>1.6364945978391354</v>
      </c>
      <c r="W258" s="7">
        <v>50</v>
      </c>
      <c r="X258" s="2">
        <f t="shared" si="29"/>
        <v>51.636494597839132</v>
      </c>
      <c r="Y258" s="2"/>
      <c r="Z258" s="2">
        <f t="shared" si="30"/>
        <v>68</v>
      </c>
      <c r="AA258" s="1">
        <f t="shared" si="31"/>
        <v>22.058823529411764</v>
      </c>
      <c r="AB258" s="1">
        <f t="shared" si="32"/>
        <v>19.117647058823529</v>
      </c>
      <c r="AC258" s="1">
        <f t="shared" si="33"/>
        <v>10.294117647058822</v>
      </c>
      <c r="AD258" s="2">
        <f t="shared" si="34"/>
        <v>2.4285714285714284</v>
      </c>
      <c r="AE258" s="2">
        <f t="shared" si="35"/>
        <v>2.9411764705882355</v>
      </c>
      <c r="AF258" s="2">
        <f t="shared" si="37"/>
        <v>8.1824729891956771</v>
      </c>
    </row>
    <row r="259" spans="1:32" x14ac:dyDescent="0.35">
      <c r="A259" s="2" t="s">
        <v>647</v>
      </c>
      <c r="B259" s="2" t="s">
        <v>390</v>
      </c>
      <c r="C259" s="2">
        <v>28</v>
      </c>
      <c r="D259" s="2">
        <v>8.15</v>
      </c>
      <c r="E259" s="7">
        <v>1</v>
      </c>
      <c r="F259" s="7">
        <v>0</v>
      </c>
      <c r="G259" s="7">
        <v>0</v>
      </c>
      <c r="H259" s="7">
        <v>18</v>
      </c>
      <c r="I259" s="7">
        <v>0</v>
      </c>
      <c r="J259" s="7">
        <v>0</v>
      </c>
      <c r="K259" s="7">
        <v>0</v>
      </c>
      <c r="L259" s="7">
        <v>17</v>
      </c>
      <c r="M259" s="7">
        <v>2</v>
      </c>
      <c r="N259" s="7">
        <v>15</v>
      </c>
      <c r="O259" s="7">
        <v>17</v>
      </c>
      <c r="P259" s="7">
        <v>16</v>
      </c>
      <c r="Q259" s="7">
        <v>6</v>
      </c>
      <c r="R259" s="7">
        <v>5</v>
      </c>
      <c r="S259" s="7">
        <v>12</v>
      </c>
      <c r="T259" s="7">
        <v>0</v>
      </c>
      <c r="U259" s="7">
        <v>17</v>
      </c>
      <c r="V259" s="2">
        <f t="shared" si="36"/>
        <v>1.8224928008013019</v>
      </c>
      <c r="W259" s="7">
        <v>50</v>
      </c>
      <c r="X259" s="2">
        <f t="shared" ref="X259:X322" si="38">V259+W259</f>
        <v>51.822492800801299</v>
      </c>
      <c r="Y259" s="2"/>
      <c r="Z259" s="2">
        <f t="shared" ref="Z259:Z322" si="39">((L259*3)+M259)+(R259+S259)+N259</f>
        <v>85</v>
      </c>
      <c r="AA259" s="1">
        <f t="shared" ref="AA259:AA322" si="40">(U259/Z259)*100</f>
        <v>20</v>
      </c>
      <c r="AB259" s="1">
        <f t="shared" ref="AB259:AB322" si="41">((R259+S259)/Z259)*100</f>
        <v>20</v>
      </c>
      <c r="AC259" s="1">
        <f t="shared" ref="AC259:AC322" si="42">(Q259/Z259)*100</f>
        <v>7.0588235294117645</v>
      </c>
      <c r="AD259" s="2">
        <f t="shared" ref="AD259:AD322" si="43">(Z259/C259)</f>
        <v>3.0357142857142856</v>
      </c>
      <c r="AE259" s="2">
        <f t="shared" ref="AE259:AE322" si="44">AA259-AB259</f>
        <v>0</v>
      </c>
      <c r="AF259" s="2">
        <f t="shared" si="37"/>
        <v>9.1124640040065099</v>
      </c>
    </row>
    <row r="260" spans="1:32" x14ac:dyDescent="0.35">
      <c r="A260" s="2" t="s">
        <v>648</v>
      </c>
      <c r="B260" s="2" t="s">
        <v>390</v>
      </c>
      <c r="C260" s="2">
        <v>28</v>
      </c>
      <c r="D260" s="2">
        <v>0</v>
      </c>
      <c r="E260" s="7">
        <v>0</v>
      </c>
      <c r="F260" s="7">
        <v>0</v>
      </c>
      <c r="G260" s="7">
        <v>0</v>
      </c>
      <c r="H260" s="7">
        <v>1</v>
      </c>
      <c r="I260" s="7">
        <v>0</v>
      </c>
      <c r="J260" s="7">
        <v>0</v>
      </c>
      <c r="K260" s="7">
        <v>0</v>
      </c>
      <c r="L260" s="7">
        <v>1</v>
      </c>
      <c r="M260" s="7">
        <v>1</v>
      </c>
      <c r="N260" s="7">
        <v>1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1</v>
      </c>
      <c r="V260" s="2" t="e">
        <f t="shared" si="36"/>
        <v>#DIV/0!</v>
      </c>
      <c r="W260" s="7">
        <v>50</v>
      </c>
      <c r="X260" s="2" t="e">
        <f t="shared" si="38"/>
        <v>#DIV/0!</v>
      </c>
      <c r="Y260" s="2"/>
      <c r="Z260" s="2">
        <f t="shared" si="39"/>
        <v>5</v>
      </c>
      <c r="AA260" s="1">
        <f t="shared" si="40"/>
        <v>20</v>
      </c>
      <c r="AB260" s="1">
        <f t="shared" si="41"/>
        <v>0</v>
      </c>
      <c r="AC260" s="1">
        <f t="shared" si="42"/>
        <v>0</v>
      </c>
      <c r="AD260" s="2">
        <f t="shared" si="43"/>
        <v>0.17857142857142858</v>
      </c>
      <c r="AE260" s="2">
        <f t="shared" si="44"/>
        <v>20</v>
      </c>
      <c r="AF260" s="2" t="e">
        <f t="shared" si="37"/>
        <v>#DIV/0!</v>
      </c>
    </row>
    <row r="261" spans="1:32" x14ac:dyDescent="0.35">
      <c r="A261" s="2" t="s">
        <v>649</v>
      </c>
      <c r="B261" s="2" t="s">
        <v>390</v>
      </c>
      <c r="C261" s="2">
        <v>28</v>
      </c>
      <c r="D261" s="2">
        <v>2.0299999999999998</v>
      </c>
      <c r="E261" s="7">
        <v>2</v>
      </c>
      <c r="F261" s="7">
        <v>1</v>
      </c>
      <c r="G261" s="7">
        <v>1</v>
      </c>
      <c r="H261" s="7">
        <v>27</v>
      </c>
      <c r="I261" s="7">
        <v>0</v>
      </c>
      <c r="J261" s="7">
        <v>0</v>
      </c>
      <c r="K261" s="7">
        <v>0</v>
      </c>
      <c r="L261" s="7">
        <v>31</v>
      </c>
      <c r="N261" s="7">
        <v>24</v>
      </c>
      <c r="O261" s="7">
        <v>8</v>
      </c>
      <c r="P261" s="7">
        <v>7</v>
      </c>
      <c r="Q261" s="7">
        <v>3</v>
      </c>
      <c r="R261" s="7">
        <v>2</v>
      </c>
      <c r="S261" s="7">
        <v>12</v>
      </c>
      <c r="T261" s="7">
        <v>0</v>
      </c>
      <c r="U261" s="7">
        <v>30</v>
      </c>
      <c r="V261" s="2">
        <f t="shared" si="36"/>
        <v>25.617826963824303</v>
      </c>
      <c r="W261" s="7">
        <v>50</v>
      </c>
      <c r="X261" s="2">
        <f t="shared" si="38"/>
        <v>75.617826963824299</v>
      </c>
      <c r="Y261" s="2"/>
      <c r="Z261" s="2">
        <f t="shared" si="39"/>
        <v>131</v>
      </c>
      <c r="AA261" s="1">
        <f t="shared" si="40"/>
        <v>22.900763358778626</v>
      </c>
      <c r="AB261" s="1">
        <f t="shared" si="41"/>
        <v>10.687022900763358</v>
      </c>
      <c r="AC261" s="1">
        <f t="shared" si="42"/>
        <v>2.2900763358778624</v>
      </c>
      <c r="AD261" s="2">
        <f t="shared" si="43"/>
        <v>4.6785714285714288</v>
      </c>
      <c r="AE261" s="2">
        <f t="shared" si="44"/>
        <v>12.213740458015268</v>
      </c>
      <c r="AF261" s="2">
        <f t="shared" si="37"/>
        <v>128.08913481912151</v>
      </c>
    </row>
    <row r="262" spans="1:32" x14ac:dyDescent="0.35">
      <c r="A262" s="2" t="s">
        <v>650</v>
      </c>
      <c r="B262" s="2" t="s">
        <v>390</v>
      </c>
      <c r="C262" s="2">
        <v>28</v>
      </c>
      <c r="D262" s="2">
        <v>0</v>
      </c>
      <c r="E262" s="7">
        <v>0</v>
      </c>
      <c r="F262" s="7">
        <v>0</v>
      </c>
      <c r="G262" s="7">
        <v>0</v>
      </c>
      <c r="H262" s="7">
        <v>1</v>
      </c>
      <c r="I262" s="7">
        <v>0</v>
      </c>
      <c r="J262" s="7">
        <v>0</v>
      </c>
      <c r="K262" s="7">
        <v>0</v>
      </c>
      <c r="L262" s="7">
        <v>3</v>
      </c>
      <c r="N262" s="7">
        <v>1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4</v>
      </c>
      <c r="V262" s="2" t="e">
        <f t="shared" si="36"/>
        <v>#DIV/0!</v>
      </c>
      <c r="W262" s="7">
        <v>50</v>
      </c>
      <c r="X262" s="2" t="e">
        <f t="shared" si="38"/>
        <v>#DIV/0!</v>
      </c>
      <c r="Y262" s="2"/>
      <c r="Z262" s="2">
        <f t="shared" si="39"/>
        <v>10</v>
      </c>
      <c r="AA262" s="1">
        <f t="shared" si="40"/>
        <v>40</v>
      </c>
      <c r="AB262" s="1">
        <f t="shared" si="41"/>
        <v>0</v>
      </c>
      <c r="AC262" s="1">
        <f t="shared" si="42"/>
        <v>0</v>
      </c>
      <c r="AD262" s="2">
        <f t="shared" si="43"/>
        <v>0.35714285714285715</v>
      </c>
      <c r="AE262" s="2">
        <f t="shared" si="44"/>
        <v>40</v>
      </c>
      <c r="AF262" s="2" t="e">
        <f t="shared" si="37"/>
        <v>#DIV/0!</v>
      </c>
    </row>
    <row r="263" spans="1:32" x14ac:dyDescent="0.35">
      <c r="A263" s="2" t="s">
        <v>651</v>
      </c>
      <c r="B263" s="2" t="s">
        <v>390</v>
      </c>
      <c r="C263" s="2">
        <v>28</v>
      </c>
      <c r="D263" s="2">
        <v>3.58</v>
      </c>
      <c r="E263" s="7">
        <v>5</v>
      </c>
      <c r="F263" s="7">
        <v>4</v>
      </c>
      <c r="G263" s="7">
        <v>0</v>
      </c>
      <c r="H263" s="7">
        <v>70</v>
      </c>
      <c r="I263" s="7">
        <v>0</v>
      </c>
      <c r="J263" s="7">
        <v>0</v>
      </c>
      <c r="K263" s="7">
        <v>0</v>
      </c>
      <c r="L263" s="7">
        <v>65</v>
      </c>
      <c r="M263" s="7">
        <v>1</v>
      </c>
      <c r="N263" s="7">
        <v>54</v>
      </c>
      <c r="O263" s="7">
        <v>27</v>
      </c>
      <c r="P263" s="7">
        <v>26</v>
      </c>
      <c r="Q263" s="7">
        <v>2</v>
      </c>
      <c r="R263" s="7">
        <v>6</v>
      </c>
      <c r="S263" s="7">
        <v>22</v>
      </c>
      <c r="T263" s="7">
        <v>3</v>
      </c>
      <c r="U263" s="7">
        <v>51</v>
      </c>
      <c r="V263" s="2">
        <f t="shared" si="36"/>
        <v>17.359404233539401</v>
      </c>
      <c r="W263" s="7">
        <v>50</v>
      </c>
      <c r="X263" s="2">
        <f t="shared" si="38"/>
        <v>67.359404233539408</v>
      </c>
      <c r="Y263" s="2"/>
      <c r="Z263" s="2">
        <f t="shared" si="39"/>
        <v>278</v>
      </c>
      <c r="AA263" s="1">
        <f t="shared" si="40"/>
        <v>18.345323741007196</v>
      </c>
      <c r="AB263" s="1">
        <f t="shared" si="41"/>
        <v>10.071942446043165</v>
      </c>
      <c r="AC263" s="1">
        <f t="shared" si="42"/>
        <v>0.71942446043165476</v>
      </c>
      <c r="AD263" s="2">
        <f t="shared" si="43"/>
        <v>9.9285714285714288</v>
      </c>
      <c r="AE263" s="2">
        <f t="shared" si="44"/>
        <v>8.2733812949640306</v>
      </c>
      <c r="AF263" s="2">
        <f t="shared" si="37"/>
        <v>86.797021167697011</v>
      </c>
    </row>
    <row r="264" spans="1:32" x14ac:dyDescent="0.35">
      <c r="A264" s="2" t="s">
        <v>652</v>
      </c>
      <c r="B264" s="2" t="s">
        <v>390</v>
      </c>
      <c r="C264" s="2">
        <v>28</v>
      </c>
      <c r="D264" s="2">
        <v>3.51</v>
      </c>
      <c r="E264" s="7">
        <v>4</v>
      </c>
      <c r="F264" s="7">
        <v>1</v>
      </c>
      <c r="G264" s="7">
        <v>1</v>
      </c>
      <c r="H264" s="7">
        <v>39</v>
      </c>
      <c r="I264" s="7">
        <v>0</v>
      </c>
      <c r="J264" s="7">
        <v>0</v>
      </c>
      <c r="K264" s="7">
        <v>0</v>
      </c>
      <c r="L264" s="7">
        <v>41</v>
      </c>
      <c r="N264" s="7">
        <v>44</v>
      </c>
      <c r="O264" s="7">
        <v>17</v>
      </c>
      <c r="P264" s="7">
        <v>16</v>
      </c>
      <c r="Q264" s="7">
        <v>2</v>
      </c>
      <c r="R264" s="7">
        <v>3</v>
      </c>
      <c r="S264" s="7">
        <v>18</v>
      </c>
      <c r="T264" s="7">
        <v>1</v>
      </c>
      <c r="U264" s="7">
        <v>40</v>
      </c>
      <c r="V264" s="2">
        <f t="shared" ref="V264:V327" si="45">(AF264*2)/10</f>
        <v>13.281276867903006</v>
      </c>
      <c r="W264" s="7">
        <v>50</v>
      </c>
      <c r="X264" s="2">
        <f t="shared" si="38"/>
        <v>63.281276867903003</v>
      </c>
      <c r="Y264" s="2"/>
      <c r="Z264" s="2">
        <f t="shared" si="39"/>
        <v>188</v>
      </c>
      <c r="AA264" s="1">
        <f t="shared" si="40"/>
        <v>21.276595744680851</v>
      </c>
      <c r="AB264" s="1">
        <f t="shared" si="41"/>
        <v>11.170212765957446</v>
      </c>
      <c r="AC264" s="1">
        <f t="shared" si="42"/>
        <v>1.0638297872340425</v>
      </c>
      <c r="AD264" s="2">
        <f t="shared" si="43"/>
        <v>6.7142857142857144</v>
      </c>
      <c r="AE264" s="2">
        <f t="shared" si="44"/>
        <v>10.106382978723405</v>
      </c>
      <c r="AF264" s="2">
        <f t="shared" si="37"/>
        <v>66.406384339515029</v>
      </c>
    </row>
    <row r="265" spans="1:32" x14ac:dyDescent="0.35">
      <c r="A265" s="2" t="s">
        <v>653</v>
      </c>
      <c r="B265" s="2" t="s">
        <v>388</v>
      </c>
      <c r="C265" s="2">
        <v>28</v>
      </c>
      <c r="D265" s="2">
        <v>3.52</v>
      </c>
      <c r="E265" s="7">
        <v>1</v>
      </c>
      <c r="F265" s="7">
        <v>0</v>
      </c>
      <c r="G265" s="7">
        <v>0</v>
      </c>
      <c r="H265" s="7">
        <v>2</v>
      </c>
      <c r="I265" s="7">
        <v>2</v>
      </c>
      <c r="J265" s="7">
        <v>0</v>
      </c>
      <c r="K265" s="7">
        <v>0</v>
      </c>
      <c r="L265" s="7">
        <v>7</v>
      </c>
      <c r="M265" s="7">
        <v>2</v>
      </c>
      <c r="N265" s="7">
        <v>3</v>
      </c>
      <c r="O265" s="7">
        <v>3</v>
      </c>
      <c r="P265" s="7">
        <v>3</v>
      </c>
      <c r="Q265" s="7">
        <v>2</v>
      </c>
      <c r="R265" s="7">
        <v>1</v>
      </c>
      <c r="S265" s="7">
        <v>1</v>
      </c>
      <c r="T265" s="7">
        <v>0</v>
      </c>
      <c r="U265" s="7">
        <v>7</v>
      </c>
      <c r="V265" s="2">
        <f t="shared" si="45"/>
        <v>8.7244897959183678</v>
      </c>
      <c r="W265" s="7">
        <v>50</v>
      </c>
      <c r="X265" s="2">
        <f t="shared" si="38"/>
        <v>58.724489795918366</v>
      </c>
      <c r="Y265" s="2"/>
      <c r="Z265" s="2">
        <f t="shared" si="39"/>
        <v>28</v>
      </c>
      <c r="AA265" s="1">
        <f t="shared" si="40"/>
        <v>25</v>
      </c>
      <c r="AB265" s="1">
        <f t="shared" si="41"/>
        <v>7.1428571428571423</v>
      </c>
      <c r="AC265" s="1">
        <f t="shared" si="42"/>
        <v>7.1428571428571423</v>
      </c>
      <c r="AD265" s="2">
        <f t="shared" si="43"/>
        <v>1</v>
      </c>
      <c r="AE265" s="2">
        <f t="shared" si="44"/>
        <v>17.857142857142858</v>
      </c>
      <c r="AF265" s="2">
        <f t="shared" si="37"/>
        <v>43.622448979591837</v>
      </c>
    </row>
    <row r="266" spans="1:32" x14ac:dyDescent="0.35">
      <c r="A266" s="2" t="s">
        <v>654</v>
      </c>
      <c r="B266" s="2" t="s">
        <v>390</v>
      </c>
      <c r="C266" s="2">
        <v>28</v>
      </c>
      <c r="D266" s="2">
        <v>2.08</v>
      </c>
      <c r="E266" s="7">
        <v>0</v>
      </c>
      <c r="F266" s="7">
        <v>0</v>
      </c>
      <c r="G266" s="7">
        <v>0</v>
      </c>
      <c r="H266" s="7">
        <v>2</v>
      </c>
      <c r="I266" s="7">
        <v>0</v>
      </c>
      <c r="J266" s="7">
        <v>0</v>
      </c>
      <c r="K266" s="7">
        <v>0</v>
      </c>
      <c r="L266" s="7">
        <v>4</v>
      </c>
      <c r="M266" s="7">
        <v>1</v>
      </c>
      <c r="N266" s="7">
        <v>3</v>
      </c>
      <c r="O266" s="7">
        <v>1</v>
      </c>
      <c r="P266" s="7">
        <v>1</v>
      </c>
      <c r="Q266" s="7">
        <v>1</v>
      </c>
      <c r="R266" s="7">
        <v>0</v>
      </c>
      <c r="S266" s="7">
        <v>0</v>
      </c>
      <c r="T266" s="7">
        <v>0</v>
      </c>
      <c r="U266" s="7">
        <v>4</v>
      </c>
      <c r="V266" s="2">
        <f t="shared" si="45"/>
        <v>10.186420722135008</v>
      </c>
      <c r="W266" s="7">
        <v>50</v>
      </c>
      <c r="X266" s="2">
        <f t="shared" si="38"/>
        <v>60.186420722135011</v>
      </c>
      <c r="Y266" s="2"/>
      <c r="Z266" s="2">
        <f t="shared" si="39"/>
        <v>16</v>
      </c>
      <c r="AA266" s="1">
        <f t="shared" si="40"/>
        <v>25</v>
      </c>
      <c r="AB266" s="1">
        <f t="shared" si="41"/>
        <v>0</v>
      </c>
      <c r="AC266" s="1">
        <f t="shared" si="42"/>
        <v>6.25</v>
      </c>
      <c r="AD266" s="2">
        <f t="shared" si="43"/>
        <v>0.5714285714285714</v>
      </c>
      <c r="AE266" s="2">
        <f t="shared" si="44"/>
        <v>25</v>
      </c>
      <c r="AF266" s="2">
        <f t="shared" si="37"/>
        <v>50.932103610675043</v>
      </c>
    </row>
    <row r="267" spans="1:32" x14ac:dyDescent="0.35">
      <c r="A267" s="2" t="s">
        <v>655</v>
      </c>
      <c r="B267" s="2" t="s">
        <v>390</v>
      </c>
      <c r="C267" s="2">
        <v>28</v>
      </c>
      <c r="D267" s="2">
        <v>2.57</v>
      </c>
      <c r="E267" s="7">
        <v>0</v>
      </c>
      <c r="F267" s="7">
        <v>0</v>
      </c>
      <c r="G267" s="7">
        <v>0</v>
      </c>
      <c r="H267" s="7">
        <v>3</v>
      </c>
      <c r="I267" s="7">
        <v>0</v>
      </c>
      <c r="J267" s="7">
        <v>0</v>
      </c>
      <c r="K267" s="7">
        <v>0</v>
      </c>
      <c r="L267" s="7">
        <v>7</v>
      </c>
      <c r="N267" s="7">
        <v>7</v>
      </c>
      <c r="O267" s="7">
        <v>2</v>
      </c>
      <c r="P267" s="7">
        <v>2</v>
      </c>
      <c r="Q267" s="7">
        <v>1</v>
      </c>
      <c r="R267" s="7">
        <v>1</v>
      </c>
      <c r="S267" s="7">
        <v>4</v>
      </c>
      <c r="T267" s="7">
        <v>0</v>
      </c>
      <c r="U267" s="7">
        <v>4</v>
      </c>
      <c r="V267" s="2">
        <f t="shared" si="45"/>
        <v>-0.68449222632102047</v>
      </c>
      <c r="W267" s="7">
        <v>50</v>
      </c>
      <c r="X267" s="2">
        <f t="shared" si="38"/>
        <v>49.315507773678981</v>
      </c>
      <c r="Y267" s="2"/>
      <c r="Z267" s="2">
        <f t="shared" si="39"/>
        <v>33</v>
      </c>
      <c r="AA267" s="1">
        <f t="shared" si="40"/>
        <v>12.121212121212121</v>
      </c>
      <c r="AB267" s="1">
        <f t="shared" si="41"/>
        <v>15.151515151515152</v>
      </c>
      <c r="AC267" s="1">
        <f t="shared" si="42"/>
        <v>3.0303030303030303</v>
      </c>
      <c r="AD267" s="2">
        <f t="shared" si="43"/>
        <v>1.1785714285714286</v>
      </c>
      <c r="AE267" s="2">
        <f t="shared" si="44"/>
        <v>-3.0303030303030312</v>
      </c>
      <c r="AF267" s="2">
        <f t="shared" si="37"/>
        <v>-3.4224611316051021</v>
      </c>
    </row>
    <row r="268" spans="1:32" x14ac:dyDescent="0.35">
      <c r="A268" s="2" t="s">
        <v>656</v>
      </c>
      <c r="B268" s="2" t="s">
        <v>390</v>
      </c>
      <c r="C268" s="2">
        <v>28</v>
      </c>
      <c r="D268" s="2">
        <v>4.5599999999999996</v>
      </c>
      <c r="E268" s="7">
        <v>0</v>
      </c>
      <c r="F268" s="7">
        <v>1</v>
      </c>
      <c r="G268" s="7">
        <v>1</v>
      </c>
      <c r="H268" s="7">
        <v>9</v>
      </c>
      <c r="I268" s="7">
        <v>1</v>
      </c>
      <c r="J268" s="7">
        <v>0</v>
      </c>
      <c r="K268" s="7">
        <v>0</v>
      </c>
      <c r="L268" s="7">
        <v>23</v>
      </c>
      <c r="M268" s="7">
        <v>2</v>
      </c>
      <c r="N268" s="7">
        <v>24</v>
      </c>
      <c r="O268" s="7">
        <v>13</v>
      </c>
      <c r="P268" s="7">
        <v>12</v>
      </c>
      <c r="Q268" s="7">
        <v>4</v>
      </c>
      <c r="R268" s="7">
        <v>1</v>
      </c>
      <c r="S268" s="7">
        <v>2</v>
      </c>
      <c r="T268" s="7">
        <v>0</v>
      </c>
      <c r="U268" s="7">
        <v>23</v>
      </c>
      <c r="V268" s="2">
        <f t="shared" si="45"/>
        <v>18.650164953199326</v>
      </c>
      <c r="W268" s="7">
        <v>50</v>
      </c>
      <c r="X268" s="2">
        <f t="shared" si="38"/>
        <v>68.650164953199322</v>
      </c>
      <c r="Y268" s="2"/>
      <c r="Z268" s="2">
        <f t="shared" si="39"/>
        <v>98</v>
      </c>
      <c r="AA268" s="1">
        <f t="shared" si="40"/>
        <v>23.469387755102041</v>
      </c>
      <c r="AB268" s="1">
        <f t="shared" si="41"/>
        <v>3.0612244897959182</v>
      </c>
      <c r="AC268" s="1">
        <f t="shared" si="42"/>
        <v>4.0816326530612246</v>
      </c>
      <c r="AD268" s="2">
        <f t="shared" si="43"/>
        <v>3.5</v>
      </c>
      <c r="AE268" s="2">
        <f t="shared" si="44"/>
        <v>20.408163265306122</v>
      </c>
      <c r="AF268" s="2">
        <f t="shared" ref="AF268:AF331" si="46">(AD268+AE268)/(D268/(1+AC268))*AD268</f>
        <v>93.250824765996626</v>
      </c>
    </row>
    <row r="269" spans="1:32" x14ac:dyDescent="0.35">
      <c r="A269" s="2" t="s">
        <v>657</v>
      </c>
      <c r="B269" s="2" t="s">
        <v>390</v>
      </c>
      <c r="C269" s="2">
        <v>28</v>
      </c>
      <c r="D269" s="2">
        <v>6.23</v>
      </c>
      <c r="E269" s="7">
        <v>1</v>
      </c>
      <c r="F269" s="7">
        <v>0</v>
      </c>
      <c r="G269" s="7">
        <v>0</v>
      </c>
      <c r="H269" s="7">
        <v>41</v>
      </c>
      <c r="I269" s="7">
        <v>0</v>
      </c>
      <c r="J269" s="7">
        <v>0</v>
      </c>
      <c r="K269" s="7">
        <v>0</v>
      </c>
      <c r="L269" s="7">
        <v>43</v>
      </c>
      <c r="M269" s="7">
        <v>1</v>
      </c>
      <c r="N269" s="7">
        <v>50</v>
      </c>
      <c r="O269" s="7">
        <v>32</v>
      </c>
      <c r="P269" s="7">
        <v>30</v>
      </c>
      <c r="Q269" s="7">
        <v>4</v>
      </c>
      <c r="R269" s="7">
        <v>2</v>
      </c>
      <c r="S269" s="7">
        <v>22</v>
      </c>
      <c r="T269" s="7">
        <v>1</v>
      </c>
      <c r="U269" s="7">
        <v>39</v>
      </c>
      <c r="V269" s="2">
        <f t="shared" si="45"/>
        <v>10.137294082962239</v>
      </c>
      <c r="W269" s="7">
        <v>50</v>
      </c>
      <c r="X269" s="2">
        <f t="shared" si="38"/>
        <v>60.137294082962242</v>
      </c>
      <c r="Y269" s="2"/>
      <c r="Z269" s="2">
        <f t="shared" si="39"/>
        <v>204</v>
      </c>
      <c r="AA269" s="1">
        <f t="shared" si="40"/>
        <v>19.117647058823529</v>
      </c>
      <c r="AB269" s="1">
        <f t="shared" si="41"/>
        <v>11.76470588235294</v>
      </c>
      <c r="AC269" s="1">
        <f t="shared" si="42"/>
        <v>1.9607843137254901</v>
      </c>
      <c r="AD269" s="2">
        <f t="shared" si="43"/>
        <v>7.2857142857142856</v>
      </c>
      <c r="AE269" s="2">
        <f t="shared" si="44"/>
        <v>7.3529411764705888</v>
      </c>
      <c r="AF269" s="2">
        <f t="shared" si="46"/>
        <v>50.68647041481119</v>
      </c>
    </row>
    <row r="270" spans="1:32" x14ac:dyDescent="0.35">
      <c r="A270" s="2" t="s">
        <v>658</v>
      </c>
      <c r="B270" s="2" t="s">
        <v>390</v>
      </c>
      <c r="C270" s="2">
        <v>28</v>
      </c>
      <c r="D270" s="2">
        <v>3.41</v>
      </c>
      <c r="E270" s="7">
        <v>4</v>
      </c>
      <c r="F270" s="7">
        <v>3</v>
      </c>
      <c r="G270" s="7">
        <v>0</v>
      </c>
      <c r="H270" s="7">
        <v>39</v>
      </c>
      <c r="I270" s="7">
        <v>0</v>
      </c>
      <c r="J270" s="7">
        <v>0</v>
      </c>
      <c r="K270" s="7">
        <v>0</v>
      </c>
      <c r="L270" s="7">
        <v>37</v>
      </c>
      <c r="N270" s="7">
        <v>27</v>
      </c>
      <c r="O270" s="7">
        <v>16</v>
      </c>
      <c r="P270" s="7">
        <v>14</v>
      </c>
      <c r="Q270" s="7">
        <v>3</v>
      </c>
      <c r="R270" s="7">
        <v>2</v>
      </c>
      <c r="S270" s="7">
        <v>30</v>
      </c>
      <c r="T270" s="7">
        <v>1</v>
      </c>
      <c r="U270" s="7">
        <v>33</v>
      </c>
      <c r="V270" s="2">
        <f t="shared" si="45"/>
        <v>6.5564348906718113</v>
      </c>
      <c r="W270" s="7">
        <v>50</v>
      </c>
      <c r="X270" s="2">
        <f t="shared" si="38"/>
        <v>56.55643489067181</v>
      </c>
      <c r="Y270" s="2"/>
      <c r="Z270" s="2">
        <f t="shared" si="39"/>
        <v>170</v>
      </c>
      <c r="AA270" s="1">
        <f t="shared" si="40"/>
        <v>19.411764705882355</v>
      </c>
      <c r="AB270" s="1">
        <f t="shared" si="41"/>
        <v>18.823529411764707</v>
      </c>
      <c r="AC270" s="1">
        <f t="shared" si="42"/>
        <v>1.7647058823529411</v>
      </c>
      <c r="AD270" s="2">
        <f t="shared" si="43"/>
        <v>6.0714285714285712</v>
      </c>
      <c r="AE270" s="2">
        <f t="shared" si="44"/>
        <v>0.58823529411764852</v>
      </c>
      <c r="AF270" s="2">
        <f t="shared" si="46"/>
        <v>32.782174453359055</v>
      </c>
    </row>
    <row r="271" spans="1:32" x14ac:dyDescent="0.35">
      <c r="A271" s="2" t="s">
        <v>659</v>
      </c>
      <c r="B271" s="2" t="s">
        <v>390</v>
      </c>
      <c r="C271" s="2">
        <v>28</v>
      </c>
      <c r="D271" s="2">
        <v>5.79</v>
      </c>
      <c r="E271" s="7">
        <v>0</v>
      </c>
      <c r="F271" s="7">
        <v>0</v>
      </c>
      <c r="G271" s="7">
        <v>0</v>
      </c>
      <c r="H271" s="7">
        <v>3</v>
      </c>
      <c r="I271" s="7">
        <v>0</v>
      </c>
      <c r="J271" s="7">
        <v>0</v>
      </c>
      <c r="K271" s="7">
        <v>0</v>
      </c>
      <c r="L271" s="7">
        <v>4</v>
      </c>
      <c r="M271" s="7">
        <v>2</v>
      </c>
      <c r="N271" s="7">
        <v>4</v>
      </c>
      <c r="O271" s="7">
        <v>3</v>
      </c>
      <c r="P271" s="7">
        <v>3</v>
      </c>
      <c r="Q271" s="7">
        <v>3</v>
      </c>
      <c r="R271" s="7">
        <v>0</v>
      </c>
      <c r="S271" s="7">
        <v>2</v>
      </c>
      <c r="T271" s="7">
        <v>0</v>
      </c>
      <c r="U271" s="7">
        <v>5</v>
      </c>
      <c r="V271" s="2">
        <f t="shared" si="45"/>
        <v>6.2035176765006517</v>
      </c>
      <c r="W271" s="7">
        <v>50</v>
      </c>
      <c r="X271" s="2">
        <f t="shared" si="38"/>
        <v>56.203517676500653</v>
      </c>
      <c r="Y271" s="2"/>
      <c r="Z271" s="2">
        <f t="shared" si="39"/>
        <v>20</v>
      </c>
      <c r="AA271" s="1">
        <f t="shared" si="40"/>
        <v>25</v>
      </c>
      <c r="AB271" s="1">
        <f t="shared" si="41"/>
        <v>10</v>
      </c>
      <c r="AC271" s="1">
        <f t="shared" si="42"/>
        <v>15</v>
      </c>
      <c r="AD271" s="2">
        <f t="shared" si="43"/>
        <v>0.7142857142857143</v>
      </c>
      <c r="AE271" s="2">
        <f t="shared" si="44"/>
        <v>15</v>
      </c>
      <c r="AF271" s="2">
        <f t="shared" si="46"/>
        <v>31.017588382503259</v>
      </c>
    </row>
    <row r="272" spans="1:32" x14ac:dyDescent="0.35">
      <c r="A272" s="2" t="s">
        <v>660</v>
      </c>
      <c r="B272" s="2" t="s">
        <v>390</v>
      </c>
      <c r="C272" s="2">
        <v>28</v>
      </c>
      <c r="D272" s="2">
        <v>7.8</v>
      </c>
      <c r="E272" s="7">
        <v>1</v>
      </c>
      <c r="F272" s="7">
        <v>1</v>
      </c>
      <c r="G272" s="7">
        <v>0</v>
      </c>
      <c r="H272" s="7">
        <v>12</v>
      </c>
      <c r="I272" s="7">
        <v>1</v>
      </c>
      <c r="J272" s="7">
        <v>0</v>
      </c>
      <c r="K272" s="7">
        <v>0</v>
      </c>
      <c r="L272" s="7">
        <v>15</v>
      </c>
      <c r="N272" s="7">
        <v>21</v>
      </c>
      <c r="O272" s="7">
        <v>13</v>
      </c>
      <c r="P272" s="7">
        <v>13</v>
      </c>
      <c r="Q272" s="7">
        <v>2</v>
      </c>
      <c r="R272" s="7">
        <v>0</v>
      </c>
      <c r="S272" s="7">
        <v>9</v>
      </c>
      <c r="T272" s="7">
        <v>2</v>
      </c>
      <c r="U272" s="7">
        <v>11</v>
      </c>
      <c r="V272" s="2">
        <f t="shared" si="45"/>
        <v>1.3460993371707657</v>
      </c>
      <c r="W272" s="7">
        <v>50</v>
      </c>
      <c r="X272" s="2">
        <f t="shared" si="38"/>
        <v>51.346099337170763</v>
      </c>
      <c r="Y272" s="2"/>
      <c r="Z272" s="2">
        <f t="shared" si="39"/>
        <v>75</v>
      </c>
      <c r="AA272" s="1">
        <f t="shared" si="40"/>
        <v>14.666666666666666</v>
      </c>
      <c r="AB272" s="1">
        <f t="shared" si="41"/>
        <v>12</v>
      </c>
      <c r="AC272" s="1">
        <f t="shared" si="42"/>
        <v>2.666666666666667</v>
      </c>
      <c r="AD272" s="2">
        <f t="shared" si="43"/>
        <v>2.6785714285714284</v>
      </c>
      <c r="AE272" s="2">
        <f t="shared" si="44"/>
        <v>2.6666666666666661</v>
      </c>
      <c r="AF272" s="2">
        <f t="shared" si="46"/>
        <v>6.7304966858538284</v>
      </c>
    </row>
    <row r="273" spans="1:32" x14ac:dyDescent="0.35">
      <c r="A273" s="2" t="s">
        <v>661</v>
      </c>
      <c r="B273" s="2" t="s">
        <v>390</v>
      </c>
      <c r="C273" s="2">
        <v>28</v>
      </c>
      <c r="D273" s="2">
        <v>3.38</v>
      </c>
      <c r="E273" s="7">
        <v>1</v>
      </c>
      <c r="F273" s="7">
        <v>0</v>
      </c>
      <c r="G273" s="7">
        <v>0</v>
      </c>
      <c r="H273" s="7">
        <v>7</v>
      </c>
      <c r="I273" s="7">
        <v>0</v>
      </c>
      <c r="J273" s="7">
        <v>0</v>
      </c>
      <c r="K273" s="7">
        <v>0</v>
      </c>
      <c r="L273" s="7">
        <v>8</v>
      </c>
      <c r="N273" s="7">
        <v>9</v>
      </c>
      <c r="O273" s="7">
        <v>3</v>
      </c>
      <c r="P273" s="7">
        <v>3</v>
      </c>
      <c r="Q273" s="7">
        <v>0</v>
      </c>
      <c r="R273" s="7">
        <v>0</v>
      </c>
      <c r="S273" s="7">
        <v>3</v>
      </c>
      <c r="T273" s="7">
        <v>0</v>
      </c>
      <c r="U273" s="7">
        <v>5</v>
      </c>
      <c r="V273" s="2">
        <f t="shared" si="45"/>
        <v>0.5204685424465646</v>
      </c>
      <c r="W273" s="7">
        <v>50</v>
      </c>
      <c r="X273" s="2">
        <f t="shared" si="38"/>
        <v>50.520468542446565</v>
      </c>
      <c r="Y273" s="2"/>
      <c r="Z273" s="2">
        <f t="shared" si="39"/>
        <v>36</v>
      </c>
      <c r="AA273" s="1">
        <f t="shared" si="40"/>
        <v>13.888888888888889</v>
      </c>
      <c r="AB273" s="1">
        <f t="shared" si="41"/>
        <v>8.3333333333333321</v>
      </c>
      <c r="AC273" s="1">
        <f t="shared" si="42"/>
        <v>0</v>
      </c>
      <c r="AD273" s="2">
        <f t="shared" si="43"/>
        <v>1.2857142857142858</v>
      </c>
      <c r="AE273" s="2">
        <f t="shared" si="44"/>
        <v>5.5555555555555571</v>
      </c>
      <c r="AF273" s="2">
        <f t="shared" si="46"/>
        <v>2.6023427122328231</v>
      </c>
    </row>
    <row r="274" spans="1:32" x14ac:dyDescent="0.35">
      <c r="A274" s="2" t="s">
        <v>662</v>
      </c>
      <c r="B274" s="2" t="s">
        <v>390</v>
      </c>
      <c r="C274" s="2">
        <v>28</v>
      </c>
      <c r="D274" s="2">
        <v>4.8</v>
      </c>
      <c r="E274" s="7">
        <v>0</v>
      </c>
      <c r="F274" s="7">
        <v>1</v>
      </c>
      <c r="G274" s="7">
        <v>0</v>
      </c>
      <c r="H274" s="7">
        <v>16</v>
      </c>
      <c r="I274" s="7">
        <v>0</v>
      </c>
      <c r="J274" s="7">
        <v>0</v>
      </c>
      <c r="K274" s="7">
        <v>0</v>
      </c>
      <c r="L274" s="7">
        <v>15</v>
      </c>
      <c r="N274" s="7">
        <v>15</v>
      </c>
      <c r="O274" s="7">
        <v>10</v>
      </c>
      <c r="P274" s="7">
        <v>8</v>
      </c>
      <c r="Q274" s="7">
        <v>2</v>
      </c>
      <c r="R274" s="7">
        <v>2</v>
      </c>
      <c r="S274" s="7">
        <v>13</v>
      </c>
      <c r="T274" s="7">
        <v>2</v>
      </c>
      <c r="U274" s="7">
        <v>19</v>
      </c>
      <c r="V274" s="2">
        <f t="shared" si="45"/>
        <v>3.2786812641723371</v>
      </c>
      <c r="W274" s="7">
        <v>50</v>
      </c>
      <c r="X274" s="2">
        <f t="shared" si="38"/>
        <v>53.278681264172334</v>
      </c>
      <c r="Y274" s="2"/>
      <c r="Z274" s="2">
        <f t="shared" si="39"/>
        <v>75</v>
      </c>
      <c r="AA274" s="1">
        <f t="shared" si="40"/>
        <v>25.333333333333336</v>
      </c>
      <c r="AB274" s="1">
        <f t="shared" si="41"/>
        <v>20</v>
      </c>
      <c r="AC274" s="1">
        <f t="shared" si="42"/>
        <v>2.666666666666667</v>
      </c>
      <c r="AD274" s="2">
        <f t="shared" si="43"/>
        <v>2.6785714285714284</v>
      </c>
      <c r="AE274" s="2">
        <f t="shared" si="44"/>
        <v>5.3333333333333357</v>
      </c>
      <c r="AF274" s="2">
        <f t="shared" si="46"/>
        <v>16.393406320861686</v>
      </c>
    </row>
    <row r="275" spans="1:32" x14ac:dyDescent="0.35">
      <c r="A275" s="2" t="s">
        <v>663</v>
      </c>
      <c r="B275" s="2" t="s">
        <v>388</v>
      </c>
      <c r="C275" s="2">
        <v>28</v>
      </c>
      <c r="D275" s="2">
        <v>4.62</v>
      </c>
      <c r="E275" s="7">
        <v>2</v>
      </c>
      <c r="F275" s="7">
        <v>4</v>
      </c>
      <c r="G275" s="7">
        <v>0</v>
      </c>
      <c r="H275" s="7">
        <v>8</v>
      </c>
      <c r="I275" s="7">
        <v>8</v>
      </c>
      <c r="J275" s="7">
        <v>0</v>
      </c>
      <c r="K275" s="7">
        <v>0</v>
      </c>
      <c r="L275" s="7">
        <v>37</v>
      </c>
      <c r="N275" s="7">
        <v>32</v>
      </c>
      <c r="O275" s="7">
        <v>22</v>
      </c>
      <c r="P275" s="7">
        <v>19</v>
      </c>
      <c r="Q275" s="7">
        <v>3</v>
      </c>
      <c r="R275" s="7">
        <v>1</v>
      </c>
      <c r="S275" s="7">
        <v>15</v>
      </c>
      <c r="T275" s="7">
        <v>0</v>
      </c>
      <c r="U275" s="7">
        <v>34</v>
      </c>
      <c r="V275" s="2">
        <f t="shared" si="45"/>
        <v>12.063529222029414</v>
      </c>
      <c r="W275" s="7">
        <v>50</v>
      </c>
      <c r="X275" s="2">
        <f t="shared" si="38"/>
        <v>62.063529222029416</v>
      </c>
      <c r="Y275" s="2"/>
      <c r="Z275" s="2">
        <f t="shared" si="39"/>
        <v>159</v>
      </c>
      <c r="AA275" s="1">
        <f t="shared" si="40"/>
        <v>21.383647798742139</v>
      </c>
      <c r="AB275" s="1">
        <f t="shared" si="41"/>
        <v>10.062893081761008</v>
      </c>
      <c r="AC275" s="1">
        <f t="shared" si="42"/>
        <v>1.8867924528301887</v>
      </c>
      <c r="AD275" s="2">
        <f t="shared" si="43"/>
        <v>5.6785714285714288</v>
      </c>
      <c r="AE275" s="2">
        <f t="shared" si="44"/>
        <v>11.320754716981131</v>
      </c>
      <c r="AF275" s="2">
        <f t="shared" si="46"/>
        <v>60.317646110147074</v>
      </c>
    </row>
    <row r="276" spans="1:32" x14ac:dyDescent="0.35">
      <c r="A276" s="2" t="s">
        <v>664</v>
      </c>
      <c r="B276" s="2" t="s">
        <v>388</v>
      </c>
      <c r="C276" s="2">
        <v>28</v>
      </c>
      <c r="D276" s="2">
        <v>3.51</v>
      </c>
      <c r="E276" s="7">
        <v>5</v>
      </c>
      <c r="F276" s="7">
        <v>7</v>
      </c>
      <c r="G276" s="7">
        <v>0</v>
      </c>
      <c r="H276" s="7">
        <v>19</v>
      </c>
      <c r="I276" s="7">
        <v>19</v>
      </c>
      <c r="J276" s="7">
        <v>1</v>
      </c>
      <c r="K276" s="7">
        <v>1</v>
      </c>
      <c r="L276" s="7">
        <v>112</v>
      </c>
      <c r="M276" s="7">
        <v>2</v>
      </c>
      <c r="N276" s="7">
        <v>98</v>
      </c>
      <c r="O276" s="7">
        <v>49</v>
      </c>
      <c r="P276" s="7">
        <v>44</v>
      </c>
      <c r="Q276" s="7">
        <v>9</v>
      </c>
      <c r="R276" s="7">
        <v>7</v>
      </c>
      <c r="S276" s="7">
        <v>31</v>
      </c>
      <c r="T276" s="7">
        <v>1</v>
      </c>
      <c r="U276" s="7">
        <v>77</v>
      </c>
      <c r="V276" s="2">
        <f t="shared" si="45"/>
        <v>70.339683422866074</v>
      </c>
      <c r="W276" s="7">
        <v>50</v>
      </c>
      <c r="X276" s="2">
        <f t="shared" si="38"/>
        <v>120.33968342286607</v>
      </c>
      <c r="Y276" s="2"/>
      <c r="Z276" s="2">
        <f t="shared" si="39"/>
        <v>474</v>
      </c>
      <c r="AA276" s="1">
        <f t="shared" si="40"/>
        <v>16.244725738396625</v>
      </c>
      <c r="AB276" s="1">
        <f t="shared" si="41"/>
        <v>8.0168776371308024</v>
      </c>
      <c r="AC276" s="1">
        <f t="shared" si="42"/>
        <v>1.89873417721519</v>
      </c>
      <c r="AD276" s="2">
        <f t="shared" si="43"/>
        <v>16.928571428571427</v>
      </c>
      <c r="AE276" s="2">
        <f t="shared" si="44"/>
        <v>8.2278481012658222</v>
      </c>
      <c r="AF276" s="2">
        <f t="shared" si="46"/>
        <v>351.69841711433037</v>
      </c>
    </row>
    <row r="277" spans="1:32" x14ac:dyDescent="0.35">
      <c r="A277" s="2" t="s">
        <v>665</v>
      </c>
      <c r="B277" s="2" t="s">
        <v>390</v>
      </c>
      <c r="C277" s="2">
        <v>28</v>
      </c>
      <c r="D277" s="2">
        <v>4.24</v>
      </c>
      <c r="E277" s="7">
        <v>2</v>
      </c>
      <c r="F277" s="7">
        <v>0</v>
      </c>
      <c r="G277" s="7">
        <v>0</v>
      </c>
      <c r="H277" s="7">
        <v>15</v>
      </c>
      <c r="I277" s="7">
        <v>0</v>
      </c>
      <c r="J277" s="7">
        <v>0</v>
      </c>
      <c r="K277" s="7">
        <v>0</v>
      </c>
      <c r="L277" s="7">
        <v>17</v>
      </c>
      <c r="N277" s="7">
        <v>14</v>
      </c>
      <c r="O277" s="7">
        <v>8</v>
      </c>
      <c r="P277" s="7">
        <v>8</v>
      </c>
      <c r="Q277" s="7">
        <v>4</v>
      </c>
      <c r="R277" s="7">
        <v>1</v>
      </c>
      <c r="S277" s="7">
        <v>7</v>
      </c>
      <c r="T277" s="7">
        <v>0</v>
      </c>
      <c r="U277" s="7">
        <v>15</v>
      </c>
      <c r="V277" s="2">
        <f t="shared" si="45"/>
        <v>9.7183204342734761</v>
      </c>
      <c r="W277" s="7">
        <v>50</v>
      </c>
      <c r="X277" s="2">
        <f t="shared" si="38"/>
        <v>59.71832043427348</v>
      </c>
      <c r="Y277" s="2"/>
      <c r="Z277" s="2">
        <f t="shared" si="39"/>
        <v>73</v>
      </c>
      <c r="AA277" s="1">
        <f t="shared" si="40"/>
        <v>20.547945205479451</v>
      </c>
      <c r="AB277" s="1">
        <f t="shared" si="41"/>
        <v>10.95890410958904</v>
      </c>
      <c r="AC277" s="1">
        <f t="shared" si="42"/>
        <v>5.4794520547945202</v>
      </c>
      <c r="AD277" s="2">
        <f t="shared" si="43"/>
        <v>2.6071428571428572</v>
      </c>
      <c r="AE277" s="2">
        <f t="shared" si="44"/>
        <v>9.5890410958904102</v>
      </c>
      <c r="AF277" s="2">
        <f t="shared" si="46"/>
        <v>48.591602171367384</v>
      </c>
    </row>
    <row r="278" spans="1:32" x14ac:dyDescent="0.35">
      <c r="A278" s="2" t="s">
        <v>666</v>
      </c>
      <c r="B278" s="2" t="s">
        <v>390</v>
      </c>
      <c r="C278" s="2">
        <v>28</v>
      </c>
      <c r="D278" s="2">
        <v>5.62</v>
      </c>
      <c r="E278" s="7">
        <v>4</v>
      </c>
      <c r="F278" s="7">
        <v>6</v>
      </c>
      <c r="G278" s="7">
        <v>0</v>
      </c>
      <c r="H278" s="7">
        <v>48</v>
      </c>
      <c r="I278" s="7">
        <v>1</v>
      </c>
      <c r="J278" s="7">
        <v>0</v>
      </c>
      <c r="K278" s="7">
        <v>0</v>
      </c>
      <c r="L278" s="7">
        <v>49</v>
      </c>
      <c r="M278" s="7">
        <v>2</v>
      </c>
      <c r="N278" s="7">
        <v>47</v>
      </c>
      <c r="O278" s="7">
        <v>36</v>
      </c>
      <c r="P278" s="7">
        <v>31</v>
      </c>
      <c r="Q278" s="7">
        <v>7</v>
      </c>
      <c r="R278" s="7">
        <v>2</v>
      </c>
      <c r="S278" s="7">
        <v>25</v>
      </c>
      <c r="T278" s="7">
        <v>2</v>
      </c>
      <c r="U278" s="7">
        <v>55</v>
      </c>
      <c r="V278" s="2">
        <f t="shared" si="45"/>
        <v>24.072538615209901</v>
      </c>
      <c r="W278" s="7">
        <v>50</v>
      </c>
      <c r="X278" s="2">
        <f t="shared" si="38"/>
        <v>74.072538615209908</v>
      </c>
      <c r="Y278" s="2"/>
      <c r="Z278" s="2">
        <f t="shared" si="39"/>
        <v>223</v>
      </c>
      <c r="AA278" s="1">
        <f t="shared" si="40"/>
        <v>24.663677130044842</v>
      </c>
      <c r="AB278" s="1">
        <f t="shared" si="41"/>
        <v>12.107623318385651</v>
      </c>
      <c r="AC278" s="1">
        <f t="shared" si="42"/>
        <v>3.1390134529147984</v>
      </c>
      <c r="AD278" s="2">
        <f t="shared" si="43"/>
        <v>7.9642857142857144</v>
      </c>
      <c r="AE278" s="2">
        <f t="shared" si="44"/>
        <v>12.556053811659192</v>
      </c>
      <c r="AF278" s="2">
        <f t="shared" si="46"/>
        <v>120.3626930760495</v>
      </c>
    </row>
    <row r="279" spans="1:32" x14ac:dyDescent="0.35">
      <c r="A279" s="2" t="s">
        <v>667</v>
      </c>
      <c r="B279" s="2" t="s">
        <v>388</v>
      </c>
      <c r="C279" s="2">
        <v>28</v>
      </c>
      <c r="D279" s="2">
        <v>6.66</v>
      </c>
      <c r="E279" s="7">
        <v>3</v>
      </c>
      <c r="F279" s="7">
        <v>3</v>
      </c>
      <c r="G279" s="7">
        <v>0</v>
      </c>
      <c r="H279" s="7">
        <v>6</v>
      </c>
      <c r="I279" s="7">
        <v>5</v>
      </c>
      <c r="J279" s="7">
        <v>0</v>
      </c>
      <c r="K279" s="7">
        <v>0</v>
      </c>
      <c r="L279" s="7">
        <v>24</v>
      </c>
      <c r="M279" s="7">
        <v>1</v>
      </c>
      <c r="N279" s="7">
        <v>25</v>
      </c>
      <c r="O279" s="7">
        <v>18</v>
      </c>
      <c r="P279" s="7">
        <v>18</v>
      </c>
      <c r="Q279" s="7">
        <v>5</v>
      </c>
      <c r="R279" s="7">
        <v>0</v>
      </c>
      <c r="S279" s="7">
        <v>12</v>
      </c>
      <c r="T279" s="7">
        <v>0</v>
      </c>
      <c r="U279" s="7">
        <v>23</v>
      </c>
      <c r="V279" s="2">
        <f t="shared" si="45"/>
        <v>9.1124287552858974</v>
      </c>
      <c r="W279" s="7">
        <v>50</v>
      </c>
      <c r="X279" s="2">
        <f t="shared" si="38"/>
        <v>59.112428755285897</v>
      </c>
      <c r="Y279" s="2"/>
      <c r="Z279" s="2">
        <f t="shared" si="39"/>
        <v>110</v>
      </c>
      <c r="AA279" s="1">
        <f t="shared" si="40"/>
        <v>20.909090909090907</v>
      </c>
      <c r="AB279" s="1">
        <f t="shared" si="41"/>
        <v>10.909090909090908</v>
      </c>
      <c r="AC279" s="1">
        <f t="shared" si="42"/>
        <v>4.5454545454545459</v>
      </c>
      <c r="AD279" s="2">
        <f t="shared" si="43"/>
        <v>3.9285714285714284</v>
      </c>
      <c r="AE279" s="2">
        <f t="shared" si="44"/>
        <v>9.9999999999999982</v>
      </c>
      <c r="AF279" s="2">
        <f t="shared" si="46"/>
        <v>45.562143776429487</v>
      </c>
    </row>
    <row r="280" spans="1:32" x14ac:dyDescent="0.35">
      <c r="A280" s="2" t="s">
        <v>668</v>
      </c>
      <c r="B280" s="2" t="s">
        <v>390</v>
      </c>
      <c r="C280" s="2">
        <v>28</v>
      </c>
      <c r="D280" s="2">
        <v>3.49</v>
      </c>
      <c r="E280" s="7">
        <v>5</v>
      </c>
      <c r="F280" s="7">
        <v>3</v>
      </c>
      <c r="G280" s="7">
        <v>1</v>
      </c>
      <c r="H280" s="7">
        <v>63</v>
      </c>
      <c r="I280" s="7">
        <v>0</v>
      </c>
      <c r="J280" s="7">
        <v>0</v>
      </c>
      <c r="K280" s="7">
        <v>0</v>
      </c>
      <c r="L280" s="7">
        <v>56</v>
      </c>
      <c r="M280" s="7">
        <v>2</v>
      </c>
      <c r="N280" s="7">
        <v>42</v>
      </c>
      <c r="O280" s="7">
        <v>25</v>
      </c>
      <c r="P280" s="7">
        <v>22</v>
      </c>
      <c r="Q280" s="7">
        <v>7</v>
      </c>
      <c r="R280" s="7">
        <v>1</v>
      </c>
      <c r="S280" s="7">
        <v>13</v>
      </c>
      <c r="T280" s="7">
        <v>1</v>
      </c>
      <c r="U280" s="7">
        <v>46</v>
      </c>
      <c r="V280" s="2">
        <f t="shared" si="45"/>
        <v>42.13190192779701</v>
      </c>
      <c r="W280" s="7">
        <v>50</v>
      </c>
      <c r="X280" s="2">
        <f t="shared" si="38"/>
        <v>92.131901927797003</v>
      </c>
      <c r="Y280" s="2"/>
      <c r="Z280" s="2">
        <f t="shared" si="39"/>
        <v>226</v>
      </c>
      <c r="AA280" s="1">
        <f t="shared" si="40"/>
        <v>20.353982300884958</v>
      </c>
      <c r="AB280" s="1">
        <f t="shared" si="41"/>
        <v>6.1946902654867255</v>
      </c>
      <c r="AC280" s="1">
        <f t="shared" si="42"/>
        <v>3.0973451327433628</v>
      </c>
      <c r="AD280" s="2">
        <f t="shared" si="43"/>
        <v>8.0714285714285712</v>
      </c>
      <c r="AE280" s="2">
        <f t="shared" si="44"/>
        <v>14.159292035398233</v>
      </c>
      <c r="AF280" s="2">
        <f t="shared" si="46"/>
        <v>210.65950963898504</v>
      </c>
    </row>
    <row r="281" spans="1:32" x14ac:dyDescent="0.35">
      <c r="A281" s="2" t="s">
        <v>669</v>
      </c>
      <c r="B281" s="2" t="s">
        <v>390</v>
      </c>
      <c r="C281" s="2">
        <v>28</v>
      </c>
      <c r="D281" s="2">
        <v>6.75</v>
      </c>
      <c r="E281" s="7">
        <v>0</v>
      </c>
      <c r="F281" s="7">
        <v>0</v>
      </c>
      <c r="G281" s="7">
        <v>0</v>
      </c>
      <c r="H281" s="7">
        <v>2</v>
      </c>
      <c r="I281" s="7">
        <v>0</v>
      </c>
      <c r="J281" s="7">
        <v>0</v>
      </c>
      <c r="K281" s="7">
        <v>0</v>
      </c>
      <c r="L281" s="7">
        <v>4</v>
      </c>
      <c r="N281" s="7">
        <v>5</v>
      </c>
      <c r="O281" s="7">
        <v>3</v>
      </c>
      <c r="P281" s="7">
        <v>3</v>
      </c>
      <c r="Q281" s="7">
        <v>0</v>
      </c>
      <c r="R281" s="7">
        <v>0</v>
      </c>
      <c r="S281" s="7">
        <v>3</v>
      </c>
      <c r="T281" s="7">
        <v>0</v>
      </c>
      <c r="U281" s="7">
        <v>5</v>
      </c>
      <c r="V281" s="2">
        <f t="shared" si="45"/>
        <v>0.22675736961451248</v>
      </c>
      <c r="W281" s="7">
        <v>50</v>
      </c>
      <c r="X281" s="2">
        <f t="shared" si="38"/>
        <v>50.226757369614511</v>
      </c>
      <c r="Y281" s="2"/>
      <c r="Z281" s="2">
        <f t="shared" si="39"/>
        <v>20</v>
      </c>
      <c r="AA281" s="1">
        <f t="shared" si="40"/>
        <v>25</v>
      </c>
      <c r="AB281" s="1">
        <f t="shared" si="41"/>
        <v>15</v>
      </c>
      <c r="AC281" s="1">
        <f t="shared" si="42"/>
        <v>0</v>
      </c>
      <c r="AD281" s="2">
        <f t="shared" si="43"/>
        <v>0.7142857142857143</v>
      </c>
      <c r="AE281" s="2">
        <f t="shared" si="44"/>
        <v>10</v>
      </c>
      <c r="AF281" s="2">
        <f t="shared" si="46"/>
        <v>1.1337868480725624</v>
      </c>
    </row>
    <row r="282" spans="1:32" x14ac:dyDescent="0.35">
      <c r="A282" s="2" t="s">
        <v>670</v>
      </c>
      <c r="B282" s="2" t="s">
        <v>390</v>
      </c>
      <c r="C282" s="2">
        <v>28</v>
      </c>
      <c r="D282" s="2">
        <v>1.54</v>
      </c>
      <c r="E282" s="7">
        <v>0</v>
      </c>
      <c r="F282" s="7">
        <v>0</v>
      </c>
      <c r="G282" s="7">
        <v>0</v>
      </c>
      <c r="H282" s="7">
        <v>9</v>
      </c>
      <c r="I282" s="7">
        <v>1</v>
      </c>
      <c r="J282" s="7">
        <v>0</v>
      </c>
      <c r="K282" s="7">
        <v>0</v>
      </c>
      <c r="L282" s="7">
        <v>11</v>
      </c>
      <c r="M282" s="7">
        <v>2</v>
      </c>
      <c r="N282" s="7">
        <v>10</v>
      </c>
      <c r="O282" s="7">
        <v>2</v>
      </c>
      <c r="P282" s="7">
        <v>2</v>
      </c>
      <c r="Q282" s="7">
        <v>0</v>
      </c>
      <c r="R282" s="7">
        <v>0</v>
      </c>
      <c r="S282" s="7">
        <v>3</v>
      </c>
      <c r="T282" s="7">
        <v>0</v>
      </c>
      <c r="U282" s="7">
        <v>8</v>
      </c>
      <c r="V282" s="2">
        <f t="shared" si="45"/>
        <v>2.7007686191359648</v>
      </c>
      <c r="W282" s="7">
        <v>50</v>
      </c>
      <c r="X282" s="2">
        <f t="shared" si="38"/>
        <v>52.700768619135964</v>
      </c>
      <c r="Y282" s="2"/>
      <c r="Z282" s="2">
        <f t="shared" si="39"/>
        <v>48</v>
      </c>
      <c r="AA282" s="1">
        <f t="shared" si="40"/>
        <v>16.666666666666664</v>
      </c>
      <c r="AB282" s="1">
        <f t="shared" si="41"/>
        <v>6.25</v>
      </c>
      <c r="AC282" s="1">
        <f t="shared" si="42"/>
        <v>0</v>
      </c>
      <c r="AD282" s="2">
        <f t="shared" si="43"/>
        <v>1.7142857142857142</v>
      </c>
      <c r="AE282" s="2">
        <f t="shared" si="44"/>
        <v>10.416666666666664</v>
      </c>
      <c r="AF282" s="2">
        <f t="shared" si="46"/>
        <v>13.503843095679825</v>
      </c>
    </row>
    <row r="283" spans="1:32" x14ac:dyDescent="0.35">
      <c r="A283" s="2" t="s">
        <v>671</v>
      </c>
      <c r="B283" s="2" t="s">
        <v>415</v>
      </c>
      <c r="C283" s="2">
        <v>28</v>
      </c>
      <c r="D283" s="2">
        <v>9</v>
      </c>
      <c r="E283" s="7">
        <v>0</v>
      </c>
      <c r="F283" s="7">
        <v>0</v>
      </c>
      <c r="G283" s="7">
        <v>1</v>
      </c>
      <c r="H283" s="7">
        <v>3</v>
      </c>
      <c r="I283" s="7">
        <v>0</v>
      </c>
      <c r="J283" s="7">
        <v>0</v>
      </c>
      <c r="K283" s="7">
        <v>0</v>
      </c>
      <c r="L283" s="7">
        <v>2</v>
      </c>
      <c r="N283" s="7">
        <v>1</v>
      </c>
      <c r="O283" s="7">
        <v>2</v>
      </c>
      <c r="P283" s="7">
        <v>2</v>
      </c>
      <c r="Q283" s="7">
        <v>1</v>
      </c>
      <c r="R283" s="7">
        <v>0</v>
      </c>
      <c r="S283" s="7">
        <v>4</v>
      </c>
      <c r="T283" s="7">
        <v>0</v>
      </c>
      <c r="U283" s="7">
        <v>2</v>
      </c>
      <c r="V283" s="2">
        <f t="shared" si="45"/>
        <v>-1.5671227581941871</v>
      </c>
      <c r="W283" s="7">
        <v>50</v>
      </c>
      <c r="X283" s="2">
        <f t="shared" si="38"/>
        <v>48.432877241805812</v>
      </c>
      <c r="Y283" s="2"/>
      <c r="Z283" s="2">
        <f t="shared" si="39"/>
        <v>11</v>
      </c>
      <c r="AA283" s="1">
        <f t="shared" si="40"/>
        <v>18.181818181818183</v>
      </c>
      <c r="AB283" s="1">
        <f t="shared" si="41"/>
        <v>36.363636363636367</v>
      </c>
      <c r="AC283" s="1">
        <f t="shared" si="42"/>
        <v>9.0909090909090917</v>
      </c>
      <c r="AD283" s="2">
        <f t="shared" si="43"/>
        <v>0.39285714285714285</v>
      </c>
      <c r="AE283" s="2">
        <f t="shared" si="44"/>
        <v>-18.181818181818183</v>
      </c>
      <c r="AF283" s="2">
        <f t="shared" si="46"/>
        <v>-7.8356137909709354</v>
      </c>
    </row>
    <row r="284" spans="1:32" x14ac:dyDescent="0.35">
      <c r="A284" s="2" t="s">
        <v>672</v>
      </c>
      <c r="B284" s="2" t="s">
        <v>390</v>
      </c>
      <c r="C284" s="2">
        <v>28</v>
      </c>
      <c r="D284" s="2">
        <v>6.75</v>
      </c>
      <c r="E284" s="7">
        <v>0</v>
      </c>
      <c r="F284" s="7">
        <v>0</v>
      </c>
      <c r="G284" s="7">
        <v>0</v>
      </c>
      <c r="H284" s="7">
        <v>8</v>
      </c>
      <c r="I284" s="7">
        <v>1</v>
      </c>
      <c r="J284" s="7">
        <v>0</v>
      </c>
      <c r="K284" s="7">
        <v>0</v>
      </c>
      <c r="L284" s="7">
        <v>9</v>
      </c>
      <c r="M284" s="7">
        <v>1</v>
      </c>
      <c r="N284" s="7">
        <v>12</v>
      </c>
      <c r="O284" s="7">
        <v>9</v>
      </c>
      <c r="P284" s="7">
        <v>7</v>
      </c>
      <c r="Q284" s="7">
        <v>1</v>
      </c>
      <c r="R284" s="7">
        <v>1</v>
      </c>
      <c r="S284" s="7">
        <v>6</v>
      </c>
      <c r="T284" s="7">
        <v>0</v>
      </c>
      <c r="U284" s="7">
        <v>8</v>
      </c>
      <c r="V284" s="2">
        <f t="shared" si="45"/>
        <v>0.59208037825059112</v>
      </c>
      <c r="W284" s="7">
        <v>50</v>
      </c>
      <c r="X284" s="2">
        <f t="shared" si="38"/>
        <v>50.592080378250593</v>
      </c>
      <c r="Y284" s="2"/>
      <c r="Z284" s="2">
        <f t="shared" si="39"/>
        <v>47</v>
      </c>
      <c r="AA284" s="1">
        <f t="shared" si="40"/>
        <v>17.021276595744681</v>
      </c>
      <c r="AB284" s="1">
        <f t="shared" si="41"/>
        <v>14.893617021276595</v>
      </c>
      <c r="AC284" s="1">
        <f t="shared" si="42"/>
        <v>2.1276595744680851</v>
      </c>
      <c r="AD284" s="2">
        <f t="shared" si="43"/>
        <v>1.6785714285714286</v>
      </c>
      <c r="AE284" s="2">
        <f t="shared" si="44"/>
        <v>2.1276595744680851</v>
      </c>
      <c r="AF284" s="2">
        <f t="shared" si="46"/>
        <v>2.9604018912529555</v>
      </c>
    </row>
    <row r="285" spans="1:32" x14ac:dyDescent="0.35">
      <c r="A285" s="2" t="s">
        <v>673</v>
      </c>
      <c r="B285" s="2" t="s">
        <v>390</v>
      </c>
      <c r="C285" s="2">
        <v>28</v>
      </c>
      <c r="D285" s="2">
        <v>2.42</v>
      </c>
      <c r="E285" s="7">
        <v>3</v>
      </c>
      <c r="F285" s="7">
        <v>1</v>
      </c>
      <c r="G285" s="7">
        <v>0</v>
      </c>
      <c r="H285" s="7">
        <v>17</v>
      </c>
      <c r="I285" s="7">
        <v>0</v>
      </c>
      <c r="J285" s="7">
        <v>0</v>
      </c>
      <c r="K285" s="7">
        <v>0</v>
      </c>
      <c r="L285" s="7">
        <v>22</v>
      </c>
      <c r="M285" s="7">
        <v>1</v>
      </c>
      <c r="N285" s="7">
        <v>15</v>
      </c>
      <c r="O285" s="7">
        <v>7</v>
      </c>
      <c r="P285" s="7">
        <v>6</v>
      </c>
      <c r="Q285" s="7">
        <v>2</v>
      </c>
      <c r="R285" s="7">
        <v>0</v>
      </c>
      <c r="S285" s="7">
        <v>8</v>
      </c>
      <c r="T285" s="7">
        <v>1</v>
      </c>
      <c r="U285" s="7">
        <v>17</v>
      </c>
      <c r="V285" s="2">
        <f t="shared" si="45"/>
        <v>11.310929330409852</v>
      </c>
      <c r="W285" s="7">
        <v>50</v>
      </c>
      <c r="X285" s="2">
        <f t="shared" si="38"/>
        <v>61.310929330409849</v>
      </c>
      <c r="Y285" s="2"/>
      <c r="Z285" s="2">
        <f t="shared" si="39"/>
        <v>90</v>
      </c>
      <c r="AA285" s="1">
        <f t="shared" si="40"/>
        <v>18.888888888888889</v>
      </c>
      <c r="AB285" s="1">
        <f t="shared" si="41"/>
        <v>8.8888888888888893</v>
      </c>
      <c r="AC285" s="1">
        <f t="shared" si="42"/>
        <v>2.2222222222222223</v>
      </c>
      <c r="AD285" s="2">
        <f t="shared" si="43"/>
        <v>3.2142857142857144</v>
      </c>
      <c r="AE285" s="2">
        <f t="shared" si="44"/>
        <v>10</v>
      </c>
      <c r="AF285" s="2">
        <f t="shared" si="46"/>
        <v>56.554646652049264</v>
      </c>
    </row>
    <row r="286" spans="1:32" x14ac:dyDescent="0.35">
      <c r="A286" s="2" t="s">
        <v>674</v>
      </c>
      <c r="B286" s="2" t="s">
        <v>390</v>
      </c>
      <c r="C286" s="2">
        <v>28</v>
      </c>
      <c r="D286" s="2">
        <v>14.85</v>
      </c>
      <c r="E286" s="7">
        <v>0</v>
      </c>
      <c r="F286" s="7">
        <v>1</v>
      </c>
      <c r="G286" s="7">
        <v>0</v>
      </c>
      <c r="H286" s="7">
        <v>5</v>
      </c>
      <c r="I286" s="7">
        <v>0</v>
      </c>
      <c r="J286" s="7">
        <v>0</v>
      </c>
      <c r="K286" s="7">
        <v>0</v>
      </c>
      <c r="L286" s="7">
        <v>6</v>
      </c>
      <c r="M286" s="7">
        <v>2</v>
      </c>
      <c r="N286" s="7">
        <v>15</v>
      </c>
      <c r="O286" s="7">
        <v>12</v>
      </c>
      <c r="P286" s="7">
        <v>11</v>
      </c>
      <c r="Q286" s="7">
        <v>4</v>
      </c>
      <c r="R286" s="7">
        <v>1</v>
      </c>
      <c r="S286" s="7">
        <v>2</v>
      </c>
      <c r="T286" s="7">
        <v>0</v>
      </c>
      <c r="U286" s="7">
        <v>3</v>
      </c>
      <c r="V286" s="2">
        <f t="shared" si="45"/>
        <v>0.28592042877757162</v>
      </c>
      <c r="W286" s="7">
        <v>50</v>
      </c>
      <c r="X286" s="2">
        <f t="shared" si="38"/>
        <v>50.285920428777573</v>
      </c>
      <c r="Y286" s="2"/>
      <c r="Z286" s="2">
        <f t="shared" si="39"/>
        <v>38</v>
      </c>
      <c r="AA286" s="1">
        <f t="shared" si="40"/>
        <v>7.8947368421052628</v>
      </c>
      <c r="AB286" s="1">
        <f t="shared" si="41"/>
        <v>7.8947368421052628</v>
      </c>
      <c r="AC286" s="1">
        <f t="shared" si="42"/>
        <v>10.526315789473683</v>
      </c>
      <c r="AD286" s="2">
        <f t="shared" si="43"/>
        <v>1.3571428571428572</v>
      </c>
      <c r="AE286" s="2">
        <f t="shared" si="44"/>
        <v>0</v>
      </c>
      <c r="AF286" s="2">
        <f t="shared" si="46"/>
        <v>1.4296021438878581</v>
      </c>
    </row>
    <row r="287" spans="1:32" x14ac:dyDescent="0.35">
      <c r="A287" s="2" t="s">
        <v>675</v>
      </c>
      <c r="B287" s="2" t="s">
        <v>390</v>
      </c>
      <c r="C287" s="2">
        <v>28</v>
      </c>
      <c r="D287" s="2">
        <v>3.65</v>
      </c>
      <c r="E287" s="7">
        <v>2</v>
      </c>
      <c r="F287" s="7">
        <v>1</v>
      </c>
      <c r="G287" s="7">
        <v>1</v>
      </c>
      <c r="H287" s="7">
        <v>28</v>
      </c>
      <c r="I287" s="7">
        <v>0</v>
      </c>
      <c r="J287" s="7">
        <v>0</v>
      </c>
      <c r="K287" s="7">
        <v>0</v>
      </c>
      <c r="L287" s="7">
        <v>24</v>
      </c>
      <c r="M287" s="7">
        <v>2</v>
      </c>
      <c r="N287" s="7">
        <v>23</v>
      </c>
      <c r="O287" s="7">
        <v>10</v>
      </c>
      <c r="P287" s="7">
        <v>10</v>
      </c>
      <c r="Q287" s="7">
        <v>2</v>
      </c>
      <c r="R287" s="7">
        <v>2</v>
      </c>
      <c r="S287" s="7">
        <v>13</v>
      </c>
      <c r="T287" s="7">
        <v>0</v>
      </c>
      <c r="U287" s="7">
        <v>27</v>
      </c>
      <c r="V287" s="2">
        <f t="shared" si="45"/>
        <v>8.9840648588202416</v>
      </c>
      <c r="W287" s="7">
        <v>50</v>
      </c>
      <c r="X287" s="2">
        <f t="shared" si="38"/>
        <v>58.98406485882024</v>
      </c>
      <c r="Y287" s="2"/>
      <c r="Z287" s="2">
        <f t="shared" si="39"/>
        <v>112</v>
      </c>
      <c r="AA287" s="1">
        <f t="shared" si="40"/>
        <v>24.107142857142858</v>
      </c>
      <c r="AB287" s="1">
        <f t="shared" si="41"/>
        <v>13.392857142857142</v>
      </c>
      <c r="AC287" s="1">
        <f t="shared" si="42"/>
        <v>1.7857142857142856</v>
      </c>
      <c r="AD287" s="2">
        <f t="shared" si="43"/>
        <v>4</v>
      </c>
      <c r="AE287" s="2">
        <f t="shared" si="44"/>
        <v>10.714285714285715</v>
      </c>
      <c r="AF287" s="2">
        <f t="shared" si="46"/>
        <v>44.920324294101206</v>
      </c>
    </row>
    <row r="288" spans="1:32" x14ac:dyDescent="0.35">
      <c r="A288" s="2" t="s">
        <v>676</v>
      </c>
      <c r="B288" s="2" t="s">
        <v>390</v>
      </c>
      <c r="C288" s="2">
        <v>28</v>
      </c>
      <c r="D288" s="2">
        <v>2.08</v>
      </c>
      <c r="E288" s="7">
        <v>1</v>
      </c>
      <c r="F288" s="7">
        <v>2</v>
      </c>
      <c r="G288" s="7">
        <v>0</v>
      </c>
      <c r="H288" s="7">
        <v>31</v>
      </c>
      <c r="I288" s="7">
        <v>0</v>
      </c>
      <c r="J288" s="7">
        <v>0</v>
      </c>
      <c r="K288" s="7">
        <v>0</v>
      </c>
      <c r="L288" s="7">
        <v>30</v>
      </c>
      <c r="M288" s="7">
        <v>1</v>
      </c>
      <c r="N288" s="7">
        <v>26</v>
      </c>
      <c r="O288" s="7">
        <v>9</v>
      </c>
      <c r="P288" s="7">
        <v>7</v>
      </c>
      <c r="Q288" s="7">
        <v>2</v>
      </c>
      <c r="R288" s="7">
        <v>1</v>
      </c>
      <c r="S288" s="7">
        <v>6</v>
      </c>
      <c r="T288" s="7">
        <v>0</v>
      </c>
      <c r="U288" s="7">
        <v>25</v>
      </c>
      <c r="V288" s="2">
        <f t="shared" si="45"/>
        <v>21.078581556692161</v>
      </c>
      <c r="W288" s="7">
        <v>50</v>
      </c>
      <c r="X288" s="2">
        <f t="shared" si="38"/>
        <v>71.078581556692157</v>
      </c>
      <c r="Y288" s="2"/>
      <c r="Z288" s="2">
        <f t="shared" si="39"/>
        <v>124</v>
      </c>
      <c r="AA288" s="1">
        <f t="shared" si="40"/>
        <v>20.161290322580644</v>
      </c>
      <c r="AB288" s="1">
        <f t="shared" si="41"/>
        <v>5.6451612903225801</v>
      </c>
      <c r="AC288" s="1">
        <f t="shared" si="42"/>
        <v>1.6129032258064515</v>
      </c>
      <c r="AD288" s="2">
        <f t="shared" si="43"/>
        <v>4.4285714285714288</v>
      </c>
      <c r="AE288" s="2">
        <f t="shared" si="44"/>
        <v>14.516129032258064</v>
      </c>
      <c r="AF288" s="2">
        <f t="shared" si="46"/>
        <v>105.3929077834608</v>
      </c>
    </row>
    <row r="289" spans="1:32" x14ac:dyDescent="0.35">
      <c r="A289" s="2" t="s">
        <v>677</v>
      </c>
      <c r="B289" s="2" t="s">
        <v>390</v>
      </c>
      <c r="C289" s="2">
        <v>28</v>
      </c>
      <c r="D289" s="2">
        <v>3.08</v>
      </c>
      <c r="E289" s="7">
        <v>3</v>
      </c>
      <c r="F289" s="7">
        <v>2</v>
      </c>
      <c r="G289" s="7">
        <v>2</v>
      </c>
      <c r="H289" s="7">
        <v>66</v>
      </c>
      <c r="I289" s="7">
        <v>1</v>
      </c>
      <c r="J289" s="7">
        <v>0</v>
      </c>
      <c r="K289" s="7">
        <v>0</v>
      </c>
      <c r="L289" s="7">
        <v>73</v>
      </c>
      <c r="N289" s="7">
        <v>50</v>
      </c>
      <c r="O289" s="7">
        <v>26</v>
      </c>
      <c r="P289" s="7">
        <v>25</v>
      </c>
      <c r="Q289" s="7">
        <v>8</v>
      </c>
      <c r="R289" s="7">
        <v>6</v>
      </c>
      <c r="S289" s="7">
        <v>34</v>
      </c>
      <c r="T289" s="7">
        <v>3</v>
      </c>
      <c r="U289" s="7">
        <v>66</v>
      </c>
      <c r="V289" s="2">
        <f t="shared" si="45"/>
        <v>50.023188146144854</v>
      </c>
      <c r="W289" s="7">
        <v>50</v>
      </c>
      <c r="X289" s="2">
        <f t="shared" si="38"/>
        <v>100.02318814614486</v>
      </c>
      <c r="Y289" s="2"/>
      <c r="Z289" s="2">
        <f t="shared" si="39"/>
        <v>309</v>
      </c>
      <c r="AA289" s="1">
        <f t="shared" si="40"/>
        <v>21.359223300970871</v>
      </c>
      <c r="AB289" s="1">
        <f t="shared" si="41"/>
        <v>12.944983818770226</v>
      </c>
      <c r="AC289" s="1">
        <f t="shared" si="42"/>
        <v>2.5889967637540456</v>
      </c>
      <c r="AD289" s="2">
        <f t="shared" si="43"/>
        <v>11.035714285714286</v>
      </c>
      <c r="AE289" s="2">
        <f t="shared" si="44"/>
        <v>8.4142394822006459</v>
      </c>
      <c r="AF289" s="2">
        <f t="shared" si="46"/>
        <v>250.11594073072428</v>
      </c>
    </row>
    <row r="290" spans="1:32" x14ac:dyDescent="0.35">
      <c r="A290" s="2" t="s">
        <v>678</v>
      </c>
      <c r="B290" s="2" t="s">
        <v>390</v>
      </c>
      <c r="C290" s="2">
        <v>28</v>
      </c>
      <c r="D290" s="2">
        <v>6.75</v>
      </c>
      <c r="E290" s="7">
        <v>0</v>
      </c>
      <c r="F290" s="7">
        <v>0</v>
      </c>
      <c r="G290" s="7">
        <v>0</v>
      </c>
      <c r="H290" s="7">
        <v>1</v>
      </c>
      <c r="I290" s="7">
        <v>0</v>
      </c>
      <c r="J290" s="7">
        <v>0</v>
      </c>
      <c r="K290" s="7">
        <v>0</v>
      </c>
      <c r="L290" s="7">
        <v>1</v>
      </c>
      <c r="M290" s="7">
        <v>1</v>
      </c>
      <c r="N290" s="7">
        <v>1</v>
      </c>
      <c r="O290" s="7">
        <v>1</v>
      </c>
      <c r="P290" s="7">
        <v>1</v>
      </c>
      <c r="Q290" s="7">
        <v>1</v>
      </c>
      <c r="R290" s="7">
        <v>0</v>
      </c>
      <c r="S290" s="7">
        <v>1</v>
      </c>
      <c r="T290" s="7">
        <v>0</v>
      </c>
      <c r="U290" s="7">
        <v>2</v>
      </c>
      <c r="V290" s="2">
        <f t="shared" si="45"/>
        <v>1.8935248173343406</v>
      </c>
      <c r="W290" s="7">
        <v>50</v>
      </c>
      <c r="X290" s="2">
        <f t="shared" si="38"/>
        <v>51.893524817334338</v>
      </c>
      <c r="Y290" s="2"/>
      <c r="Z290" s="2">
        <f t="shared" si="39"/>
        <v>6</v>
      </c>
      <c r="AA290" s="1">
        <f t="shared" si="40"/>
        <v>33.333333333333329</v>
      </c>
      <c r="AB290" s="1">
        <f t="shared" si="41"/>
        <v>16.666666666666664</v>
      </c>
      <c r="AC290" s="1">
        <f t="shared" si="42"/>
        <v>16.666666666666664</v>
      </c>
      <c r="AD290" s="2">
        <f t="shared" si="43"/>
        <v>0.21428571428571427</v>
      </c>
      <c r="AE290" s="2">
        <f t="shared" si="44"/>
        <v>16.666666666666664</v>
      </c>
      <c r="AF290" s="2">
        <f t="shared" si="46"/>
        <v>9.4676240866717034</v>
      </c>
    </row>
    <row r="291" spans="1:32" x14ac:dyDescent="0.35">
      <c r="A291" s="2" t="s">
        <v>679</v>
      </c>
      <c r="B291" s="2" t="s">
        <v>390</v>
      </c>
      <c r="C291" s="2">
        <v>28</v>
      </c>
      <c r="D291" s="2">
        <v>7.84</v>
      </c>
      <c r="E291" s="7">
        <v>1</v>
      </c>
      <c r="F291" s="7">
        <v>3</v>
      </c>
      <c r="G291" s="7">
        <v>0</v>
      </c>
      <c r="H291" s="7">
        <v>20</v>
      </c>
      <c r="I291" s="7">
        <v>0</v>
      </c>
      <c r="J291" s="7">
        <v>0</v>
      </c>
      <c r="K291" s="7">
        <v>0</v>
      </c>
      <c r="L291" s="7">
        <v>20</v>
      </c>
      <c r="M291" s="7">
        <v>2</v>
      </c>
      <c r="N291" s="7">
        <v>26</v>
      </c>
      <c r="O291" s="7">
        <v>21</v>
      </c>
      <c r="P291" s="7">
        <v>18</v>
      </c>
      <c r="Q291" s="7">
        <v>2</v>
      </c>
      <c r="R291" s="7">
        <v>1</v>
      </c>
      <c r="S291" s="7">
        <v>12</v>
      </c>
      <c r="T291" s="7">
        <v>1</v>
      </c>
      <c r="U291" s="7">
        <v>15</v>
      </c>
      <c r="V291" s="2">
        <f t="shared" si="45"/>
        <v>1.5322427149784947</v>
      </c>
      <c r="W291" s="7">
        <v>50</v>
      </c>
      <c r="X291" s="2">
        <f t="shared" si="38"/>
        <v>51.532242714978494</v>
      </c>
      <c r="Y291" s="2"/>
      <c r="Z291" s="2">
        <f t="shared" si="39"/>
        <v>101</v>
      </c>
      <c r="AA291" s="1">
        <f t="shared" si="40"/>
        <v>14.85148514851485</v>
      </c>
      <c r="AB291" s="1">
        <f t="shared" si="41"/>
        <v>12.871287128712872</v>
      </c>
      <c r="AC291" s="1">
        <f t="shared" si="42"/>
        <v>1.9801980198019802</v>
      </c>
      <c r="AD291" s="2">
        <f t="shared" si="43"/>
        <v>3.6071428571428572</v>
      </c>
      <c r="AE291" s="2">
        <f t="shared" si="44"/>
        <v>1.9801980198019784</v>
      </c>
      <c r="AF291" s="2">
        <f t="shared" si="46"/>
        <v>7.6612135748924732</v>
      </c>
    </row>
    <row r="292" spans="1:32" x14ac:dyDescent="0.35">
      <c r="A292" s="2" t="s">
        <v>680</v>
      </c>
      <c r="B292" s="2" t="s">
        <v>390</v>
      </c>
      <c r="C292" s="2">
        <v>28</v>
      </c>
      <c r="D292" s="2">
        <v>8.1</v>
      </c>
      <c r="E292" s="7">
        <v>0</v>
      </c>
      <c r="F292" s="7">
        <v>0</v>
      </c>
      <c r="G292" s="7">
        <v>0</v>
      </c>
      <c r="H292" s="7">
        <v>6</v>
      </c>
      <c r="I292" s="7">
        <v>0</v>
      </c>
      <c r="J292" s="7">
        <v>0</v>
      </c>
      <c r="K292" s="7">
        <v>0</v>
      </c>
      <c r="L292" s="7">
        <v>6</v>
      </c>
      <c r="M292" s="7">
        <v>2</v>
      </c>
      <c r="N292" s="7">
        <v>9</v>
      </c>
      <c r="O292" s="7">
        <v>6</v>
      </c>
      <c r="P292" s="7">
        <v>6</v>
      </c>
      <c r="Q292" s="7">
        <v>2</v>
      </c>
      <c r="R292" s="7">
        <v>0</v>
      </c>
      <c r="S292" s="7">
        <v>5</v>
      </c>
      <c r="T292" s="7">
        <v>0</v>
      </c>
      <c r="U292" s="7">
        <v>4</v>
      </c>
      <c r="V292" s="2">
        <f t="shared" si="45"/>
        <v>-0.35634253701480634</v>
      </c>
      <c r="W292" s="7">
        <v>50</v>
      </c>
      <c r="X292" s="2">
        <f t="shared" si="38"/>
        <v>49.643657462985196</v>
      </c>
      <c r="Y292" s="2"/>
      <c r="Z292" s="2">
        <f t="shared" si="39"/>
        <v>34</v>
      </c>
      <c r="AA292" s="1">
        <f t="shared" si="40"/>
        <v>11.76470588235294</v>
      </c>
      <c r="AB292" s="1">
        <f t="shared" si="41"/>
        <v>14.705882352941178</v>
      </c>
      <c r="AC292" s="1">
        <f t="shared" si="42"/>
        <v>5.8823529411764701</v>
      </c>
      <c r="AD292" s="2">
        <f t="shared" si="43"/>
        <v>1.2142857142857142</v>
      </c>
      <c r="AE292" s="2">
        <f t="shared" si="44"/>
        <v>-2.9411764705882373</v>
      </c>
      <c r="AF292" s="2">
        <f t="shared" si="46"/>
        <v>-1.7817126850740317</v>
      </c>
    </row>
    <row r="293" spans="1:32" x14ac:dyDescent="0.35">
      <c r="A293" s="2" t="s">
        <v>681</v>
      </c>
      <c r="B293" s="2" t="s">
        <v>390</v>
      </c>
      <c r="C293" s="2">
        <v>28</v>
      </c>
      <c r="D293" s="2">
        <v>2.2000000000000002</v>
      </c>
      <c r="E293" s="7">
        <v>0</v>
      </c>
      <c r="F293" s="7">
        <v>2</v>
      </c>
      <c r="G293" s="7">
        <v>1</v>
      </c>
      <c r="H293" s="7">
        <v>19</v>
      </c>
      <c r="I293" s="7">
        <v>0</v>
      </c>
      <c r="J293" s="7">
        <v>0</v>
      </c>
      <c r="K293" s="7">
        <v>0</v>
      </c>
      <c r="L293" s="7">
        <v>16</v>
      </c>
      <c r="M293" s="7">
        <v>1</v>
      </c>
      <c r="N293" s="7">
        <v>11</v>
      </c>
      <c r="O293" s="7">
        <v>7</v>
      </c>
      <c r="P293" s="7">
        <v>4</v>
      </c>
      <c r="Q293" s="7">
        <v>2</v>
      </c>
      <c r="R293" s="7">
        <v>2</v>
      </c>
      <c r="S293" s="7">
        <v>8</v>
      </c>
      <c r="T293" s="7">
        <v>0</v>
      </c>
      <c r="U293" s="7">
        <v>16</v>
      </c>
      <c r="V293" s="2">
        <f t="shared" si="45"/>
        <v>9.7054730983302413</v>
      </c>
      <c r="W293" s="7">
        <v>50</v>
      </c>
      <c r="X293" s="2">
        <f t="shared" si="38"/>
        <v>59.705473098330245</v>
      </c>
      <c r="Y293" s="2"/>
      <c r="Z293" s="2">
        <f t="shared" si="39"/>
        <v>70</v>
      </c>
      <c r="AA293" s="1">
        <f t="shared" si="40"/>
        <v>22.857142857142858</v>
      </c>
      <c r="AB293" s="1">
        <f t="shared" si="41"/>
        <v>14.285714285714285</v>
      </c>
      <c r="AC293" s="1">
        <f t="shared" si="42"/>
        <v>2.8571428571428572</v>
      </c>
      <c r="AD293" s="2">
        <f t="shared" si="43"/>
        <v>2.5</v>
      </c>
      <c r="AE293" s="2">
        <f t="shared" si="44"/>
        <v>8.571428571428573</v>
      </c>
      <c r="AF293" s="2">
        <f t="shared" si="46"/>
        <v>48.52736549165121</v>
      </c>
    </row>
    <row r="294" spans="1:32" x14ac:dyDescent="0.35">
      <c r="A294" s="2" t="s">
        <v>682</v>
      </c>
      <c r="B294" s="2" t="s">
        <v>390</v>
      </c>
      <c r="C294" s="2">
        <v>28</v>
      </c>
      <c r="D294" s="2">
        <v>3.4</v>
      </c>
      <c r="E294" s="7">
        <v>4</v>
      </c>
      <c r="F294" s="7">
        <v>3</v>
      </c>
      <c r="G294" s="7">
        <v>0</v>
      </c>
      <c r="H294" s="7">
        <v>35</v>
      </c>
      <c r="I294" s="7">
        <v>0</v>
      </c>
      <c r="J294" s="7">
        <v>0</v>
      </c>
      <c r="K294" s="7">
        <v>0</v>
      </c>
      <c r="L294" s="7">
        <v>45</v>
      </c>
      <c r="N294" s="7">
        <v>33</v>
      </c>
      <c r="O294" s="7">
        <v>18</v>
      </c>
      <c r="P294" s="7">
        <v>17</v>
      </c>
      <c r="Q294" s="7">
        <v>6</v>
      </c>
      <c r="R294" s="7">
        <v>1</v>
      </c>
      <c r="S294" s="7">
        <v>17</v>
      </c>
      <c r="T294" s="7">
        <v>2</v>
      </c>
      <c r="U294" s="7">
        <v>31</v>
      </c>
      <c r="V294" s="2">
        <f t="shared" si="45"/>
        <v>22.510155675173291</v>
      </c>
      <c r="W294" s="7">
        <v>50</v>
      </c>
      <c r="X294" s="2">
        <f t="shared" si="38"/>
        <v>72.510155675173294</v>
      </c>
      <c r="Y294" s="2"/>
      <c r="Z294" s="2">
        <f t="shared" si="39"/>
        <v>186</v>
      </c>
      <c r="AA294" s="1">
        <f t="shared" si="40"/>
        <v>16.666666666666664</v>
      </c>
      <c r="AB294" s="1">
        <f t="shared" si="41"/>
        <v>9.67741935483871</v>
      </c>
      <c r="AC294" s="1">
        <f t="shared" si="42"/>
        <v>3.225806451612903</v>
      </c>
      <c r="AD294" s="2">
        <f t="shared" si="43"/>
        <v>6.6428571428571432</v>
      </c>
      <c r="AE294" s="2">
        <f t="shared" si="44"/>
        <v>6.9892473118279543</v>
      </c>
      <c r="AF294" s="2">
        <f t="shared" si="46"/>
        <v>112.55077837586646</v>
      </c>
    </row>
    <row r="295" spans="1:32" x14ac:dyDescent="0.35">
      <c r="A295" s="2" t="s">
        <v>683</v>
      </c>
      <c r="B295" s="2" t="s">
        <v>390</v>
      </c>
      <c r="C295" s="2">
        <v>28</v>
      </c>
      <c r="D295" s="2">
        <v>3.57</v>
      </c>
      <c r="E295" s="7">
        <v>1</v>
      </c>
      <c r="F295" s="7">
        <v>1</v>
      </c>
      <c r="G295" s="7">
        <v>0</v>
      </c>
      <c r="H295" s="7">
        <v>19</v>
      </c>
      <c r="I295" s="7">
        <v>0</v>
      </c>
      <c r="J295" s="7">
        <v>0</v>
      </c>
      <c r="K295" s="7">
        <v>0</v>
      </c>
      <c r="L295" s="7">
        <v>17</v>
      </c>
      <c r="M295" s="7">
        <v>2</v>
      </c>
      <c r="N295" s="7">
        <v>16</v>
      </c>
      <c r="O295" s="7">
        <v>7</v>
      </c>
      <c r="P295" s="7">
        <v>7</v>
      </c>
      <c r="Q295" s="7">
        <v>1</v>
      </c>
      <c r="R295" s="7">
        <v>2</v>
      </c>
      <c r="S295" s="7">
        <v>10</v>
      </c>
      <c r="T295" s="7">
        <v>0</v>
      </c>
      <c r="U295" s="7">
        <v>25</v>
      </c>
      <c r="V295" s="2">
        <f t="shared" si="45"/>
        <v>6.8598347628292942</v>
      </c>
      <c r="W295" s="7">
        <v>50</v>
      </c>
      <c r="X295" s="2">
        <f t="shared" si="38"/>
        <v>56.859834762829294</v>
      </c>
      <c r="Y295" s="2"/>
      <c r="Z295" s="2">
        <f t="shared" si="39"/>
        <v>81</v>
      </c>
      <c r="AA295" s="1">
        <f t="shared" si="40"/>
        <v>30.864197530864196</v>
      </c>
      <c r="AB295" s="1">
        <f t="shared" si="41"/>
        <v>14.814814814814813</v>
      </c>
      <c r="AC295" s="1">
        <f t="shared" si="42"/>
        <v>1.2345679012345678</v>
      </c>
      <c r="AD295" s="2">
        <f t="shared" si="43"/>
        <v>2.8928571428571428</v>
      </c>
      <c r="AE295" s="2">
        <f t="shared" si="44"/>
        <v>16.049382716049383</v>
      </c>
      <c r="AF295" s="2">
        <f t="shared" si="46"/>
        <v>34.299173814146471</v>
      </c>
    </row>
    <row r="296" spans="1:32" x14ac:dyDescent="0.35">
      <c r="A296" s="2" t="s">
        <v>684</v>
      </c>
      <c r="B296" s="2" t="s">
        <v>390</v>
      </c>
      <c r="C296" s="2">
        <v>28</v>
      </c>
      <c r="D296" s="2">
        <v>3.18</v>
      </c>
      <c r="E296" s="7">
        <v>4</v>
      </c>
      <c r="F296" s="7">
        <v>3</v>
      </c>
      <c r="G296" s="7">
        <v>0</v>
      </c>
      <c r="H296" s="7">
        <v>59</v>
      </c>
      <c r="I296" s="7">
        <v>1</v>
      </c>
      <c r="J296" s="7">
        <v>0</v>
      </c>
      <c r="K296" s="7">
        <v>0</v>
      </c>
      <c r="L296" s="7">
        <v>65</v>
      </c>
      <c r="N296" s="7">
        <v>47</v>
      </c>
      <c r="O296" s="7">
        <v>24</v>
      </c>
      <c r="P296" s="7">
        <v>23</v>
      </c>
      <c r="Q296" s="7">
        <v>10</v>
      </c>
      <c r="R296" s="7">
        <v>7</v>
      </c>
      <c r="S296" s="7">
        <v>21</v>
      </c>
      <c r="T296" s="7">
        <v>2</v>
      </c>
      <c r="U296" s="7">
        <v>70</v>
      </c>
      <c r="V296" s="2">
        <f t="shared" si="45"/>
        <v>71.882264436172775</v>
      </c>
      <c r="W296" s="7">
        <v>50</v>
      </c>
      <c r="X296" s="2">
        <f t="shared" si="38"/>
        <v>121.88226443617278</v>
      </c>
      <c r="Y296" s="2"/>
      <c r="Z296" s="2">
        <f t="shared" si="39"/>
        <v>270</v>
      </c>
      <c r="AA296" s="1">
        <f t="shared" si="40"/>
        <v>25.925925925925924</v>
      </c>
      <c r="AB296" s="1">
        <f t="shared" si="41"/>
        <v>10.37037037037037</v>
      </c>
      <c r="AC296" s="1">
        <f t="shared" si="42"/>
        <v>3.7037037037037033</v>
      </c>
      <c r="AD296" s="2">
        <f t="shared" si="43"/>
        <v>9.6428571428571423</v>
      </c>
      <c r="AE296" s="2">
        <f t="shared" si="44"/>
        <v>15.555555555555554</v>
      </c>
      <c r="AF296" s="2">
        <f t="shared" si="46"/>
        <v>359.41132218086386</v>
      </c>
    </row>
    <row r="297" spans="1:32" x14ac:dyDescent="0.35">
      <c r="A297" s="2" t="s">
        <v>685</v>
      </c>
      <c r="B297" s="2" t="s">
        <v>390</v>
      </c>
      <c r="C297" s="2">
        <v>28</v>
      </c>
      <c r="D297" s="2">
        <v>5.21</v>
      </c>
      <c r="E297" s="7">
        <v>1</v>
      </c>
      <c r="F297" s="7">
        <v>1</v>
      </c>
      <c r="G297" s="7">
        <v>1</v>
      </c>
      <c r="H297" s="7">
        <v>15</v>
      </c>
      <c r="I297" s="7">
        <v>0</v>
      </c>
      <c r="J297" s="7">
        <v>0</v>
      </c>
      <c r="K297" s="7">
        <v>0</v>
      </c>
      <c r="L297" s="7">
        <v>19</v>
      </c>
      <c r="N297" s="7">
        <v>23</v>
      </c>
      <c r="O297" s="7">
        <v>12</v>
      </c>
      <c r="P297" s="7">
        <v>11</v>
      </c>
      <c r="Q297" s="7">
        <v>3</v>
      </c>
      <c r="R297" s="7">
        <v>3</v>
      </c>
      <c r="S297" s="7">
        <v>7</v>
      </c>
      <c r="T297" s="7">
        <v>0</v>
      </c>
      <c r="U297" s="7">
        <v>16</v>
      </c>
      <c r="V297" s="2">
        <f t="shared" si="45"/>
        <v>5.2832073328371676</v>
      </c>
      <c r="W297" s="7">
        <v>50</v>
      </c>
      <c r="X297" s="2">
        <f t="shared" si="38"/>
        <v>55.283207332837165</v>
      </c>
      <c r="Y297" s="2"/>
      <c r="Z297" s="2">
        <f t="shared" si="39"/>
        <v>90</v>
      </c>
      <c r="AA297" s="1">
        <f t="shared" si="40"/>
        <v>17.777777777777779</v>
      </c>
      <c r="AB297" s="1">
        <f t="shared" si="41"/>
        <v>11.111111111111111</v>
      </c>
      <c r="AC297" s="1">
        <f t="shared" si="42"/>
        <v>3.3333333333333335</v>
      </c>
      <c r="AD297" s="2">
        <f t="shared" si="43"/>
        <v>3.2142857142857144</v>
      </c>
      <c r="AE297" s="2">
        <f t="shared" si="44"/>
        <v>6.6666666666666679</v>
      </c>
      <c r="AF297" s="2">
        <f t="shared" si="46"/>
        <v>26.416036664185839</v>
      </c>
    </row>
    <row r="298" spans="1:32" x14ac:dyDescent="0.35">
      <c r="A298" s="2" t="s">
        <v>686</v>
      </c>
      <c r="B298" s="2" t="s">
        <v>390</v>
      </c>
      <c r="C298" s="2">
        <v>28</v>
      </c>
      <c r="D298" s="2">
        <v>5.4</v>
      </c>
      <c r="E298" s="7">
        <v>1</v>
      </c>
      <c r="F298" s="7">
        <v>0</v>
      </c>
      <c r="G298" s="7">
        <v>0</v>
      </c>
      <c r="H298" s="7">
        <v>4</v>
      </c>
      <c r="I298" s="7">
        <v>0</v>
      </c>
      <c r="J298" s="7">
        <v>0</v>
      </c>
      <c r="K298" s="7">
        <v>0</v>
      </c>
      <c r="L298" s="7">
        <v>8</v>
      </c>
      <c r="M298" s="7">
        <v>1</v>
      </c>
      <c r="N298" s="7">
        <v>13</v>
      </c>
      <c r="O298" s="7">
        <v>5</v>
      </c>
      <c r="P298" s="7">
        <v>5</v>
      </c>
      <c r="Q298" s="7">
        <v>2</v>
      </c>
      <c r="R298" s="7">
        <v>0</v>
      </c>
      <c r="S298" s="7">
        <v>0</v>
      </c>
      <c r="T298" s="7">
        <v>0</v>
      </c>
      <c r="U298" s="7">
        <v>6</v>
      </c>
      <c r="V298" s="2">
        <f t="shared" si="45"/>
        <v>5.398008911166805</v>
      </c>
      <c r="W298" s="7">
        <v>50</v>
      </c>
      <c r="X298" s="2">
        <f t="shared" si="38"/>
        <v>55.398008911166805</v>
      </c>
      <c r="Y298" s="2"/>
      <c r="Z298" s="2">
        <f t="shared" si="39"/>
        <v>38</v>
      </c>
      <c r="AA298" s="1">
        <f t="shared" si="40"/>
        <v>15.789473684210526</v>
      </c>
      <c r="AB298" s="1">
        <f t="shared" si="41"/>
        <v>0</v>
      </c>
      <c r="AC298" s="1">
        <f t="shared" si="42"/>
        <v>5.2631578947368416</v>
      </c>
      <c r="AD298" s="2">
        <f t="shared" si="43"/>
        <v>1.3571428571428572</v>
      </c>
      <c r="AE298" s="2">
        <f t="shared" si="44"/>
        <v>15.789473684210526</v>
      </c>
      <c r="AF298" s="2">
        <f t="shared" si="46"/>
        <v>26.990044555834025</v>
      </c>
    </row>
    <row r="299" spans="1:32" x14ac:dyDescent="0.35">
      <c r="A299" s="2" t="s">
        <v>687</v>
      </c>
      <c r="B299" s="2" t="s">
        <v>388</v>
      </c>
      <c r="C299" s="2">
        <v>28</v>
      </c>
      <c r="D299" s="2">
        <v>7.71</v>
      </c>
      <c r="E299" s="7">
        <v>0</v>
      </c>
      <c r="F299" s="7">
        <v>1</v>
      </c>
      <c r="G299" s="7">
        <v>0</v>
      </c>
      <c r="H299" s="7">
        <v>1</v>
      </c>
      <c r="I299" s="7">
        <v>1</v>
      </c>
      <c r="J299" s="7">
        <v>0</v>
      </c>
      <c r="K299" s="7">
        <v>0</v>
      </c>
      <c r="L299" s="7">
        <v>4</v>
      </c>
      <c r="M299" s="7">
        <v>2</v>
      </c>
      <c r="N299" s="7">
        <v>6</v>
      </c>
      <c r="O299" s="7">
        <v>4</v>
      </c>
      <c r="P299" s="7">
        <v>4</v>
      </c>
      <c r="Q299" s="7">
        <v>1</v>
      </c>
      <c r="R299" s="7">
        <v>0</v>
      </c>
      <c r="S299" s="7">
        <v>6</v>
      </c>
      <c r="T299" s="7">
        <v>0</v>
      </c>
      <c r="U299" s="7">
        <v>3</v>
      </c>
      <c r="V299" s="2">
        <f t="shared" si="45"/>
        <v>-1.2385085731389236</v>
      </c>
      <c r="W299" s="7">
        <v>50</v>
      </c>
      <c r="X299" s="2">
        <f t="shared" si="38"/>
        <v>48.761491426861078</v>
      </c>
      <c r="Y299" s="2"/>
      <c r="Z299" s="2">
        <f t="shared" si="39"/>
        <v>26</v>
      </c>
      <c r="AA299" s="1">
        <f t="shared" si="40"/>
        <v>11.538461538461538</v>
      </c>
      <c r="AB299" s="1">
        <f t="shared" si="41"/>
        <v>23.076923076923077</v>
      </c>
      <c r="AC299" s="1">
        <f t="shared" si="42"/>
        <v>3.8461538461538463</v>
      </c>
      <c r="AD299" s="2">
        <f t="shared" si="43"/>
        <v>0.9285714285714286</v>
      </c>
      <c r="AE299" s="2">
        <f t="shared" si="44"/>
        <v>-11.538461538461538</v>
      </c>
      <c r="AF299" s="2">
        <f t="shared" si="46"/>
        <v>-6.1925428656946178</v>
      </c>
    </row>
    <row r="300" spans="1:32" x14ac:dyDescent="0.35">
      <c r="A300" s="2" t="s">
        <v>688</v>
      </c>
      <c r="B300" s="2" t="s">
        <v>388</v>
      </c>
      <c r="C300" s="2">
        <v>28</v>
      </c>
      <c r="D300" s="2">
        <v>3.35</v>
      </c>
      <c r="E300" s="7">
        <v>1</v>
      </c>
      <c r="F300" s="7">
        <v>3</v>
      </c>
      <c r="G300" s="7">
        <v>0</v>
      </c>
      <c r="H300" s="7">
        <v>9</v>
      </c>
      <c r="I300" s="7">
        <v>9</v>
      </c>
      <c r="J300" s="7">
        <v>0</v>
      </c>
      <c r="K300" s="7">
        <v>0</v>
      </c>
      <c r="L300" s="7">
        <v>53</v>
      </c>
      <c r="M300" s="7">
        <v>2</v>
      </c>
      <c r="N300" s="7">
        <v>46</v>
      </c>
      <c r="O300" s="7">
        <v>20</v>
      </c>
      <c r="P300" s="7">
        <v>20</v>
      </c>
      <c r="Q300" s="7">
        <v>10</v>
      </c>
      <c r="R300" s="7">
        <v>3</v>
      </c>
      <c r="S300" s="7">
        <v>4</v>
      </c>
      <c r="T300" s="7">
        <v>0</v>
      </c>
      <c r="U300" s="7">
        <v>52</v>
      </c>
      <c r="V300" s="2">
        <f t="shared" si="45"/>
        <v>74.214213122827601</v>
      </c>
      <c r="W300" s="7">
        <v>50</v>
      </c>
      <c r="X300" s="2">
        <f t="shared" si="38"/>
        <v>124.2142131228276</v>
      </c>
      <c r="Y300" s="2"/>
      <c r="Z300" s="2">
        <f t="shared" si="39"/>
        <v>214</v>
      </c>
      <c r="AA300" s="1">
        <f t="shared" si="40"/>
        <v>24.299065420560748</v>
      </c>
      <c r="AB300" s="1">
        <f t="shared" si="41"/>
        <v>3.2710280373831773</v>
      </c>
      <c r="AC300" s="1">
        <f t="shared" si="42"/>
        <v>4.6728971962616823</v>
      </c>
      <c r="AD300" s="2">
        <f t="shared" si="43"/>
        <v>7.6428571428571432</v>
      </c>
      <c r="AE300" s="2">
        <f t="shared" si="44"/>
        <v>21.028037383177569</v>
      </c>
      <c r="AF300" s="2">
        <f t="shared" si="46"/>
        <v>371.07106561413798</v>
      </c>
    </row>
    <row r="301" spans="1:32" x14ac:dyDescent="0.35">
      <c r="A301" s="2" t="s">
        <v>689</v>
      </c>
      <c r="B301" s="2" t="s">
        <v>390</v>
      </c>
      <c r="C301" s="2">
        <v>28</v>
      </c>
      <c r="D301" s="2">
        <v>5.4</v>
      </c>
      <c r="E301" s="7">
        <v>3</v>
      </c>
      <c r="F301" s="7">
        <v>1</v>
      </c>
      <c r="G301" s="7">
        <v>0</v>
      </c>
      <c r="H301" s="7">
        <v>21</v>
      </c>
      <c r="I301" s="7">
        <v>0</v>
      </c>
      <c r="J301" s="7">
        <v>0</v>
      </c>
      <c r="K301" s="7">
        <v>0</v>
      </c>
      <c r="L301" s="7">
        <v>26</v>
      </c>
      <c r="M301" s="7">
        <v>2</v>
      </c>
      <c r="N301" s="7">
        <v>35</v>
      </c>
      <c r="O301" s="7">
        <v>20</v>
      </c>
      <c r="P301" s="7">
        <v>16</v>
      </c>
      <c r="Q301" s="7">
        <v>2</v>
      </c>
      <c r="R301" s="7">
        <v>1</v>
      </c>
      <c r="S301" s="7">
        <v>15</v>
      </c>
      <c r="T301" s="7">
        <v>1</v>
      </c>
      <c r="U301" s="7">
        <v>31</v>
      </c>
      <c r="V301" s="2">
        <f t="shared" si="45"/>
        <v>7.0617506332473594</v>
      </c>
      <c r="W301" s="7">
        <v>50</v>
      </c>
      <c r="X301" s="2">
        <f t="shared" si="38"/>
        <v>57.061750633247357</v>
      </c>
      <c r="Y301" s="2"/>
      <c r="Z301" s="2">
        <f t="shared" si="39"/>
        <v>131</v>
      </c>
      <c r="AA301" s="1">
        <f t="shared" si="40"/>
        <v>23.664122137404579</v>
      </c>
      <c r="AB301" s="1">
        <f t="shared" si="41"/>
        <v>12.213740458015266</v>
      </c>
      <c r="AC301" s="1">
        <f t="shared" si="42"/>
        <v>1.5267175572519083</v>
      </c>
      <c r="AD301" s="2">
        <f t="shared" si="43"/>
        <v>4.6785714285714288</v>
      </c>
      <c r="AE301" s="2">
        <f t="shared" si="44"/>
        <v>11.450381679389313</v>
      </c>
      <c r="AF301" s="2">
        <f t="shared" si="46"/>
        <v>35.308753166236798</v>
      </c>
    </row>
    <row r="302" spans="1:32" x14ac:dyDescent="0.35">
      <c r="A302" s="2" t="s">
        <v>690</v>
      </c>
      <c r="B302" s="2" t="s">
        <v>390</v>
      </c>
      <c r="C302" s="2">
        <v>28</v>
      </c>
      <c r="D302" s="2">
        <v>6.44</v>
      </c>
      <c r="E302" s="7">
        <v>0</v>
      </c>
      <c r="F302" s="7">
        <v>4</v>
      </c>
      <c r="G302" s="7">
        <v>3</v>
      </c>
      <c r="H302" s="7">
        <v>22</v>
      </c>
      <c r="I302" s="7">
        <v>0</v>
      </c>
      <c r="J302" s="7">
        <v>0</v>
      </c>
      <c r="K302" s="7">
        <v>0</v>
      </c>
      <c r="L302" s="7">
        <v>36</v>
      </c>
      <c r="M302" s="7">
        <v>1</v>
      </c>
      <c r="N302" s="7">
        <v>45</v>
      </c>
      <c r="O302" s="7">
        <v>28</v>
      </c>
      <c r="P302" s="7">
        <v>26</v>
      </c>
      <c r="Q302" s="7">
        <v>3</v>
      </c>
      <c r="R302" s="7">
        <v>3</v>
      </c>
      <c r="S302" s="7">
        <v>13</v>
      </c>
      <c r="T302" s="7">
        <v>1</v>
      </c>
      <c r="U302" s="7">
        <v>23</v>
      </c>
      <c r="V302" s="2">
        <f t="shared" si="45"/>
        <v>5.3115190175449047</v>
      </c>
      <c r="W302" s="7">
        <v>50</v>
      </c>
      <c r="X302" s="2">
        <f t="shared" si="38"/>
        <v>55.311519017544903</v>
      </c>
      <c r="Y302" s="2"/>
      <c r="Z302" s="2">
        <f t="shared" si="39"/>
        <v>170</v>
      </c>
      <c r="AA302" s="1">
        <f t="shared" si="40"/>
        <v>13.529411764705882</v>
      </c>
      <c r="AB302" s="1">
        <f t="shared" si="41"/>
        <v>9.4117647058823533</v>
      </c>
      <c r="AC302" s="1">
        <f t="shared" si="42"/>
        <v>1.7647058823529411</v>
      </c>
      <c r="AD302" s="2">
        <f t="shared" si="43"/>
        <v>6.0714285714285712</v>
      </c>
      <c r="AE302" s="2">
        <f t="shared" si="44"/>
        <v>4.117647058823529</v>
      </c>
      <c r="AF302" s="2">
        <f t="shared" si="46"/>
        <v>26.557595087724525</v>
      </c>
    </row>
    <row r="303" spans="1:32" x14ac:dyDescent="0.35">
      <c r="A303" s="2" t="s">
        <v>691</v>
      </c>
      <c r="B303" s="2" t="s">
        <v>390</v>
      </c>
      <c r="C303" s="2">
        <v>29</v>
      </c>
      <c r="D303" s="2">
        <v>6.22</v>
      </c>
      <c r="E303" s="7">
        <v>0</v>
      </c>
      <c r="F303" s="7">
        <v>2</v>
      </c>
      <c r="G303" s="7">
        <v>0</v>
      </c>
      <c r="H303" s="7">
        <v>56</v>
      </c>
      <c r="I303" s="7">
        <v>0</v>
      </c>
      <c r="J303" s="7">
        <v>0</v>
      </c>
      <c r="K303" s="7">
        <v>0</v>
      </c>
      <c r="L303" s="7">
        <v>55</v>
      </c>
      <c r="N303" s="7">
        <v>66</v>
      </c>
      <c r="O303" s="7">
        <v>44</v>
      </c>
      <c r="P303" s="7">
        <v>38</v>
      </c>
      <c r="Q303" s="7">
        <v>13</v>
      </c>
      <c r="R303" s="7">
        <v>1</v>
      </c>
      <c r="S303" s="7">
        <v>30</v>
      </c>
      <c r="T303" s="7">
        <v>1</v>
      </c>
      <c r="U303" s="7">
        <v>61</v>
      </c>
      <c r="V303" s="2">
        <f t="shared" si="45"/>
        <v>35.477722865252943</v>
      </c>
      <c r="W303" s="7">
        <v>50</v>
      </c>
      <c r="X303" s="2">
        <f t="shared" si="38"/>
        <v>85.477722865252943</v>
      </c>
      <c r="Y303" s="2"/>
      <c r="Z303" s="2">
        <f t="shared" si="39"/>
        <v>262</v>
      </c>
      <c r="AA303" s="1">
        <f t="shared" si="40"/>
        <v>23.282442748091604</v>
      </c>
      <c r="AB303" s="1">
        <f t="shared" si="41"/>
        <v>11.83206106870229</v>
      </c>
      <c r="AC303" s="1">
        <f t="shared" si="42"/>
        <v>4.9618320610687023</v>
      </c>
      <c r="AD303" s="2">
        <f t="shared" si="43"/>
        <v>9.0344827586206904</v>
      </c>
      <c r="AE303" s="2">
        <f t="shared" si="44"/>
        <v>11.450381679389315</v>
      </c>
      <c r="AF303" s="2">
        <f t="shared" si="46"/>
        <v>177.38861432626473</v>
      </c>
    </row>
    <row r="304" spans="1:32" x14ac:dyDescent="0.35">
      <c r="A304" s="2" t="s">
        <v>692</v>
      </c>
      <c r="B304" s="2" t="s">
        <v>390</v>
      </c>
      <c r="C304" s="2">
        <v>29</v>
      </c>
      <c r="D304" s="2">
        <v>4.6100000000000003</v>
      </c>
      <c r="E304" s="7">
        <v>1</v>
      </c>
      <c r="F304" s="7">
        <v>0</v>
      </c>
      <c r="G304" s="7">
        <v>2</v>
      </c>
      <c r="H304" s="7">
        <v>31</v>
      </c>
      <c r="I304" s="7">
        <v>1</v>
      </c>
      <c r="J304" s="7">
        <v>0</v>
      </c>
      <c r="K304" s="7">
        <v>0</v>
      </c>
      <c r="L304" s="7">
        <v>56</v>
      </c>
      <c r="M304" s="7">
        <v>2</v>
      </c>
      <c r="N304" s="7">
        <v>47</v>
      </c>
      <c r="O304" s="7">
        <v>29</v>
      </c>
      <c r="P304" s="7">
        <v>29</v>
      </c>
      <c r="Q304" s="7">
        <v>7</v>
      </c>
      <c r="R304" s="7">
        <v>2</v>
      </c>
      <c r="S304" s="7">
        <v>16</v>
      </c>
      <c r="T304" s="7">
        <v>0</v>
      </c>
      <c r="U304" s="7">
        <v>41</v>
      </c>
      <c r="V304" s="2">
        <f t="shared" si="45"/>
        <v>25.024740770017608</v>
      </c>
      <c r="W304" s="7">
        <v>50</v>
      </c>
      <c r="X304" s="2">
        <f t="shared" si="38"/>
        <v>75.024740770017615</v>
      </c>
      <c r="Y304" s="2"/>
      <c r="Z304" s="2">
        <f t="shared" si="39"/>
        <v>235</v>
      </c>
      <c r="AA304" s="1">
        <f t="shared" si="40"/>
        <v>17.446808510638299</v>
      </c>
      <c r="AB304" s="1">
        <f t="shared" si="41"/>
        <v>7.6595744680851059</v>
      </c>
      <c r="AC304" s="1">
        <f t="shared" si="42"/>
        <v>2.9787234042553195</v>
      </c>
      <c r="AD304" s="2">
        <f t="shared" si="43"/>
        <v>8.1034482758620694</v>
      </c>
      <c r="AE304" s="2">
        <f t="shared" si="44"/>
        <v>9.7872340425531927</v>
      </c>
      <c r="AF304" s="2">
        <f t="shared" si="46"/>
        <v>125.12370385008805</v>
      </c>
    </row>
    <row r="305" spans="1:32" x14ac:dyDescent="0.35">
      <c r="A305" s="2" t="s">
        <v>693</v>
      </c>
      <c r="B305" s="2" t="s">
        <v>390</v>
      </c>
      <c r="C305" s="2">
        <v>29</v>
      </c>
      <c r="D305" s="2">
        <v>5.87</v>
      </c>
      <c r="E305" s="7">
        <v>2</v>
      </c>
      <c r="F305" s="7">
        <v>5</v>
      </c>
      <c r="G305" s="7">
        <v>1</v>
      </c>
      <c r="H305" s="7">
        <v>26</v>
      </c>
      <c r="I305" s="7">
        <v>10</v>
      </c>
      <c r="J305" s="7">
        <v>0</v>
      </c>
      <c r="K305" s="7">
        <v>0</v>
      </c>
      <c r="L305" s="7">
        <v>79</v>
      </c>
      <c r="M305" s="7">
        <v>2</v>
      </c>
      <c r="N305" s="7">
        <v>93</v>
      </c>
      <c r="O305" s="7">
        <v>56</v>
      </c>
      <c r="P305" s="7">
        <v>52</v>
      </c>
      <c r="Q305" s="7">
        <v>19</v>
      </c>
      <c r="R305" s="7">
        <v>6</v>
      </c>
      <c r="S305" s="7">
        <v>35</v>
      </c>
      <c r="T305" s="7">
        <v>1</v>
      </c>
      <c r="U305" s="7">
        <v>68</v>
      </c>
      <c r="V305" s="2">
        <f t="shared" si="45"/>
        <v>53.678944915766905</v>
      </c>
      <c r="W305" s="7">
        <v>50</v>
      </c>
      <c r="X305" s="2">
        <f t="shared" si="38"/>
        <v>103.67894491576691</v>
      </c>
      <c r="Y305" s="2"/>
      <c r="Z305" s="2">
        <f t="shared" si="39"/>
        <v>373</v>
      </c>
      <c r="AA305" s="1">
        <f t="shared" si="40"/>
        <v>18.230563002680967</v>
      </c>
      <c r="AB305" s="1">
        <f t="shared" si="41"/>
        <v>10.991957104557642</v>
      </c>
      <c r="AC305" s="1">
        <f t="shared" si="42"/>
        <v>5.0938337801608577</v>
      </c>
      <c r="AD305" s="2">
        <f t="shared" si="43"/>
        <v>12.862068965517242</v>
      </c>
      <c r="AE305" s="2">
        <f t="shared" si="44"/>
        <v>7.2386058981233248</v>
      </c>
      <c r="AF305" s="2">
        <f t="shared" si="46"/>
        <v>268.39472457883454</v>
      </c>
    </row>
    <row r="306" spans="1:32" x14ac:dyDescent="0.35">
      <c r="A306" s="2" t="s">
        <v>694</v>
      </c>
      <c r="B306" s="2" t="s">
        <v>390</v>
      </c>
      <c r="C306" s="2">
        <v>29</v>
      </c>
      <c r="D306" s="2">
        <v>5.53</v>
      </c>
      <c r="E306" s="7">
        <v>4</v>
      </c>
      <c r="F306" s="7">
        <v>2</v>
      </c>
      <c r="G306" s="7">
        <v>0</v>
      </c>
      <c r="H306" s="7">
        <v>48</v>
      </c>
      <c r="I306" s="7">
        <v>0</v>
      </c>
      <c r="J306" s="7">
        <v>0</v>
      </c>
      <c r="K306" s="7">
        <v>0</v>
      </c>
      <c r="L306" s="7">
        <v>55</v>
      </c>
      <c r="M306" s="7">
        <v>1</v>
      </c>
      <c r="N306" s="7">
        <v>60</v>
      </c>
      <c r="O306" s="7">
        <v>37</v>
      </c>
      <c r="P306" s="7">
        <v>34</v>
      </c>
      <c r="Q306" s="7">
        <v>7</v>
      </c>
      <c r="R306" s="7">
        <v>3</v>
      </c>
      <c r="S306" s="7">
        <v>25</v>
      </c>
      <c r="T306" s="7">
        <v>4</v>
      </c>
      <c r="U306" s="7">
        <v>66</v>
      </c>
      <c r="V306" s="2">
        <f t="shared" si="45"/>
        <v>28.219947724403465</v>
      </c>
      <c r="W306" s="7">
        <v>50</v>
      </c>
      <c r="X306" s="2">
        <f t="shared" si="38"/>
        <v>78.219947724403468</v>
      </c>
      <c r="Y306" s="2"/>
      <c r="Z306" s="2">
        <f t="shared" si="39"/>
        <v>254</v>
      </c>
      <c r="AA306" s="1">
        <f t="shared" si="40"/>
        <v>25.984251968503933</v>
      </c>
      <c r="AB306" s="1">
        <f t="shared" si="41"/>
        <v>11.023622047244094</v>
      </c>
      <c r="AC306" s="1">
        <f t="shared" si="42"/>
        <v>2.7559055118110236</v>
      </c>
      <c r="AD306" s="2">
        <f t="shared" si="43"/>
        <v>8.7586206896551726</v>
      </c>
      <c r="AE306" s="2">
        <f t="shared" si="44"/>
        <v>14.960629921259839</v>
      </c>
      <c r="AF306" s="2">
        <f t="shared" si="46"/>
        <v>141.09973862201733</v>
      </c>
    </row>
    <row r="307" spans="1:32" x14ac:dyDescent="0.35">
      <c r="A307" s="2" t="s">
        <v>695</v>
      </c>
      <c r="B307" s="2" t="s">
        <v>390</v>
      </c>
      <c r="C307" s="2">
        <v>29</v>
      </c>
      <c r="D307" s="2">
        <v>5.48</v>
      </c>
      <c r="E307" s="7">
        <v>3</v>
      </c>
      <c r="F307" s="7">
        <v>0</v>
      </c>
      <c r="G307" s="7">
        <v>0</v>
      </c>
      <c r="H307" s="7">
        <v>26</v>
      </c>
      <c r="I307" s="7">
        <v>2</v>
      </c>
      <c r="J307" s="7">
        <v>0</v>
      </c>
      <c r="K307" s="7">
        <v>0</v>
      </c>
      <c r="L307" s="7">
        <v>44</v>
      </c>
      <c r="M307" s="7">
        <v>1</v>
      </c>
      <c r="N307" s="7">
        <v>45</v>
      </c>
      <c r="O307" s="7">
        <v>29</v>
      </c>
      <c r="P307" s="7">
        <v>27</v>
      </c>
      <c r="Q307" s="7">
        <v>9</v>
      </c>
      <c r="R307" s="7">
        <v>1</v>
      </c>
      <c r="S307" s="7">
        <v>18</v>
      </c>
      <c r="T307" s="7">
        <v>0</v>
      </c>
      <c r="U307" s="7">
        <v>35</v>
      </c>
      <c r="V307" s="2">
        <f t="shared" si="45"/>
        <v>20.591088790346568</v>
      </c>
      <c r="W307" s="7">
        <v>50</v>
      </c>
      <c r="X307" s="2">
        <f t="shared" si="38"/>
        <v>70.591088790346561</v>
      </c>
      <c r="Y307" s="2"/>
      <c r="Z307" s="2">
        <f t="shared" si="39"/>
        <v>197</v>
      </c>
      <c r="AA307" s="1">
        <f t="shared" si="40"/>
        <v>17.766497461928935</v>
      </c>
      <c r="AB307" s="1">
        <f t="shared" si="41"/>
        <v>9.6446700507614214</v>
      </c>
      <c r="AC307" s="1">
        <f t="shared" si="42"/>
        <v>4.5685279187817258</v>
      </c>
      <c r="AD307" s="2">
        <f t="shared" si="43"/>
        <v>6.7931034482758621</v>
      </c>
      <c r="AE307" s="2">
        <f t="shared" si="44"/>
        <v>8.1218274111675139</v>
      </c>
      <c r="AF307" s="2">
        <f t="shared" si="46"/>
        <v>102.95544395173285</v>
      </c>
    </row>
    <row r="308" spans="1:32" x14ac:dyDescent="0.35">
      <c r="A308" s="2" t="s">
        <v>696</v>
      </c>
      <c r="B308" s="2" t="s">
        <v>390</v>
      </c>
      <c r="C308" s="2">
        <v>29</v>
      </c>
      <c r="D308" s="2">
        <v>3.94</v>
      </c>
      <c r="E308" s="7">
        <v>2</v>
      </c>
      <c r="F308" s="7">
        <v>2</v>
      </c>
      <c r="G308" s="7">
        <v>0</v>
      </c>
      <c r="H308" s="7">
        <v>29</v>
      </c>
      <c r="I308" s="7">
        <v>0</v>
      </c>
      <c r="J308" s="7">
        <v>0</v>
      </c>
      <c r="K308" s="7">
        <v>0</v>
      </c>
      <c r="L308" s="7">
        <v>32</v>
      </c>
      <c r="N308" s="7">
        <v>40</v>
      </c>
      <c r="O308" s="7">
        <v>18</v>
      </c>
      <c r="P308" s="7">
        <v>14</v>
      </c>
      <c r="Q308" s="7">
        <v>4</v>
      </c>
      <c r="R308" s="7">
        <v>4</v>
      </c>
      <c r="S308" s="7">
        <v>14</v>
      </c>
      <c r="T308" s="7">
        <v>1</v>
      </c>
      <c r="U308" s="7">
        <v>30</v>
      </c>
      <c r="V308" s="2">
        <f t="shared" si="45"/>
        <v>12.705783566192682</v>
      </c>
      <c r="W308" s="7">
        <v>50</v>
      </c>
      <c r="X308" s="2">
        <f t="shared" si="38"/>
        <v>62.705783566192679</v>
      </c>
      <c r="Y308" s="2"/>
      <c r="Z308" s="2">
        <f t="shared" si="39"/>
        <v>154</v>
      </c>
      <c r="AA308" s="1">
        <f t="shared" si="40"/>
        <v>19.480519480519483</v>
      </c>
      <c r="AB308" s="1">
        <f t="shared" si="41"/>
        <v>11.688311688311687</v>
      </c>
      <c r="AC308" s="1">
        <f t="shared" si="42"/>
        <v>2.5974025974025974</v>
      </c>
      <c r="AD308" s="2">
        <f t="shared" si="43"/>
        <v>5.3103448275862073</v>
      </c>
      <c r="AE308" s="2">
        <f t="shared" si="44"/>
        <v>7.7922077922077957</v>
      </c>
      <c r="AF308" s="2">
        <f t="shared" si="46"/>
        <v>63.528917830963408</v>
      </c>
    </row>
    <row r="309" spans="1:32" x14ac:dyDescent="0.35">
      <c r="A309" s="2" t="s">
        <v>697</v>
      </c>
      <c r="B309" s="2" t="s">
        <v>390</v>
      </c>
      <c r="C309" s="2">
        <v>29</v>
      </c>
      <c r="D309" s="2">
        <v>6.75</v>
      </c>
      <c r="E309" s="7">
        <v>0</v>
      </c>
      <c r="F309" s="7">
        <v>0</v>
      </c>
      <c r="G309" s="7">
        <v>0</v>
      </c>
      <c r="H309" s="7">
        <v>9</v>
      </c>
      <c r="I309" s="7">
        <v>0</v>
      </c>
      <c r="J309" s="7">
        <v>0</v>
      </c>
      <c r="K309" s="7">
        <v>0</v>
      </c>
      <c r="L309" s="7">
        <v>12</v>
      </c>
      <c r="N309" s="7">
        <v>11</v>
      </c>
      <c r="O309" s="7">
        <v>9</v>
      </c>
      <c r="P309" s="7">
        <v>9</v>
      </c>
      <c r="Q309" s="7">
        <v>2</v>
      </c>
      <c r="R309" s="7">
        <v>0</v>
      </c>
      <c r="S309" s="7">
        <v>8</v>
      </c>
      <c r="T309" s="7">
        <v>0</v>
      </c>
      <c r="U309" s="7">
        <v>13</v>
      </c>
      <c r="V309" s="2">
        <f t="shared" si="45"/>
        <v>2.8626334690543969</v>
      </c>
      <c r="W309" s="7">
        <v>50</v>
      </c>
      <c r="X309" s="2">
        <f t="shared" si="38"/>
        <v>52.862633469054394</v>
      </c>
      <c r="Y309" s="2"/>
      <c r="Z309" s="2">
        <f t="shared" si="39"/>
        <v>55</v>
      </c>
      <c r="AA309" s="1">
        <f t="shared" si="40"/>
        <v>23.636363636363637</v>
      </c>
      <c r="AB309" s="1">
        <f t="shared" si="41"/>
        <v>14.545454545454545</v>
      </c>
      <c r="AC309" s="1">
        <f t="shared" si="42"/>
        <v>3.6363636363636362</v>
      </c>
      <c r="AD309" s="2">
        <f t="shared" si="43"/>
        <v>1.896551724137931</v>
      </c>
      <c r="AE309" s="2">
        <f t="shared" si="44"/>
        <v>9.0909090909090917</v>
      </c>
      <c r="AF309" s="2">
        <f t="shared" si="46"/>
        <v>14.313167345271983</v>
      </c>
    </row>
    <row r="310" spans="1:32" x14ac:dyDescent="0.35">
      <c r="A310" s="2" t="s">
        <v>698</v>
      </c>
      <c r="B310" s="2" t="s">
        <v>390</v>
      </c>
      <c r="C310" s="2">
        <v>29</v>
      </c>
      <c r="D310" s="2">
        <v>2.25</v>
      </c>
      <c r="E310" s="7">
        <v>0</v>
      </c>
      <c r="F310" s="7">
        <v>0</v>
      </c>
      <c r="G310" s="7">
        <v>0</v>
      </c>
      <c r="H310" s="7">
        <v>2</v>
      </c>
      <c r="I310" s="7">
        <v>0</v>
      </c>
      <c r="J310" s="7">
        <v>0</v>
      </c>
      <c r="K310" s="7">
        <v>0</v>
      </c>
      <c r="L310" s="7">
        <v>4</v>
      </c>
      <c r="N310" s="7">
        <v>3</v>
      </c>
      <c r="O310" s="7">
        <v>1</v>
      </c>
      <c r="P310" s="7">
        <v>1</v>
      </c>
      <c r="Q310" s="7">
        <v>0</v>
      </c>
      <c r="R310" s="7">
        <v>0</v>
      </c>
      <c r="S310" s="7">
        <v>1</v>
      </c>
      <c r="T310" s="7">
        <v>0</v>
      </c>
      <c r="U310" s="7">
        <v>3</v>
      </c>
      <c r="V310" s="2">
        <f t="shared" si="45"/>
        <v>0.64008455542343767</v>
      </c>
      <c r="W310" s="7">
        <v>50</v>
      </c>
      <c r="X310" s="2">
        <f t="shared" si="38"/>
        <v>50.640084555423435</v>
      </c>
      <c r="Y310" s="2"/>
      <c r="Z310" s="2">
        <f t="shared" si="39"/>
        <v>16</v>
      </c>
      <c r="AA310" s="1">
        <f t="shared" si="40"/>
        <v>18.75</v>
      </c>
      <c r="AB310" s="1">
        <f t="shared" si="41"/>
        <v>6.25</v>
      </c>
      <c r="AC310" s="1">
        <f t="shared" si="42"/>
        <v>0</v>
      </c>
      <c r="AD310" s="2">
        <f t="shared" si="43"/>
        <v>0.55172413793103448</v>
      </c>
      <c r="AE310" s="2">
        <f t="shared" si="44"/>
        <v>12.5</v>
      </c>
      <c r="AF310" s="2">
        <f t="shared" si="46"/>
        <v>3.2004227771171885</v>
      </c>
    </row>
    <row r="311" spans="1:32" x14ac:dyDescent="0.35">
      <c r="A311" s="2" t="s">
        <v>699</v>
      </c>
      <c r="B311" s="2" t="s">
        <v>390</v>
      </c>
      <c r="C311" s="2">
        <v>29</v>
      </c>
      <c r="D311" s="2">
        <v>4.3600000000000003</v>
      </c>
      <c r="E311" s="7">
        <v>6</v>
      </c>
      <c r="F311" s="7">
        <v>3</v>
      </c>
      <c r="G311" s="7">
        <v>0</v>
      </c>
      <c r="H311" s="7">
        <v>65</v>
      </c>
      <c r="I311" s="7">
        <v>0</v>
      </c>
      <c r="J311" s="7">
        <v>0</v>
      </c>
      <c r="K311" s="7">
        <v>0</v>
      </c>
      <c r="L311" s="7">
        <v>66</v>
      </c>
      <c r="N311" s="7">
        <v>61</v>
      </c>
      <c r="O311" s="7">
        <v>35</v>
      </c>
      <c r="P311" s="7">
        <v>32</v>
      </c>
      <c r="Q311" s="7">
        <v>7</v>
      </c>
      <c r="R311" s="7">
        <v>2</v>
      </c>
      <c r="S311" s="7">
        <v>24</v>
      </c>
      <c r="T311" s="7">
        <v>2</v>
      </c>
      <c r="U311" s="7">
        <v>62</v>
      </c>
      <c r="V311" s="2">
        <f t="shared" si="45"/>
        <v>34.992530333677628</v>
      </c>
      <c r="W311" s="7">
        <v>50</v>
      </c>
      <c r="X311" s="2">
        <f t="shared" si="38"/>
        <v>84.992530333677621</v>
      </c>
      <c r="Y311" s="2"/>
      <c r="Z311" s="2">
        <f t="shared" si="39"/>
        <v>285</v>
      </c>
      <c r="AA311" s="1">
        <f t="shared" si="40"/>
        <v>21.754385964912281</v>
      </c>
      <c r="AB311" s="1">
        <f t="shared" si="41"/>
        <v>9.1228070175438596</v>
      </c>
      <c r="AC311" s="1">
        <f t="shared" si="42"/>
        <v>2.4561403508771931</v>
      </c>
      <c r="AD311" s="2">
        <f t="shared" si="43"/>
        <v>9.8275862068965516</v>
      </c>
      <c r="AE311" s="2">
        <f t="shared" si="44"/>
        <v>12.631578947368421</v>
      </c>
      <c r="AF311" s="2">
        <f t="shared" si="46"/>
        <v>174.96265166838813</v>
      </c>
    </row>
    <row r="312" spans="1:32" x14ac:dyDescent="0.35">
      <c r="A312" s="2" t="s">
        <v>700</v>
      </c>
      <c r="B312" s="2" t="s">
        <v>390</v>
      </c>
      <c r="C312" s="2">
        <v>29</v>
      </c>
      <c r="D312" s="2">
        <v>5.08</v>
      </c>
      <c r="E312" s="7">
        <v>2</v>
      </c>
      <c r="F312" s="7">
        <v>0</v>
      </c>
      <c r="G312" s="7">
        <v>0</v>
      </c>
      <c r="H312" s="7">
        <v>30</v>
      </c>
      <c r="I312" s="7">
        <v>0</v>
      </c>
      <c r="J312" s="7">
        <v>0</v>
      </c>
      <c r="K312" s="7">
        <v>0</v>
      </c>
      <c r="L312" s="7">
        <v>33</v>
      </c>
      <c r="M312" s="7">
        <v>2</v>
      </c>
      <c r="N312" s="7">
        <v>37</v>
      </c>
      <c r="O312" s="7">
        <v>19</v>
      </c>
      <c r="P312" s="7">
        <v>19</v>
      </c>
      <c r="Q312" s="7">
        <v>6</v>
      </c>
      <c r="R312" s="7">
        <v>2</v>
      </c>
      <c r="S312" s="7">
        <v>11</v>
      </c>
      <c r="T312" s="7">
        <v>0</v>
      </c>
      <c r="U312" s="7">
        <v>28</v>
      </c>
      <c r="V312" s="2">
        <f t="shared" si="45"/>
        <v>15.436660617712572</v>
      </c>
      <c r="W312" s="7">
        <v>50</v>
      </c>
      <c r="X312" s="2">
        <f t="shared" si="38"/>
        <v>65.436660617712576</v>
      </c>
      <c r="Y312" s="2"/>
      <c r="Z312" s="2">
        <f t="shared" si="39"/>
        <v>151</v>
      </c>
      <c r="AA312" s="1">
        <f t="shared" si="40"/>
        <v>18.543046357615893</v>
      </c>
      <c r="AB312" s="1">
        <f t="shared" si="41"/>
        <v>8.6092715231788084</v>
      </c>
      <c r="AC312" s="1">
        <f t="shared" si="42"/>
        <v>3.9735099337748347</v>
      </c>
      <c r="AD312" s="2">
        <f t="shared" si="43"/>
        <v>5.2068965517241379</v>
      </c>
      <c r="AE312" s="2">
        <f t="shared" si="44"/>
        <v>9.9337748344370844</v>
      </c>
      <c r="AF312" s="2">
        <f t="shared" si="46"/>
        <v>77.183303088562866</v>
      </c>
    </row>
    <row r="313" spans="1:32" x14ac:dyDescent="0.35">
      <c r="A313" s="2" t="s">
        <v>701</v>
      </c>
      <c r="B313" s="2" t="s">
        <v>390</v>
      </c>
      <c r="C313" s="2">
        <v>29</v>
      </c>
      <c r="D313" s="2">
        <v>5.4</v>
      </c>
      <c r="E313" s="7">
        <v>1</v>
      </c>
      <c r="F313" s="7">
        <v>0</v>
      </c>
      <c r="G313" s="7">
        <v>0</v>
      </c>
      <c r="H313" s="7">
        <v>4</v>
      </c>
      <c r="I313" s="7">
        <v>0</v>
      </c>
      <c r="J313" s="7">
        <v>0</v>
      </c>
      <c r="K313" s="7">
        <v>0</v>
      </c>
      <c r="L313" s="7">
        <v>5</v>
      </c>
      <c r="N313" s="7">
        <v>3</v>
      </c>
      <c r="O313" s="7">
        <v>3</v>
      </c>
      <c r="P313" s="7">
        <v>3</v>
      </c>
      <c r="Q313" s="7">
        <v>2</v>
      </c>
      <c r="R313" s="7">
        <v>0</v>
      </c>
      <c r="S313" s="7">
        <v>2</v>
      </c>
      <c r="T313" s="7">
        <v>0</v>
      </c>
      <c r="U313" s="7">
        <v>5</v>
      </c>
      <c r="V313" s="2">
        <f t="shared" si="45"/>
        <v>4.4083322323512579</v>
      </c>
      <c r="W313" s="7">
        <v>50</v>
      </c>
      <c r="X313" s="2">
        <f t="shared" si="38"/>
        <v>54.408332232351256</v>
      </c>
      <c r="Y313" s="2"/>
      <c r="Z313" s="2">
        <f t="shared" si="39"/>
        <v>20</v>
      </c>
      <c r="AA313" s="1">
        <f t="shared" si="40"/>
        <v>25</v>
      </c>
      <c r="AB313" s="1">
        <f t="shared" si="41"/>
        <v>10</v>
      </c>
      <c r="AC313" s="1">
        <f t="shared" si="42"/>
        <v>10</v>
      </c>
      <c r="AD313" s="2">
        <f t="shared" si="43"/>
        <v>0.68965517241379315</v>
      </c>
      <c r="AE313" s="2">
        <f t="shared" si="44"/>
        <v>15</v>
      </c>
      <c r="AF313" s="2">
        <f t="shared" si="46"/>
        <v>22.041661161756288</v>
      </c>
    </row>
    <row r="314" spans="1:32" x14ac:dyDescent="0.35">
      <c r="A314" s="2" t="s">
        <v>702</v>
      </c>
      <c r="B314" s="2" t="s">
        <v>390</v>
      </c>
      <c r="C314" s="2">
        <v>29</v>
      </c>
      <c r="D314" s="2">
        <v>9</v>
      </c>
      <c r="E314" s="7">
        <v>0</v>
      </c>
      <c r="F314" s="7">
        <v>0</v>
      </c>
      <c r="G314" s="7">
        <v>0</v>
      </c>
      <c r="H314" s="7">
        <v>3</v>
      </c>
      <c r="I314" s="7">
        <v>0</v>
      </c>
      <c r="J314" s="7">
        <v>0</v>
      </c>
      <c r="K314" s="7">
        <v>0</v>
      </c>
      <c r="L314" s="7">
        <v>8</v>
      </c>
      <c r="N314" s="7">
        <v>15</v>
      </c>
      <c r="O314" s="7">
        <v>12</v>
      </c>
      <c r="P314" s="7">
        <v>8</v>
      </c>
      <c r="Q314" s="7">
        <v>1</v>
      </c>
      <c r="R314" s="7">
        <v>2</v>
      </c>
      <c r="S314" s="7">
        <v>1</v>
      </c>
      <c r="T314" s="7">
        <v>0</v>
      </c>
      <c r="U314" s="7">
        <v>8</v>
      </c>
      <c r="V314" s="2">
        <f t="shared" si="45"/>
        <v>1.4529742244367692</v>
      </c>
      <c r="W314" s="7">
        <v>50</v>
      </c>
      <c r="X314" s="2">
        <f t="shared" si="38"/>
        <v>51.452974224436772</v>
      </c>
      <c r="Y314" s="2"/>
      <c r="Z314" s="2">
        <f t="shared" si="39"/>
        <v>42</v>
      </c>
      <c r="AA314" s="1">
        <f t="shared" si="40"/>
        <v>19.047619047619047</v>
      </c>
      <c r="AB314" s="1">
        <f t="shared" si="41"/>
        <v>7.1428571428571423</v>
      </c>
      <c r="AC314" s="1">
        <f t="shared" si="42"/>
        <v>2.3809523809523809</v>
      </c>
      <c r="AD314" s="2">
        <f t="shared" si="43"/>
        <v>1.4482758620689655</v>
      </c>
      <c r="AE314" s="2">
        <f t="shared" si="44"/>
        <v>11.904761904761905</v>
      </c>
      <c r="AF314" s="2">
        <f t="shared" si="46"/>
        <v>7.2648711221838456</v>
      </c>
    </row>
    <row r="315" spans="1:32" x14ac:dyDescent="0.35">
      <c r="A315" s="2" t="s">
        <v>703</v>
      </c>
      <c r="B315" s="2" t="s">
        <v>390</v>
      </c>
      <c r="C315" s="2">
        <v>29</v>
      </c>
      <c r="D315" s="2">
        <v>9</v>
      </c>
      <c r="E315" s="7">
        <v>0</v>
      </c>
      <c r="F315" s="7">
        <v>0</v>
      </c>
      <c r="G315" s="7">
        <v>0</v>
      </c>
      <c r="H315" s="7">
        <v>1</v>
      </c>
      <c r="I315" s="7">
        <v>0</v>
      </c>
      <c r="J315" s="7">
        <v>0</v>
      </c>
      <c r="K315" s="7">
        <v>0</v>
      </c>
      <c r="L315" s="7">
        <v>1</v>
      </c>
      <c r="N315" s="7">
        <v>1</v>
      </c>
      <c r="O315" s="7">
        <v>1</v>
      </c>
      <c r="P315" s="7">
        <v>1</v>
      </c>
      <c r="Q315" s="7">
        <v>1</v>
      </c>
      <c r="R315" s="7">
        <v>0</v>
      </c>
      <c r="S315" s="7">
        <v>0</v>
      </c>
      <c r="T315" s="7">
        <v>0</v>
      </c>
      <c r="U315" s="7">
        <v>2</v>
      </c>
      <c r="V315" s="2">
        <f t="shared" si="45"/>
        <v>3.9956665345488176</v>
      </c>
      <c r="W315" s="7">
        <v>50</v>
      </c>
      <c r="X315" s="2">
        <f t="shared" si="38"/>
        <v>53.995666534548818</v>
      </c>
      <c r="Y315" s="2"/>
      <c r="Z315" s="2">
        <f t="shared" si="39"/>
        <v>4</v>
      </c>
      <c r="AA315" s="1">
        <f t="shared" si="40"/>
        <v>50</v>
      </c>
      <c r="AB315" s="1">
        <f t="shared" si="41"/>
        <v>0</v>
      </c>
      <c r="AC315" s="1">
        <f t="shared" si="42"/>
        <v>25</v>
      </c>
      <c r="AD315" s="2">
        <f t="shared" si="43"/>
        <v>0.13793103448275862</v>
      </c>
      <c r="AE315" s="2">
        <f t="shared" si="44"/>
        <v>50</v>
      </c>
      <c r="AF315" s="2">
        <f t="shared" si="46"/>
        <v>19.978332672744088</v>
      </c>
    </row>
    <row r="316" spans="1:32" x14ac:dyDescent="0.35">
      <c r="A316" s="2" t="s">
        <v>704</v>
      </c>
      <c r="B316" s="2" t="s">
        <v>390</v>
      </c>
      <c r="C316" s="2">
        <v>29</v>
      </c>
      <c r="D316" s="2">
        <v>5.23</v>
      </c>
      <c r="E316" s="7">
        <v>0</v>
      </c>
      <c r="F316" s="7">
        <v>1</v>
      </c>
      <c r="G316" s="7">
        <v>0</v>
      </c>
      <c r="H316" s="7">
        <v>9</v>
      </c>
      <c r="I316" s="7">
        <v>1</v>
      </c>
      <c r="J316" s="7">
        <v>0</v>
      </c>
      <c r="K316" s="7">
        <v>0</v>
      </c>
      <c r="L316" s="7">
        <v>10</v>
      </c>
      <c r="M316" s="7">
        <v>1</v>
      </c>
      <c r="N316" s="7">
        <v>10</v>
      </c>
      <c r="O316" s="7">
        <v>7</v>
      </c>
      <c r="P316" s="7">
        <v>6</v>
      </c>
      <c r="Q316" s="7">
        <v>0</v>
      </c>
      <c r="R316" s="7">
        <v>0</v>
      </c>
      <c r="S316" s="7">
        <v>5</v>
      </c>
      <c r="T316" s="7">
        <v>0</v>
      </c>
      <c r="U316" s="7">
        <v>8</v>
      </c>
      <c r="V316" s="2">
        <f t="shared" si="45"/>
        <v>0.49181185104685071</v>
      </c>
      <c r="W316" s="7">
        <v>50</v>
      </c>
      <c r="X316" s="2">
        <f t="shared" si="38"/>
        <v>50.491811851046847</v>
      </c>
      <c r="Y316" s="2"/>
      <c r="Z316" s="2">
        <f t="shared" si="39"/>
        <v>46</v>
      </c>
      <c r="AA316" s="1">
        <f t="shared" si="40"/>
        <v>17.391304347826086</v>
      </c>
      <c r="AB316" s="1">
        <f t="shared" si="41"/>
        <v>10.869565217391305</v>
      </c>
      <c r="AC316" s="1">
        <f t="shared" si="42"/>
        <v>0</v>
      </c>
      <c r="AD316" s="2">
        <f t="shared" si="43"/>
        <v>1.5862068965517242</v>
      </c>
      <c r="AE316" s="2">
        <f t="shared" si="44"/>
        <v>6.5217391304347814</v>
      </c>
      <c r="AF316" s="2">
        <f t="shared" si="46"/>
        <v>2.4590592552342536</v>
      </c>
    </row>
    <row r="317" spans="1:32" x14ac:dyDescent="0.35">
      <c r="A317" s="2" t="s">
        <v>705</v>
      </c>
      <c r="B317" s="2" t="s">
        <v>390</v>
      </c>
      <c r="C317" s="2">
        <v>29</v>
      </c>
      <c r="D317" s="2">
        <v>4.58</v>
      </c>
      <c r="E317" s="7">
        <v>0</v>
      </c>
      <c r="F317" s="7">
        <v>0</v>
      </c>
      <c r="G317" s="7">
        <v>0</v>
      </c>
      <c r="H317" s="7">
        <v>18</v>
      </c>
      <c r="I317" s="7">
        <v>0</v>
      </c>
      <c r="J317" s="7">
        <v>0</v>
      </c>
      <c r="K317" s="7">
        <v>0</v>
      </c>
      <c r="L317" s="7">
        <v>19</v>
      </c>
      <c r="M317" s="7">
        <v>2</v>
      </c>
      <c r="N317" s="7">
        <v>17</v>
      </c>
      <c r="O317" s="7">
        <v>13</v>
      </c>
      <c r="P317" s="7">
        <v>10</v>
      </c>
      <c r="Q317" s="7">
        <v>4</v>
      </c>
      <c r="R317" s="7">
        <v>0</v>
      </c>
      <c r="S317" s="7">
        <v>9</v>
      </c>
      <c r="T317" s="7">
        <v>0</v>
      </c>
      <c r="U317" s="7">
        <v>21</v>
      </c>
      <c r="V317" s="2">
        <f t="shared" si="45"/>
        <v>12.450851600161638</v>
      </c>
      <c r="W317" s="7">
        <v>50</v>
      </c>
      <c r="X317" s="2">
        <f t="shared" si="38"/>
        <v>62.450851600161641</v>
      </c>
      <c r="Y317" s="2"/>
      <c r="Z317" s="2">
        <f t="shared" si="39"/>
        <v>85</v>
      </c>
      <c r="AA317" s="1">
        <f t="shared" si="40"/>
        <v>24.705882352941178</v>
      </c>
      <c r="AB317" s="1">
        <f t="shared" si="41"/>
        <v>10.588235294117647</v>
      </c>
      <c r="AC317" s="1">
        <f t="shared" si="42"/>
        <v>4.7058823529411766</v>
      </c>
      <c r="AD317" s="2">
        <f t="shared" si="43"/>
        <v>2.9310344827586206</v>
      </c>
      <c r="AE317" s="2">
        <f t="shared" si="44"/>
        <v>14.117647058823531</v>
      </c>
      <c r="AF317" s="2">
        <f t="shared" si="46"/>
        <v>62.254258000808186</v>
      </c>
    </row>
    <row r="318" spans="1:32" x14ac:dyDescent="0.35">
      <c r="A318" s="2" t="s">
        <v>706</v>
      </c>
      <c r="B318" s="2" t="s">
        <v>390</v>
      </c>
      <c r="C318" s="2">
        <v>29</v>
      </c>
      <c r="D318" s="2">
        <v>7.01</v>
      </c>
      <c r="E318" s="7">
        <v>0</v>
      </c>
      <c r="F318" s="7">
        <v>2</v>
      </c>
      <c r="G318" s="7">
        <v>1</v>
      </c>
      <c r="H318" s="7">
        <v>24</v>
      </c>
      <c r="I318" s="7">
        <v>0</v>
      </c>
      <c r="J318" s="7">
        <v>0</v>
      </c>
      <c r="K318" s="7">
        <v>0</v>
      </c>
      <c r="L318" s="7">
        <v>25</v>
      </c>
      <c r="M318" s="7">
        <v>2</v>
      </c>
      <c r="N318" s="7">
        <v>34</v>
      </c>
      <c r="O318" s="7">
        <v>21</v>
      </c>
      <c r="P318" s="7">
        <v>20</v>
      </c>
      <c r="Q318" s="7">
        <v>4</v>
      </c>
      <c r="R318" s="7">
        <v>2</v>
      </c>
      <c r="S318" s="7">
        <v>16</v>
      </c>
      <c r="T318" s="7">
        <v>1</v>
      </c>
      <c r="U318" s="7">
        <v>18</v>
      </c>
      <c r="V318" s="2">
        <f t="shared" si="45"/>
        <v>2.3150552718131561</v>
      </c>
      <c r="W318" s="7">
        <v>50</v>
      </c>
      <c r="X318" s="2">
        <f t="shared" si="38"/>
        <v>52.315055271813158</v>
      </c>
      <c r="Y318" s="2"/>
      <c r="Z318" s="2">
        <f t="shared" si="39"/>
        <v>129</v>
      </c>
      <c r="AA318" s="1">
        <f t="shared" si="40"/>
        <v>13.953488372093023</v>
      </c>
      <c r="AB318" s="1">
        <f t="shared" si="41"/>
        <v>13.953488372093023</v>
      </c>
      <c r="AC318" s="1">
        <f t="shared" si="42"/>
        <v>3.1007751937984498</v>
      </c>
      <c r="AD318" s="2">
        <f t="shared" si="43"/>
        <v>4.4482758620689653</v>
      </c>
      <c r="AE318" s="2">
        <f t="shared" si="44"/>
        <v>0</v>
      </c>
      <c r="AF318" s="2">
        <f t="shared" si="46"/>
        <v>11.57527635906578</v>
      </c>
    </row>
    <row r="319" spans="1:32" x14ac:dyDescent="0.35">
      <c r="A319" s="2" t="s">
        <v>707</v>
      </c>
      <c r="B319" s="2" t="s">
        <v>388</v>
      </c>
      <c r="C319" s="2">
        <v>29</v>
      </c>
      <c r="D319" s="2">
        <v>4.17</v>
      </c>
      <c r="E319" s="7">
        <v>6</v>
      </c>
      <c r="F319" s="7">
        <v>4</v>
      </c>
      <c r="G319" s="7">
        <v>1</v>
      </c>
      <c r="H319" s="7">
        <v>21</v>
      </c>
      <c r="I319" s="7">
        <v>16</v>
      </c>
      <c r="J319" s="7">
        <v>0</v>
      </c>
      <c r="K319" s="7">
        <v>0</v>
      </c>
      <c r="L319" s="7">
        <v>110</v>
      </c>
      <c r="N319" s="7">
        <v>112</v>
      </c>
      <c r="O319" s="7">
        <v>54</v>
      </c>
      <c r="P319" s="7">
        <v>51</v>
      </c>
      <c r="Q319" s="7">
        <v>8</v>
      </c>
      <c r="R319" s="7">
        <v>4</v>
      </c>
      <c r="S319" s="7">
        <v>13</v>
      </c>
      <c r="T319" s="7">
        <v>0</v>
      </c>
      <c r="U319" s="7">
        <v>77</v>
      </c>
      <c r="V319" s="2">
        <f t="shared" si="45"/>
        <v>60.174394069878531</v>
      </c>
      <c r="W319" s="7">
        <v>50</v>
      </c>
      <c r="X319" s="2">
        <f t="shared" si="38"/>
        <v>110.17439406987853</v>
      </c>
      <c r="Y319" s="2"/>
      <c r="Z319" s="2">
        <f t="shared" si="39"/>
        <v>459</v>
      </c>
      <c r="AA319" s="1">
        <f t="shared" si="40"/>
        <v>16.775599128540307</v>
      </c>
      <c r="AB319" s="1">
        <f t="shared" si="41"/>
        <v>3.7037037037037033</v>
      </c>
      <c r="AC319" s="1">
        <f t="shared" si="42"/>
        <v>1.7429193899782136</v>
      </c>
      <c r="AD319" s="2">
        <f t="shared" si="43"/>
        <v>15.827586206896552</v>
      </c>
      <c r="AE319" s="2">
        <f t="shared" si="44"/>
        <v>13.071895424836605</v>
      </c>
      <c r="AF319" s="2">
        <f t="shared" si="46"/>
        <v>300.87197034939265</v>
      </c>
    </row>
    <row r="320" spans="1:32" x14ac:dyDescent="0.35">
      <c r="A320" s="2" t="s">
        <v>708</v>
      </c>
      <c r="B320" s="2" t="s">
        <v>390</v>
      </c>
      <c r="C320" s="2">
        <v>29</v>
      </c>
      <c r="D320" s="2">
        <v>2.0699999999999998</v>
      </c>
      <c r="E320" s="7">
        <v>4</v>
      </c>
      <c r="F320" s="7">
        <v>2</v>
      </c>
      <c r="G320" s="7">
        <v>3</v>
      </c>
      <c r="H320" s="7">
        <v>68</v>
      </c>
      <c r="I320" s="7">
        <v>1</v>
      </c>
      <c r="J320" s="7">
        <v>0</v>
      </c>
      <c r="K320" s="7">
        <v>0</v>
      </c>
      <c r="L320" s="7">
        <v>69</v>
      </c>
      <c r="M320" s="7">
        <v>2</v>
      </c>
      <c r="N320" s="7">
        <v>45</v>
      </c>
      <c r="O320" s="7">
        <v>18</v>
      </c>
      <c r="P320" s="7">
        <v>16</v>
      </c>
      <c r="Q320" s="7">
        <v>4</v>
      </c>
      <c r="R320" s="7">
        <v>6</v>
      </c>
      <c r="S320" s="7">
        <v>22</v>
      </c>
      <c r="T320" s="7">
        <v>0</v>
      </c>
      <c r="U320" s="7">
        <v>75</v>
      </c>
      <c r="V320" s="2">
        <f t="shared" si="45"/>
        <v>59.965113228826205</v>
      </c>
      <c r="W320" s="7">
        <v>50</v>
      </c>
      <c r="X320" s="2">
        <f t="shared" si="38"/>
        <v>109.9651132288262</v>
      </c>
      <c r="Y320" s="2"/>
      <c r="Z320" s="2">
        <f t="shared" si="39"/>
        <v>282</v>
      </c>
      <c r="AA320" s="1">
        <f t="shared" si="40"/>
        <v>26.595744680851062</v>
      </c>
      <c r="AB320" s="1">
        <f t="shared" si="41"/>
        <v>9.9290780141843982</v>
      </c>
      <c r="AC320" s="1">
        <f t="shared" si="42"/>
        <v>1.4184397163120568</v>
      </c>
      <c r="AD320" s="2">
        <f t="shared" si="43"/>
        <v>9.7241379310344822</v>
      </c>
      <c r="AE320" s="2">
        <f t="shared" si="44"/>
        <v>16.666666666666664</v>
      </c>
      <c r="AF320" s="2">
        <f t="shared" si="46"/>
        <v>299.82556614413102</v>
      </c>
    </row>
    <row r="321" spans="1:32" x14ac:dyDescent="0.35">
      <c r="A321" s="2" t="s">
        <v>709</v>
      </c>
      <c r="B321" s="2" t="s">
        <v>390</v>
      </c>
      <c r="C321" s="2">
        <v>29</v>
      </c>
      <c r="D321" s="2">
        <v>2.4500000000000002</v>
      </c>
      <c r="E321" s="7">
        <v>0</v>
      </c>
      <c r="F321" s="7">
        <v>0</v>
      </c>
      <c r="G321" s="7">
        <v>0</v>
      </c>
      <c r="H321" s="7">
        <v>14</v>
      </c>
      <c r="I321" s="7">
        <v>0</v>
      </c>
      <c r="J321" s="7">
        <v>0</v>
      </c>
      <c r="K321" s="7">
        <v>0</v>
      </c>
      <c r="L321" s="7">
        <v>11</v>
      </c>
      <c r="N321" s="7">
        <v>6</v>
      </c>
      <c r="O321" s="7">
        <v>3</v>
      </c>
      <c r="P321" s="7">
        <v>3</v>
      </c>
      <c r="Q321" s="7">
        <v>0</v>
      </c>
      <c r="R321" s="7">
        <v>0</v>
      </c>
      <c r="S321" s="7">
        <v>13</v>
      </c>
      <c r="T321" s="7">
        <v>0</v>
      </c>
      <c r="U321" s="7">
        <v>12</v>
      </c>
      <c r="V321" s="2">
        <f t="shared" si="45"/>
        <v>-1.9024970273483981E-2</v>
      </c>
      <c r="W321" s="7">
        <v>50</v>
      </c>
      <c r="X321" s="2">
        <f t="shared" si="38"/>
        <v>49.980975029726515</v>
      </c>
      <c r="Y321" s="2"/>
      <c r="Z321" s="2">
        <f t="shared" si="39"/>
        <v>52</v>
      </c>
      <c r="AA321" s="1">
        <f t="shared" si="40"/>
        <v>23.076923076923077</v>
      </c>
      <c r="AB321" s="1">
        <f t="shared" si="41"/>
        <v>25</v>
      </c>
      <c r="AC321" s="1">
        <f t="shared" si="42"/>
        <v>0</v>
      </c>
      <c r="AD321" s="2">
        <f t="shared" si="43"/>
        <v>1.7931034482758621</v>
      </c>
      <c r="AE321" s="2">
        <f t="shared" si="44"/>
        <v>-1.9230769230769234</v>
      </c>
      <c r="AF321" s="2">
        <f t="shared" si="46"/>
        <v>-9.512485136741991E-2</v>
      </c>
    </row>
    <row r="322" spans="1:32" x14ac:dyDescent="0.35">
      <c r="A322" s="2" t="s">
        <v>710</v>
      </c>
      <c r="B322" s="2" t="s">
        <v>390</v>
      </c>
      <c r="C322" s="2">
        <v>29</v>
      </c>
      <c r="D322" s="2">
        <v>0</v>
      </c>
      <c r="E322" s="7">
        <v>0</v>
      </c>
      <c r="F322" s="7">
        <v>0</v>
      </c>
      <c r="G322" s="7">
        <v>0</v>
      </c>
      <c r="H322" s="7">
        <v>1</v>
      </c>
      <c r="I322" s="7">
        <v>0</v>
      </c>
      <c r="J322" s="7">
        <v>0</v>
      </c>
      <c r="K322" s="7">
        <v>0</v>
      </c>
      <c r="L322" s="7">
        <v>1</v>
      </c>
      <c r="N322" s="7">
        <v>2</v>
      </c>
      <c r="O322" s="7">
        <v>0</v>
      </c>
      <c r="P322" s="7">
        <v>0</v>
      </c>
      <c r="Q322" s="7">
        <v>0</v>
      </c>
      <c r="R322" s="7">
        <v>0</v>
      </c>
      <c r="S322" s="7">
        <v>1</v>
      </c>
      <c r="T322" s="7">
        <v>0</v>
      </c>
      <c r="U322" s="7">
        <v>1</v>
      </c>
      <c r="V322" s="2" t="e">
        <f t="shared" si="45"/>
        <v>#DIV/0!</v>
      </c>
      <c r="W322" s="7">
        <v>50</v>
      </c>
      <c r="X322" s="2" t="e">
        <f t="shared" si="38"/>
        <v>#DIV/0!</v>
      </c>
      <c r="Y322" s="2"/>
      <c r="Z322" s="2">
        <f t="shared" si="39"/>
        <v>6</v>
      </c>
      <c r="AA322" s="1">
        <f t="shared" si="40"/>
        <v>16.666666666666664</v>
      </c>
      <c r="AB322" s="1">
        <f t="shared" si="41"/>
        <v>16.666666666666664</v>
      </c>
      <c r="AC322" s="1">
        <f t="shared" si="42"/>
        <v>0</v>
      </c>
      <c r="AD322" s="2">
        <f t="shared" si="43"/>
        <v>0.20689655172413793</v>
      </c>
      <c r="AE322" s="2">
        <f t="shared" si="44"/>
        <v>0</v>
      </c>
      <c r="AF322" s="2" t="e">
        <f t="shared" si="46"/>
        <v>#DIV/0!</v>
      </c>
    </row>
    <row r="323" spans="1:32" x14ac:dyDescent="0.35">
      <c r="A323" s="2" t="s">
        <v>711</v>
      </c>
      <c r="B323" s="2" t="s">
        <v>390</v>
      </c>
      <c r="C323" s="2">
        <v>29</v>
      </c>
      <c r="D323" s="2">
        <v>2.84</v>
      </c>
      <c r="E323" s="7">
        <v>2</v>
      </c>
      <c r="F323" s="7">
        <v>0</v>
      </c>
      <c r="G323" s="7">
        <v>1</v>
      </c>
      <c r="H323" s="7">
        <v>33</v>
      </c>
      <c r="I323" s="7">
        <v>8</v>
      </c>
      <c r="J323" s="7">
        <v>0</v>
      </c>
      <c r="K323" s="7">
        <v>0</v>
      </c>
      <c r="L323" s="7">
        <v>85</v>
      </c>
      <c r="M323" s="7">
        <v>2</v>
      </c>
      <c r="N323" s="7">
        <v>69</v>
      </c>
      <c r="O323" s="7">
        <v>28</v>
      </c>
      <c r="P323" s="7">
        <v>27</v>
      </c>
      <c r="Q323" s="7">
        <v>7</v>
      </c>
      <c r="R323" s="7">
        <v>0</v>
      </c>
      <c r="S323" s="7">
        <v>37</v>
      </c>
      <c r="T323" s="7">
        <v>2</v>
      </c>
      <c r="U323" s="7">
        <v>76</v>
      </c>
      <c r="V323" s="2">
        <f t="shared" si="45"/>
        <v>60.044897385215371</v>
      </c>
      <c r="W323" s="7">
        <v>50</v>
      </c>
      <c r="X323" s="2">
        <f t="shared" ref="X323:X386" si="47">V323+W323</f>
        <v>110.04489738521536</v>
      </c>
      <c r="Y323" s="2"/>
      <c r="Z323" s="2">
        <f t="shared" ref="Z323:Z386" si="48">((L323*3)+M323)+(R323+S323)+N323</f>
        <v>363</v>
      </c>
      <c r="AA323" s="1">
        <f t="shared" ref="AA323:AA386" si="49">(U323/Z323)*100</f>
        <v>20.9366391184573</v>
      </c>
      <c r="AB323" s="1">
        <f t="shared" ref="AB323:AB386" si="50">((R323+S323)/Z323)*100</f>
        <v>10.192837465564738</v>
      </c>
      <c r="AC323" s="1">
        <f t="shared" ref="AC323:AC386" si="51">(Q323/Z323)*100</f>
        <v>1.9283746556473829</v>
      </c>
      <c r="AD323" s="2">
        <f t="shared" ref="AD323:AD386" si="52">(Z323/C323)</f>
        <v>12.517241379310345</v>
      </c>
      <c r="AE323" s="2">
        <f t="shared" ref="AE323:AE386" si="53">AA323-AB323</f>
        <v>10.743801652892563</v>
      </c>
      <c r="AF323" s="2">
        <f t="shared" si="46"/>
        <v>300.22448692607685</v>
      </c>
    </row>
    <row r="324" spans="1:32" x14ac:dyDescent="0.35">
      <c r="A324" s="2" t="s">
        <v>712</v>
      </c>
      <c r="B324" s="2" t="s">
        <v>390</v>
      </c>
      <c r="C324" s="2">
        <v>29</v>
      </c>
      <c r="D324" s="2">
        <v>5.36</v>
      </c>
      <c r="E324" s="7">
        <v>2</v>
      </c>
      <c r="F324" s="7">
        <v>3</v>
      </c>
      <c r="G324" s="7">
        <v>0</v>
      </c>
      <c r="H324" s="7">
        <v>39</v>
      </c>
      <c r="I324" s="7">
        <v>0</v>
      </c>
      <c r="J324" s="7">
        <v>0</v>
      </c>
      <c r="K324" s="7">
        <v>0</v>
      </c>
      <c r="L324" s="7">
        <v>40</v>
      </c>
      <c r="M324" s="7">
        <v>1</v>
      </c>
      <c r="N324" s="7">
        <v>48</v>
      </c>
      <c r="O324" s="7">
        <v>31</v>
      </c>
      <c r="P324" s="7">
        <v>24</v>
      </c>
      <c r="Q324" s="7">
        <v>7</v>
      </c>
      <c r="R324" s="7">
        <v>2</v>
      </c>
      <c r="S324" s="7">
        <v>22</v>
      </c>
      <c r="T324" s="7">
        <v>1</v>
      </c>
      <c r="U324" s="7">
        <v>33</v>
      </c>
      <c r="V324" s="2">
        <f t="shared" si="45"/>
        <v>13.004783415054622</v>
      </c>
      <c r="W324" s="7">
        <v>50</v>
      </c>
      <c r="X324" s="2">
        <f t="shared" si="47"/>
        <v>63.004783415054618</v>
      </c>
      <c r="Y324" s="2"/>
      <c r="Z324" s="2">
        <f t="shared" si="48"/>
        <v>193</v>
      </c>
      <c r="AA324" s="1">
        <f t="shared" si="49"/>
        <v>17.098445595854923</v>
      </c>
      <c r="AB324" s="1">
        <f t="shared" si="50"/>
        <v>12.435233160621761</v>
      </c>
      <c r="AC324" s="1">
        <f t="shared" si="51"/>
        <v>3.6269430051813467</v>
      </c>
      <c r="AD324" s="2">
        <f t="shared" si="52"/>
        <v>6.6551724137931032</v>
      </c>
      <c r="AE324" s="2">
        <f t="shared" si="53"/>
        <v>4.6632124352331612</v>
      </c>
      <c r="AF324" s="2">
        <f t="shared" si="46"/>
        <v>65.023917075273104</v>
      </c>
    </row>
    <row r="325" spans="1:32" x14ac:dyDescent="0.35">
      <c r="A325" s="2" t="s">
        <v>713</v>
      </c>
      <c r="B325" s="2" t="s">
        <v>390</v>
      </c>
      <c r="C325" s="2">
        <v>29</v>
      </c>
      <c r="D325" s="2">
        <v>8.49</v>
      </c>
      <c r="E325" s="7">
        <v>0</v>
      </c>
      <c r="F325" s="7">
        <v>1</v>
      </c>
      <c r="G325" s="7">
        <v>0</v>
      </c>
      <c r="H325" s="7">
        <v>10</v>
      </c>
      <c r="I325" s="7">
        <v>0</v>
      </c>
      <c r="J325" s="7">
        <v>0</v>
      </c>
      <c r="K325" s="7">
        <v>0</v>
      </c>
      <c r="L325" s="7">
        <v>11</v>
      </c>
      <c r="M325" s="7">
        <v>2</v>
      </c>
      <c r="N325" s="7">
        <v>12</v>
      </c>
      <c r="O325" s="7">
        <v>12</v>
      </c>
      <c r="P325" s="7">
        <v>11</v>
      </c>
      <c r="Q325" s="7">
        <v>3</v>
      </c>
      <c r="R325" s="7">
        <v>4</v>
      </c>
      <c r="S325" s="7">
        <v>6</v>
      </c>
      <c r="T325" s="7">
        <v>0</v>
      </c>
      <c r="U325" s="7">
        <v>12</v>
      </c>
      <c r="V325" s="2">
        <f t="shared" si="45"/>
        <v>1.5875238488443051</v>
      </c>
      <c r="W325" s="7">
        <v>50</v>
      </c>
      <c r="X325" s="2">
        <f t="shared" si="47"/>
        <v>51.587523848844306</v>
      </c>
      <c r="Y325" s="2"/>
      <c r="Z325" s="2">
        <f t="shared" si="48"/>
        <v>57</v>
      </c>
      <c r="AA325" s="1">
        <f t="shared" si="49"/>
        <v>21.052631578947366</v>
      </c>
      <c r="AB325" s="1">
        <f t="shared" si="50"/>
        <v>17.543859649122805</v>
      </c>
      <c r="AC325" s="1">
        <f t="shared" si="51"/>
        <v>5.2631578947368416</v>
      </c>
      <c r="AD325" s="2">
        <f t="shared" si="52"/>
        <v>1.9655172413793103</v>
      </c>
      <c r="AE325" s="2">
        <f t="shared" si="53"/>
        <v>3.5087719298245617</v>
      </c>
      <c r="AF325" s="2">
        <f t="shared" si="46"/>
        <v>7.9376192442215254</v>
      </c>
    </row>
    <row r="326" spans="1:32" x14ac:dyDescent="0.35">
      <c r="A326" s="2" t="s">
        <v>714</v>
      </c>
      <c r="B326" s="2" t="s">
        <v>390</v>
      </c>
      <c r="C326" s="2">
        <v>29</v>
      </c>
      <c r="D326" s="2">
        <v>0.84</v>
      </c>
      <c r="E326" s="7">
        <v>0</v>
      </c>
      <c r="F326" s="7">
        <v>0</v>
      </c>
      <c r="G326" s="7">
        <v>0</v>
      </c>
      <c r="H326" s="7">
        <v>7</v>
      </c>
      <c r="I326" s="7">
        <v>0</v>
      </c>
      <c r="J326" s="7">
        <v>0</v>
      </c>
      <c r="K326" s="7">
        <v>0</v>
      </c>
      <c r="L326" s="7">
        <v>10</v>
      </c>
      <c r="M326" s="7">
        <v>2</v>
      </c>
      <c r="N326" s="7">
        <v>6</v>
      </c>
      <c r="O326" s="7">
        <v>1</v>
      </c>
      <c r="P326" s="7">
        <v>1</v>
      </c>
      <c r="Q326" s="7">
        <v>0</v>
      </c>
      <c r="R326" s="7">
        <v>0</v>
      </c>
      <c r="S326" s="7">
        <v>4</v>
      </c>
      <c r="T326" s="7">
        <v>0</v>
      </c>
      <c r="U326" s="7">
        <v>12</v>
      </c>
      <c r="V326" s="2">
        <f t="shared" si="45"/>
        <v>7.0675499688579349</v>
      </c>
      <c r="W326" s="7">
        <v>50</v>
      </c>
      <c r="X326" s="2">
        <f t="shared" si="47"/>
        <v>57.067549968857932</v>
      </c>
      <c r="Y326" s="2"/>
      <c r="Z326" s="2">
        <f t="shared" si="48"/>
        <v>42</v>
      </c>
      <c r="AA326" s="1">
        <f t="shared" si="49"/>
        <v>28.571428571428569</v>
      </c>
      <c r="AB326" s="1">
        <f t="shared" si="50"/>
        <v>9.5238095238095237</v>
      </c>
      <c r="AC326" s="1">
        <f t="shared" si="51"/>
        <v>0</v>
      </c>
      <c r="AD326" s="2">
        <f t="shared" si="52"/>
        <v>1.4482758620689655</v>
      </c>
      <c r="AE326" s="2">
        <f t="shared" si="53"/>
        <v>19.047619047619044</v>
      </c>
      <c r="AF326" s="2">
        <f t="shared" si="46"/>
        <v>35.337749844289675</v>
      </c>
    </row>
    <row r="327" spans="1:32" x14ac:dyDescent="0.35">
      <c r="A327" s="2" t="s">
        <v>715</v>
      </c>
      <c r="B327" s="2" t="s">
        <v>390</v>
      </c>
      <c r="C327" s="2">
        <v>29</v>
      </c>
      <c r="D327" s="2">
        <v>6</v>
      </c>
      <c r="E327" s="7">
        <v>1</v>
      </c>
      <c r="F327" s="7">
        <v>0</v>
      </c>
      <c r="G327" s="7">
        <v>2</v>
      </c>
      <c r="H327" s="7">
        <v>17</v>
      </c>
      <c r="I327" s="7">
        <v>0</v>
      </c>
      <c r="J327" s="7">
        <v>0</v>
      </c>
      <c r="K327" s="7">
        <v>0</v>
      </c>
      <c r="L327" s="7">
        <v>18</v>
      </c>
      <c r="N327" s="7">
        <v>22</v>
      </c>
      <c r="O327" s="7">
        <v>15</v>
      </c>
      <c r="P327" s="7">
        <v>12</v>
      </c>
      <c r="Q327" s="7">
        <v>4</v>
      </c>
      <c r="R327" s="7">
        <v>2</v>
      </c>
      <c r="S327" s="7">
        <v>9</v>
      </c>
      <c r="T327" s="7">
        <v>0</v>
      </c>
      <c r="U327" s="7">
        <v>23</v>
      </c>
      <c r="V327" s="2">
        <f t="shared" si="45"/>
        <v>9.4002774474831536</v>
      </c>
      <c r="W327" s="7">
        <v>50</v>
      </c>
      <c r="X327" s="2">
        <f t="shared" si="47"/>
        <v>59.400277447483155</v>
      </c>
      <c r="Y327" s="2"/>
      <c r="Z327" s="2">
        <f t="shared" si="48"/>
        <v>87</v>
      </c>
      <c r="AA327" s="1">
        <f t="shared" si="49"/>
        <v>26.436781609195403</v>
      </c>
      <c r="AB327" s="1">
        <f t="shared" si="50"/>
        <v>12.643678160919542</v>
      </c>
      <c r="AC327" s="1">
        <f t="shared" si="51"/>
        <v>4.5977011494252871</v>
      </c>
      <c r="AD327" s="2">
        <f t="shared" si="52"/>
        <v>3</v>
      </c>
      <c r="AE327" s="2">
        <f t="shared" si="53"/>
        <v>13.793103448275861</v>
      </c>
      <c r="AF327" s="2">
        <f t="shared" si="46"/>
        <v>47.00138723741577</v>
      </c>
    </row>
    <row r="328" spans="1:32" x14ac:dyDescent="0.35">
      <c r="A328" s="2" t="s">
        <v>716</v>
      </c>
      <c r="B328" s="2" t="s">
        <v>390</v>
      </c>
      <c r="C328" s="2">
        <v>29</v>
      </c>
      <c r="D328" s="2">
        <v>2.4500000000000002</v>
      </c>
      <c r="E328" s="7">
        <v>3</v>
      </c>
      <c r="F328" s="7">
        <v>3</v>
      </c>
      <c r="G328" s="7">
        <v>0</v>
      </c>
      <c r="H328" s="7">
        <v>44</v>
      </c>
      <c r="I328" s="7">
        <v>0</v>
      </c>
      <c r="J328" s="7">
        <v>0</v>
      </c>
      <c r="K328" s="7">
        <v>0</v>
      </c>
      <c r="L328" s="7">
        <v>47</v>
      </c>
      <c r="M328" s="7">
        <v>2</v>
      </c>
      <c r="N328" s="7">
        <v>35</v>
      </c>
      <c r="O328" s="7">
        <v>14</v>
      </c>
      <c r="P328" s="7">
        <v>13</v>
      </c>
      <c r="Q328" s="7">
        <v>4</v>
      </c>
      <c r="R328" s="7">
        <v>2</v>
      </c>
      <c r="S328" s="7">
        <v>19</v>
      </c>
      <c r="T328" s="7">
        <v>2</v>
      </c>
      <c r="U328" s="7">
        <v>45</v>
      </c>
      <c r="V328" s="2">
        <f t="shared" ref="V328:V391" si="54">(AF328*2)/10</f>
        <v>31.905699967234067</v>
      </c>
      <c r="W328" s="7">
        <v>50</v>
      </c>
      <c r="X328" s="2">
        <f t="shared" si="47"/>
        <v>81.905699967234071</v>
      </c>
      <c r="Y328" s="2"/>
      <c r="Z328" s="2">
        <f t="shared" si="48"/>
        <v>199</v>
      </c>
      <c r="AA328" s="1">
        <f t="shared" si="49"/>
        <v>22.613065326633166</v>
      </c>
      <c r="AB328" s="1">
        <f t="shared" si="50"/>
        <v>10.552763819095476</v>
      </c>
      <c r="AC328" s="1">
        <f t="shared" si="51"/>
        <v>2.0100502512562812</v>
      </c>
      <c r="AD328" s="2">
        <f t="shared" si="52"/>
        <v>6.8620689655172411</v>
      </c>
      <c r="AE328" s="2">
        <f t="shared" si="53"/>
        <v>12.060301507537689</v>
      </c>
      <c r="AF328" s="2">
        <f t="shared" si="46"/>
        <v>159.52849983617034</v>
      </c>
    </row>
    <row r="329" spans="1:32" x14ac:dyDescent="0.35">
      <c r="A329" s="2" t="s">
        <v>717</v>
      </c>
      <c r="B329" s="2" t="s">
        <v>390</v>
      </c>
      <c r="C329" s="2">
        <v>29</v>
      </c>
      <c r="D329" s="2">
        <v>1.69</v>
      </c>
      <c r="E329" s="7">
        <v>0</v>
      </c>
      <c r="F329" s="7">
        <v>0</v>
      </c>
      <c r="G329" s="7">
        <v>0</v>
      </c>
      <c r="H329" s="7">
        <v>3</v>
      </c>
      <c r="I329" s="7">
        <v>0</v>
      </c>
      <c r="J329" s="7">
        <v>0</v>
      </c>
      <c r="K329" s="7">
        <v>0</v>
      </c>
      <c r="L329" s="7">
        <v>5</v>
      </c>
      <c r="M329" s="7">
        <v>1</v>
      </c>
      <c r="N329" s="7">
        <v>5</v>
      </c>
      <c r="O329" s="7">
        <v>1</v>
      </c>
      <c r="P329" s="7">
        <v>1</v>
      </c>
      <c r="Q329" s="7">
        <v>0</v>
      </c>
      <c r="R329" s="7">
        <v>0</v>
      </c>
      <c r="S329" s="7">
        <v>1</v>
      </c>
      <c r="T329" s="7">
        <v>0</v>
      </c>
      <c r="U329" s="7">
        <v>6</v>
      </c>
      <c r="V329" s="2">
        <f t="shared" si="54"/>
        <v>2.1085070604873031</v>
      </c>
      <c r="W329" s="7">
        <v>50</v>
      </c>
      <c r="X329" s="2">
        <f t="shared" si="47"/>
        <v>52.108507060487305</v>
      </c>
      <c r="Y329" s="2"/>
      <c r="Z329" s="2">
        <f t="shared" si="48"/>
        <v>22</v>
      </c>
      <c r="AA329" s="1">
        <f t="shared" si="49"/>
        <v>27.27272727272727</v>
      </c>
      <c r="AB329" s="1">
        <f t="shared" si="50"/>
        <v>4.5454545454545459</v>
      </c>
      <c r="AC329" s="1">
        <f t="shared" si="51"/>
        <v>0</v>
      </c>
      <c r="AD329" s="2">
        <f t="shared" si="52"/>
        <v>0.75862068965517238</v>
      </c>
      <c r="AE329" s="2">
        <f t="shared" si="53"/>
        <v>22.727272727272723</v>
      </c>
      <c r="AF329" s="2">
        <f t="shared" si="46"/>
        <v>10.542535302436516</v>
      </c>
    </row>
    <row r="330" spans="1:32" x14ac:dyDescent="0.35">
      <c r="A330" s="2" t="s">
        <v>718</v>
      </c>
      <c r="B330" s="2" t="s">
        <v>390</v>
      </c>
      <c r="C330" s="2">
        <v>29</v>
      </c>
      <c r="D330" s="2">
        <v>3.24</v>
      </c>
      <c r="E330" s="7">
        <v>1</v>
      </c>
      <c r="F330" s="7">
        <v>1</v>
      </c>
      <c r="G330" s="7">
        <v>0</v>
      </c>
      <c r="H330" s="7">
        <v>18</v>
      </c>
      <c r="I330" s="7">
        <v>0</v>
      </c>
      <c r="J330" s="7">
        <v>0</v>
      </c>
      <c r="K330" s="7">
        <v>0</v>
      </c>
      <c r="L330" s="7">
        <v>16</v>
      </c>
      <c r="M330" s="7">
        <v>2</v>
      </c>
      <c r="N330" s="7">
        <v>16</v>
      </c>
      <c r="O330" s="7">
        <v>8</v>
      </c>
      <c r="P330" s="7">
        <v>6</v>
      </c>
      <c r="Q330" s="7">
        <v>2</v>
      </c>
      <c r="R330" s="7">
        <v>0</v>
      </c>
      <c r="S330" s="7">
        <v>7</v>
      </c>
      <c r="T330" s="7">
        <v>1</v>
      </c>
      <c r="U330" s="7">
        <v>19</v>
      </c>
      <c r="V330" s="2">
        <f t="shared" si="54"/>
        <v>11.015066261022641</v>
      </c>
      <c r="W330" s="7">
        <v>50</v>
      </c>
      <c r="X330" s="2">
        <f t="shared" si="47"/>
        <v>61.015066261022639</v>
      </c>
      <c r="Y330" s="2"/>
      <c r="Z330" s="2">
        <f t="shared" si="48"/>
        <v>73</v>
      </c>
      <c r="AA330" s="1">
        <f t="shared" si="49"/>
        <v>26.027397260273972</v>
      </c>
      <c r="AB330" s="1">
        <f t="shared" si="50"/>
        <v>9.5890410958904102</v>
      </c>
      <c r="AC330" s="1">
        <f t="shared" si="51"/>
        <v>2.7397260273972601</v>
      </c>
      <c r="AD330" s="2">
        <f t="shared" si="52"/>
        <v>2.5172413793103448</v>
      </c>
      <c r="AE330" s="2">
        <f t="shared" si="53"/>
        <v>16.438356164383563</v>
      </c>
      <c r="AF330" s="2">
        <f t="shared" si="46"/>
        <v>55.075331305113203</v>
      </c>
    </row>
    <row r="331" spans="1:32" x14ac:dyDescent="0.35">
      <c r="A331" s="2" t="s">
        <v>719</v>
      </c>
      <c r="B331" s="2" t="s">
        <v>390</v>
      </c>
      <c r="C331" s="2">
        <v>29</v>
      </c>
      <c r="D331" s="2">
        <v>12.27</v>
      </c>
      <c r="E331" s="7">
        <v>0</v>
      </c>
      <c r="F331" s="7">
        <v>1</v>
      </c>
      <c r="G331" s="7">
        <v>0</v>
      </c>
      <c r="H331" s="7">
        <v>7</v>
      </c>
      <c r="I331" s="7">
        <v>0</v>
      </c>
      <c r="J331" s="7">
        <v>0</v>
      </c>
      <c r="K331" s="7">
        <v>0</v>
      </c>
      <c r="L331" s="7">
        <v>7</v>
      </c>
      <c r="M331" s="7">
        <v>1</v>
      </c>
      <c r="N331" s="7">
        <v>12</v>
      </c>
      <c r="O331" s="7">
        <v>10</v>
      </c>
      <c r="P331" s="7">
        <v>10</v>
      </c>
      <c r="Q331" s="7">
        <v>3</v>
      </c>
      <c r="R331" s="7">
        <v>0</v>
      </c>
      <c r="S331" s="7">
        <v>3</v>
      </c>
      <c r="T331" s="7">
        <v>1</v>
      </c>
      <c r="U331" s="7">
        <v>4</v>
      </c>
      <c r="V331" s="2">
        <f t="shared" si="54"/>
        <v>0.75360499567332162</v>
      </c>
      <c r="W331" s="7">
        <v>50</v>
      </c>
      <c r="X331" s="2">
        <f t="shared" si="47"/>
        <v>50.753604995673321</v>
      </c>
      <c r="Y331" s="2"/>
      <c r="Z331" s="2">
        <f t="shared" si="48"/>
        <v>37</v>
      </c>
      <c r="AA331" s="1">
        <f t="shared" si="49"/>
        <v>10.810810810810811</v>
      </c>
      <c r="AB331" s="1">
        <f t="shared" si="50"/>
        <v>8.1081081081081088</v>
      </c>
      <c r="AC331" s="1">
        <f t="shared" si="51"/>
        <v>8.1081081081081088</v>
      </c>
      <c r="AD331" s="2">
        <f t="shared" si="52"/>
        <v>1.2758620689655173</v>
      </c>
      <c r="AE331" s="2">
        <f t="shared" si="53"/>
        <v>2.7027027027027017</v>
      </c>
      <c r="AF331" s="2">
        <f t="shared" si="46"/>
        <v>3.7680249783666082</v>
      </c>
    </row>
    <row r="332" spans="1:32" x14ac:dyDescent="0.35">
      <c r="A332" s="2" t="s">
        <v>720</v>
      </c>
      <c r="B332" s="2" t="s">
        <v>390</v>
      </c>
      <c r="C332" s="2">
        <v>29</v>
      </c>
      <c r="D332" s="2">
        <v>4.66</v>
      </c>
      <c r="E332" s="7">
        <v>0</v>
      </c>
      <c r="F332" s="7">
        <v>0</v>
      </c>
      <c r="G332" s="7">
        <v>0</v>
      </c>
      <c r="H332" s="7">
        <v>10</v>
      </c>
      <c r="I332" s="7">
        <v>0</v>
      </c>
      <c r="J332" s="7">
        <v>0</v>
      </c>
      <c r="K332" s="7">
        <v>0</v>
      </c>
      <c r="L332" s="7">
        <v>9</v>
      </c>
      <c r="M332" s="7">
        <v>2</v>
      </c>
      <c r="N332" s="7">
        <v>6</v>
      </c>
      <c r="O332" s="7">
        <v>5</v>
      </c>
      <c r="P332" s="7">
        <v>5</v>
      </c>
      <c r="Q332" s="7">
        <v>1</v>
      </c>
      <c r="R332" s="7">
        <v>0</v>
      </c>
      <c r="S332" s="7">
        <v>6</v>
      </c>
      <c r="T332" s="7">
        <v>0</v>
      </c>
      <c r="U332" s="7">
        <v>11</v>
      </c>
      <c r="V332" s="2">
        <f t="shared" si="54"/>
        <v>2.839806160586293</v>
      </c>
      <c r="W332" s="7">
        <v>50</v>
      </c>
      <c r="X332" s="2">
        <f t="shared" si="47"/>
        <v>52.839806160586292</v>
      </c>
      <c r="Y332" s="2"/>
      <c r="Z332" s="2">
        <f t="shared" si="48"/>
        <v>41</v>
      </c>
      <c r="AA332" s="1">
        <f t="shared" si="49"/>
        <v>26.829268292682929</v>
      </c>
      <c r="AB332" s="1">
        <f t="shared" si="50"/>
        <v>14.634146341463413</v>
      </c>
      <c r="AC332" s="1">
        <f t="shared" si="51"/>
        <v>2.4390243902439024</v>
      </c>
      <c r="AD332" s="2">
        <f t="shared" si="52"/>
        <v>1.4137931034482758</v>
      </c>
      <c r="AE332" s="2">
        <f t="shared" si="53"/>
        <v>12.195121951219516</v>
      </c>
      <c r="AF332" s="2">
        <f t="shared" ref="AF332:AF395" si="55">(AD332+AE332)/(D332/(1+AC332))*AD332</f>
        <v>14.199030802931466</v>
      </c>
    </row>
    <row r="333" spans="1:32" x14ac:dyDescent="0.35">
      <c r="A333" s="2" t="s">
        <v>721</v>
      </c>
      <c r="B333" s="2" t="s">
        <v>390</v>
      </c>
      <c r="C333" s="2">
        <v>29</v>
      </c>
      <c r="D333" s="2">
        <v>8.31</v>
      </c>
      <c r="E333" s="7">
        <v>0</v>
      </c>
      <c r="F333" s="7">
        <v>0</v>
      </c>
      <c r="G333" s="7">
        <v>0</v>
      </c>
      <c r="H333" s="7">
        <v>19</v>
      </c>
      <c r="I333" s="7">
        <v>0</v>
      </c>
      <c r="J333" s="7">
        <v>0</v>
      </c>
      <c r="K333" s="7">
        <v>0</v>
      </c>
      <c r="L333" s="7">
        <v>21</v>
      </c>
      <c r="M333" s="7">
        <v>2</v>
      </c>
      <c r="N333" s="7">
        <v>28</v>
      </c>
      <c r="O333" s="7">
        <v>22</v>
      </c>
      <c r="P333" s="7">
        <v>20</v>
      </c>
      <c r="Q333" s="7">
        <v>3</v>
      </c>
      <c r="R333" s="7">
        <v>2</v>
      </c>
      <c r="S333" s="7">
        <v>18</v>
      </c>
      <c r="T333" s="7">
        <v>1</v>
      </c>
      <c r="U333" s="7">
        <v>21</v>
      </c>
      <c r="V333" s="2">
        <f t="shared" si="54"/>
        <v>1.6388751298665365</v>
      </c>
      <c r="W333" s="7">
        <v>50</v>
      </c>
      <c r="X333" s="2">
        <f t="shared" si="47"/>
        <v>51.638875129866534</v>
      </c>
      <c r="Y333" s="2"/>
      <c r="Z333" s="2">
        <f t="shared" si="48"/>
        <v>113</v>
      </c>
      <c r="AA333" s="1">
        <f t="shared" si="49"/>
        <v>18.584070796460178</v>
      </c>
      <c r="AB333" s="1">
        <f t="shared" si="50"/>
        <v>17.699115044247787</v>
      </c>
      <c r="AC333" s="1">
        <f t="shared" si="51"/>
        <v>2.6548672566371683</v>
      </c>
      <c r="AD333" s="2">
        <f t="shared" si="52"/>
        <v>3.896551724137931</v>
      </c>
      <c r="AE333" s="2">
        <f t="shared" si="53"/>
        <v>0.88495575221239164</v>
      </c>
      <c r="AF333" s="2">
        <f t="shared" si="55"/>
        <v>8.1943756493326827</v>
      </c>
    </row>
    <row r="334" spans="1:32" x14ac:dyDescent="0.35">
      <c r="A334" s="2" t="s">
        <v>722</v>
      </c>
      <c r="B334" s="2" t="s">
        <v>390</v>
      </c>
      <c r="C334" s="2">
        <v>29</v>
      </c>
      <c r="D334" s="2">
        <v>0</v>
      </c>
      <c r="E334" s="7">
        <v>0</v>
      </c>
      <c r="F334" s="7">
        <v>0</v>
      </c>
      <c r="G334" s="7">
        <v>0</v>
      </c>
      <c r="H334" s="7">
        <v>2</v>
      </c>
      <c r="I334" s="7">
        <v>0</v>
      </c>
      <c r="J334" s="7">
        <v>0</v>
      </c>
      <c r="K334" s="7">
        <v>0</v>
      </c>
      <c r="L334" s="7">
        <v>1</v>
      </c>
      <c r="M334" s="7">
        <v>1</v>
      </c>
      <c r="N334" s="7">
        <v>1</v>
      </c>
      <c r="O334" s="7">
        <v>0</v>
      </c>
      <c r="P334" s="7">
        <v>0</v>
      </c>
      <c r="Q334" s="7">
        <v>0</v>
      </c>
      <c r="R334" s="7">
        <v>0</v>
      </c>
      <c r="S334" s="7">
        <v>2</v>
      </c>
      <c r="T334" s="7">
        <v>0</v>
      </c>
      <c r="U334" s="7">
        <v>3</v>
      </c>
      <c r="V334" s="2" t="e">
        <f t="shared" si="54"/>
        <v>#DIV/0!</v>
      </c>
      <c r="W334" s="7">
        <v>50</v>
      </c>
      <c r="X334" s="2" t="e">
        <f t="shared" si="47"/>
        <v>#DIV/0!</v>
      </c>
      <c r="Y334" s="2"/>
      <c r="Z334" s="2">
        <f t="shared" si="48"/>
        <v>7</v>
      </c>
      <c r="AA334" s="1">
        <f t="shared" si="49"/>
        <v>42.857142857142854</v>
      </c>
      <c r="AB334" s="1">
        <f t="shared" si="50"/>
        <v>28.571428571428569</v>
      </c>
      <c r="AC334" s="1">
        <f t="shared" si="51"/>
        <v>0</v>
      </c>
      <c r="AD334" s="2">
        <f t="shared" si="52"/>
        <v>0.2413793103448276</v>
      </c>
      <c r="AE334" s="2">
        <f t="shared" si="53"/>
        <v>14.285714285714285</v>
      </c>
      <c r="AF334" s="2" t="e">
        <f t="shared" si="55"/>
        <v>#DIV/0!</v>
      </c>
    </row>
    <row r="335" spans="1:32" x14ac:dyDescent="0.35">
      <c r="A335" s="2" t="s">
        <v>723</v>
      </c>
      <c r="B335" s="2" t="s">
        <v>390</v>
      </c>
      <c r="C335" s="2">
        <v>29</v>
      </c>
      <c r="D335" s="2">
        <v>0</v>
      </c>
      <c r="E335" s="7">
        <v>0</v>
      </c>
      <c r="F335" s="7">
        <v>0</v>
      </c>
      <c r="G335" s="7">
        <v>0</v>
      </c>
      <c r="H335" s="7">
        <v>2</v>
      </c>
      <c r="I335" s="7">
        <v>0</v>
      </c>
      <c r="J335" s="7">
        <v>0</v>
      </c>
      <c r="K335" s="7">
        <v>0</v>
      </c>
      <c r="L335" s="7">
        <v>2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1</v>
      </c>
      <c r="T335" s="7">
        <v>0</v>
      </c>
      <c r="U335" s="7">
        <v>1</v>
      </c>
      <c r="V335" s="2" t="e">
        <f t="shared" si="54"/>
        <v>#DIV/0!</v>
      </c>
      <c r="W335" s="7">
        <v>50</v>
      </c>
      <c r="X335" s="2" t="e">
        <f t="shared" si="47"/>
        <v>#DIV/0!</v>
      </c>
      <c r="Y335" s="2"/>
      <c r="Z335" s="2">
        <f t="shared" si="48"/>
        <v>7</v>
      </c>
      <c r="AA335" s="1">
        <f t="shared" si="49"/>
        <v>14.285714285714285</v>
      </c>
      <c r="AB335" s="1">
        <f t="shared" si="50"/>
        <v>14.285714285714285</v>
      </c>
      <c r="AC335" s="1">
        <f t="shared" si="51"/>
        <v>0</v>
      </c>
      <c r="AD335" s="2">
        <f t="shared" si="52"/>
        <v>0.2413793103448276</v>
      </c>
      <c r="AE335" s="2">
        <f t="shared" si="53"/>
        <v>0</v>
      </c>
      <c r="AF335" s="2" t="e">
        <f t="shared" si="55"/>
        <v>#DIV/0!</v>
      </c>
    </row>
    <row r="336" spans="1:32" x14ac:dyDescent="0.35">
      <c r="A336" s="2" t="s">
        <v>724</v>
      </c>
      <c r="B336" s="2" t="s">
        <v>390</v>
      </c>
      <c r="C336" s="2">
        <v>29</v>
      </c>
      <c r="D336" s="2">
        <v>4.41</v>
      </c>
      <c r="E336" s="7">
        <v>0</v>
      </c>
      <c r="F336" s="7">
        <v>1</v>
      </c>
      <c r="G336" s="7">
        <v>2</v>
      </c>
      <c r="H336" s="7">
        <v>10</v>
      </c>
      <c r="I336" s="7">
        <v>0</v>
      </c>
      <c r="J336" s="7">
        <v>0</v>
      </c>
      <c r="K336" s="7">
        <v>0</v>
      </c>
      <c r="L336" s="7">
        <v>16</v>
      </c>
      <c r="M336" s="7">
        <v>1</v>
      </c>
      <c r="N336" s="7">
        <v>16</v>
      </c>
      <c r="O336" s="7">
        <v>8</v>
      </c>
      <c r="P336" s="7">
        <v>8</v>
      </c>
      <c r="Q336" s="7">
        <v>0</v>
      </c>
      <c r="R336" s="7">
        <v>0</v>
      </c>
      <c r="S336" s="7">
        <v>8</v>
      </c>
      <c r="T336" s="7">
        <v>0</v>
      </c>
      <c r="U336" s="7">
        <v>22</v>
      </c>
      <c r="V336" s="2">
        <f t="shared" si="54"/>
        <v>2.4767513029785837</v>
      </c>
      <c r="W336" s="7">
        <v>50</v>
      </c>
      <c r="X336" s="2">
        <f t="shared" si="47"/>
        <v>52.476751302978585</v>
      </c>
      <c r="Y336" s="2"/>
      <c r="Z336" s="2">
        <f t="shared" si="48"/>
        <v>73</v>
      </c>
      <c r="AA336" s="1">
        <f t="shared" si="49"/>
        <v>30.136986301369863</v>
      </c>
      <c r="AB336" s="1">
        <f t="shared" si="50"/>
        <v>10.95890410958904</v>
      </c>
      <c r="AC336" s="1">
        <f t="shared" si="51"/>
        <v>0</v>
      </c>
      <c r="AD336" s="2">
        <f t="shared" si="52"/>
        <v>2.5172413793103448</v>
      </c>
      <c r="AE336" s="2">
        <f t="shared" si="53"/>
        <v>19.178082191780824</v>
      </c>
      <c r="AF336" s="2">
        <f t="shared" si="55"/>
        <v>12.383756514892918</v>
      </c>
    </row>
    <row r="337" spans="1:32" x14ac:dyDescent="0.35">
      <c r="A337" s="2" t="s">
        <v>725</v>
      </c>
      <c r="B337" s="2" t="s">
        <v>390</v>
      </c>
      <c r="C337" s="2">
        <v>29</v>
      </c>
      <c r="D337" s="2">
        <v>0</v>
      </c>
      <c r="E337" s="7">
        <v>0</v>
      </c>
      <c r="F337" s="7">
        <v>0</v>
      </c>
      <c r="G337" s="7">
        <v>0</v>
      </c>
      <c r="H337" s="7">
        <v>1</v>
      </c>
      <c r="I337" s="7">
        <v>0</v>
      </c>
      <c r="J337" s="7">
        <v>0</v>
      </c>
      <c r="K337" s="7">
        <v>0</v>
      </c>
      <c r="L337" s="7">
        <v>1</v>
      </c>
      <c r="M337" s="7">
        <v>2</v>
      </c>
      <c r="N337" s="7">
        <v>2</v>
      </c>
      <c r="O337" s="7">
        <v>1</v>
      </c>
      <c r="P337" s="7">
        <v>0</v>
      </c>
      <c r="Q337" s="7">
        <v>0</v>
      </c>
      <c r="R337" s="7">
        <v>0</v>
      </c>
      <c r="S337" s="7">
        <v>1</v>
      </c>
      <c r="T337" s="7">
        <v>1</v>
      </c>
      <c r="U337" s="7">
        <v>2</v>
      </c>
      <c r="V337" s="2" t="e">
        <f t="shared" si="54"/>
        <v>#DIV/0!</v>
      </c>
      <c r="W337" s="7">
        <v>50</v>
      </c>
      <c r="X337" s="2" t="e">
        <f t="shared" si="47"/>
        <v>#DIV/0!</v>
      </c>
      <c r="Y337" s="2"/>
      <c r="Z337" s="2">
        <f t="shared" si="48"/>
        <v>8</v>
      </c>
      <c r="AA337" s="1">
        <f t="shared" si="49"/>
        <v>25</v>
      </c>
      <c r="AB337" s="1">
        <f t="shared" si="50"/>
        <v>12.5</v>
      </c>
      <c r="AC337" s="1">
        <f t="shared" si="51"/>
        <v>0</v>
      </c>
      <c r="AD337" s="2">
        <f t="shared" si="52"/>
        <v>0.27586206896551724</v>
      </c>
      <c r="AE337" s="2">
        <f t="shared" si="53"/>
        <v>12.5</v>
      </c>
      <c r="AF337" s="2" t="e">
        <f t="shared" si="55"/>
        <v>#DIV/0!</v>
      </c>
    </row>
    <row r="338" spans="1:32" x14ac:dyDescent="0.35">
      <c r="A338" s="2" t="s">
        <v>726</v>
      </c>
      <c r="B338" s="2" t="s">
        <v>390</v>
      </c>
      <c r="C338" s="2">
        <v>29</v>
      </c>
      <c r="D338" s="2">
        <v>4.3499999999999996</v>
      </c>
      <c r="E338" s="7">
        <v>0</v>
      </c>
      <c r="F338" s="7">
        <v>0</v>
      </c>
      <c r="G338" s="7">
        <v>0</v>
      </c>
      <c r="H338" s="7">
        <v>7</v>
      </c>
      <c r="I338" s="7">
        <v>0</v>
      </c>
      <c r="J338" s="7">
        <v>0</v>
      </c>
      <c r="K338" s="7">
        <v>0</v>
      </c>
      <c r="L338" s="7">
        <v>10</v>
      </c>
      <c r="M338" s="7">
        <v>1</v>
      </c>
      <c r="N338" s="7">
        <v>12</v>
      </c>
      <c r="O338" s="7">
        <v>5</v>
      </c>
      <c r="P338" s="7">
        <v>5</v>
      </c>
      <c r="Q338" s="7">
        <v>1</v>
      </c>
      <c r="R338" s="7">
        <v>0</v>
      </c>
      <c r="S338" s="7">
        <v>6</v>
      </c>
      <c r="T338" s="7">
        <v>0</v>
      </c>
      <c r="U338" s="7">
        <v>10</v>
      </c>
      <c r="V338" s="2">
        <f t="shared" si="54"/>
        <v>2.3275230302051528</v>
      </c>
      <c r="W338" s="7">
        <v>50</v>
      </c>
      <c r="X338" s="2">
        <f t="shared" si="47"/>
        <v>52.32752303020515</v>
      </c>
      <c r="Y338" s="2"/>
      <c r="Z338" s="2">
        <f t="shared" si="48"/>
        <v>49</v>
      </c>
      <c r="AA338" s="1">
        <f t="shared" si="49"/>
        <v>20.408163265306122</v>
      </c>
      <c r="AB338" s="1">
        <f t="shared" si="50"/>
        <v>12.244897959183673</v>
      </c>
      <c r="AC338" s="1">
        <f t="shared" si="51"/>
        <v>2.0408163265306123</v>
      </c>
      <c r="AD338" s="2">
        <f t="shared" si="52"/>
        <v>1.6896551724137931</v>
      </c>
      <c r="AE338" s="2">
        <f t="shared" si="53"/>
        <v>8.1632653061224492</v>
      </c>
      <c r="AF338" s="2">
        <f t="shared" si="55"/>
        <v>11.637615151025765</v>
      </c>
    </row>
    <row r="339" spans="1:32" x14ac:dyDescent="0.35">
      <c r="A339" s="2" t="s">
        <v>727</v>
      </c>
      <c r="B339" s="2" t="s">
        <v>390</v>
      </c>
      <c r="C339" s="2">
        <v>29</v>
      </c>
      <c r="D339" s="2">
        <v>5.47</v>
      </c>
      <c r="E339" s="7">
        <v>2</v>
      </c>
      <c r="F339" s="7">
        <v>1</v>
      </c>
      <c r="G339" s="7">
        <v>0</v>
      </c>
      <c r="H339" s="7">
        <v>24</v>
      </c>
      <c r="I339" s="7">
        <v>0</v>
      </c>
      <c r="J339" s="7">
        <v>0</v>
      </c>
      <c r="K339" s="7">
        <v>0</v>
      </c>
      <c r="L339" s="7">
        <v>26</v>
      </c>
      <c r="M339" s="7">
        <v>1</v>
      </c>
      <c r="N339" s="7">
        <v>32</v>
      </c>
      <c r="O339" s="7">
        <v>20</v>
      </c>
      <c r="P339" s="7">
        <v>16</v>
      </c>
      <c r="Q339" s="7">
        <v>3</v>
      </c>
      <c r="R339" s="7">
        <v>2</v>
      </c>
      <c r="S339" s="7">
        <v>6</v>
      </c>
      <c r="T339" s="7">
        <v>1</v>
      </c>
      <c r="U339" s="7">
        <v>24</v>
      </c>
      <c r="V339" s="2">
        <f t="shared" si="54"/>
        <v>9.2705771581218652</v>
      </c>
      <c r="W339" s="7">
        <v>50</v>
      </c>
      <c r="X339" s="2">
        <f t="shared" si="47"/>
        <v>59.270577158121867</v>
      </c>
      <c r="Y339" s="2"/>
      <c r="Z339" s="2">
        <f t="shared" si="48"/>
        <v>119</v>
      </c>
      <c r="AA339" s="1">
        <f t="shared" si="49"/>
        <v>20.168067226890756</v>
      </c>
      <c r="AB339" s="1">
        <f t="shared" si="50"/>
        <v>6.7226890756302522</v>
      </c>
      <c r="AC339" s="1">
        <f t="shared" si="51"/>
        <v>2.5210084033613445</v>
      </c>
      <c r="AD339" s="2">
        <f t="shared" si="52"/>
        <v>4.1034482758620694</v>
      </c>
      <c r="AE339" s="2">
        <f t="shared" si="53"/>
        <v>13.445378151260503</v>
      </c>
      <c r="AF339" s="2">
        <f t="shared" si="55"/>
        <v>46.352885790609328</v>
      </c>
    </row>
    <row r="340" spans="1:32" x14ac:dyDescent="0.35">
      <c r="A340" s="2" t="s">
        <v>728</v>
      </c>
      <c r="B340" s="2" t="s">
        <v>390</v>
      </c>
      <c r="C340" s="2">
        <v>29</v>
      </c>
      <c r="D340" s="2">
        <v>9</v>
      </c>
      <c r="E340" s="7">
        <v>0</v>
      </c>
      <c r="F340" s="7">
        <v>0</v>
      </c>
      <c r="G340" s="7">
        <v>0</v>
      </c>
      <c r="H340" s="7">
        <v>1</v>
      </c>
      <c r="I340" s="7">
        <v>0</v>
      </c>
      <c r="J340" s="7">
        <v>0</v>
      </c>
      <c r="K340" s="7">
        <v>0</v>
      </c>
      <c r="L340" s="7">
        <v>2</v>
      </c>
      <c r="N340" s="7">
        <v>4</v>
      </c>
      <c r="O340" s="7">
        <v>2</v>
      </c>
      <c r="P340" s="7">
        <v>2</v>
      </c>
      <c r="Q340" s="7">
        <v>0</v>
      </c>
      <c r="R340" s="7">
        <v>0</v>
      </c>
      <c r="S340" s="7">
        <v>1</v>
      </c>
      <c r="T340" s="7">
        <v>0</v>
      </c>
      <c r="U340" s="7">
        <v>3</v>
      </c>
      <c r="V340" s="2">
        <f t="shared" si="54"/>
        <v>0.15645395692958117</v>
      </c>
      <c r="W340" s="7">
        <v>50</v>
      </c>
      <c r="X340" s="2">
        <f t="shared" si="47"/>
        <v>50.156453956929582</v>
      </c>
      <c r="Y340" s="2"/>
      <c r="Z340" s="2">
        <f t="shared" si="48"/>
        <v>11</v>
      </c>
      <c r="AA340" s="1">
        <f t="shared" si="49"/>
        <v>27.27272727272727</v>
      </c>
      <c r="AB340" s="1">
        <f t="shared" si="50"/>
        <v>9.0909090909090917</v>
      </c>
      <c r="AC340" s="1">
        <f t="shared" si="51"/>
        <v>0</v>
      </c>
      <c r="AD340" s="2">
        <f t="shared" si="52"/>
        <v>0.37931034482758619</v>
      </c>
      <c r="AE340" s="2">
        <f t="shared" si="53"/>
        <v>18.18181818181818</v>
      </c>
      <c r="AF340" s="2">
        <f t="shared" si="55"/>
        <v>0.78226978464790586</v>
      </c>
    </row>
    <row r="341" spans="1:32" x14ac:dyDescent="0.35">
      <c r="A341" s="2" t="s">
        <v>729</v>
      </c>
      <c r="B341" s="2" t="s">
        <v>390</v>
      </c>
      <c r="C341" s="2">
        <v>29</v>
      </c>
      <c r="D341" s="2">
        <v>0.96</v>
      </c>
      <c r="E341" s="7">
        <v>1</v>
      </c>
      <c r="F341" s="7">
        <v>0</v>
      </c>
      <c r="G341" s="7">
        <v>0</v>
      </c>
      <c r="H341" s="7">
        <v>5</v>
      </c>
      <c r="I341" s="7">
        <v>0</v>
      </c>
      <c r="J341" s="7">
        <v>0</v>
      </c>
      <c r="K341" s="7">
        <v>0</v>
      </c>
      <c r="L341" s="7">
        <v>9</v>
      </c>
      <c r="M341" s="7">
        <v>1</v>
      </c>
      <c r="N341" s="7">
        <v>5</v>
      </c>
      <c r="O341" s="7">
        <v>1</v>
      </c>
      <c r="P341" s="7">
        <v>1</v>
      </c>
      <c r="Q341" s="7">
        <v>1</v>
      </c>
      <c r="R341" s="7">
        <v>0</v>
      </c>
      <c r="S341" s="7">
        <v>4</v>
      </c>
      <c r="T341" s="7">
        <v>0</v>
      </c>
      <c r="U341" s="7">
        <v>9</v>
      </c>
      <c r="V341" s="2">
        <f t="shared" si="54"/>
        <v>14.555635451146753</v>
      </c>
      <c r="W341" s="7">
        <v>50</v>
      </c>
      <c r="X341" s="2">
        <f t="shared" si="47"/>
        <v>64.555635451146756</v>
      </c>
      <c r="Y341" s="2"/>
      <c r="Z341" s="2">
        <f t="shared" si="48"/>
        <v>37</v>
      </c>
      <c r="AA341" s="1">
        <f t="shared" si="49"/>
        <v>24.324324324324326</v>
      </c>
      <c r="AB341" s="1">
        <f t="shared" si="50"/>
        <v>10.810810810810811</v>
      </c>
      <c r="AC341" s="1">
        <f t="shared" si="51"/>
        <v>2.7027027027027026</v>
      </c>
      <c r="AD341" s="2">
        <f t="shared" si="52"/>
        <v>1.2758620689655173</v>
      </c>
      <c r="AE341" s="2">
        <f t="shared" si="53"/>
        <v>13.513513513513516</v>
      </c>
      <c r="AF341" s="2">
        <f t="shared" si="55"/>
        <v>72.778177255733766</v>
      </c>
    </row>
    <row r="342" spans="1:32" x14ac:dyDescent="0.35">
      <c r="A342" s="2" t="s">
        <v>730</v>
      </c>
      <c r="B342" s="2" t="s">
        <v>390</v>
      </c>
      <c r="C342" s="2">
        <v>29</v>
      </c>
      <c r="D342" s="2">
        <v>8.68</v>
      </c>
      <c r="E342" s="7">
        <v>0</v>
      </c>
      <c r="F342" s="7">
        <v>1</v>
      </c>
      <c r="G342" s="7">
        <v>0</v>
      </c>
      <c r="H342" s="7">
        <v>3</v>
      </c>
      <c r="I342" s="7">
        <v>1</v>
      </c>
      <c r="J342" s="7">
        <v>0</v>
      </c>
      <c r="K342" s="7">
        <v>0</v>
      </c>
      <c r="L342" s="7">
        <v>9</v>
      </c>
      <c r="M342" s="7">
        <v>1</v>
      </c>
      <c r="N342" s="7">
        <v>13</v>
      </c>
      <c r="O342" s="7">
        <v>11</v>
      </c>
      <c r="P342" s="7">
        <v>9</v>
      </c>
      <c r="Q342" s="7">
        <v>2</v>
      </c>
      <c r="R342" s="7">
        <v>2</v>
      </c>
      <c r="S342" s="7">
        <v>3</v>
      </c>
      <c r="T342" s="7">
        <v>0</v>
      </c>
      <c r="U342" s="7">
        <v>6</v>
      </c>
      <c r="V342" s="2">
        <f t="shared" si="54"/>
        <v>0.73493524968010182</v>
      </c>
      <c r="W342" s="7">
        <v>50</v>
      </c>
      <c r="X342" s="2">
        <f t="shared" si="47"/>
        <v>50.734935249680099</v>
      </c>
      <c r="Y342" s="2"/>
      <c r="Z342" s="2">
        <f t="shared" si="48"/>
        <v>46</v>
      </c>
      <c r="AA342" s="1">
        <f t="shared" si="49"/>
        <v>13.043478260869565</v>
      </c>
      <c r="AB342" s="1">
        <f t="shared" si="50"/>
        <v>10.869565217391305</v>
      </c>
      <c r="AC342" s="1">
        <f t="shared" si="51"/>
        <v>4.3478260869565215</v>
      </c>
      <c r="AD342" s="2">
        <f t="shared" si="52"/>
        <v>1.5862068965517242</v>
      </c>
      <c r="AE342" s="2">
        <f t="shared" si="53"/>
        <v>2.1739130434782599</v>
      </c>
      <c r="AF342" s="2">
        <f t="shared" si="55"/>
        <v>3.6746762484005093</v>
      </c>
    </row>
    <row r="343" spans="1:32" x14ac:dyDescent="0.35">
      <c r="A343" s="2" t="s">
        <v>731</v>
      </c>
      <c r="B343" s="2" t="s">
        <v>390</v>
      </c>
      <c r="C343" s="2">
        <v>30</v>
      </c>
      <c r="D343" s="2">
        <v>3.41</v>
      </c>
      <c r="E343" s="7">
        <v>5</v>
      </c>
      <c r="F343" s="7">
        <v>4</v>
      </c>
      <c r="G343" s="7">
        <v>8</v>
      </c>
      <c r="H343" s="7">
        <v>64</v>
      </c>
      <c r="I343" s="7">
        <v>3</v>
      </c>
      <c r="J343" s="7">
        <v>0</v>
      </c>
      <c r="K343" s="7">
        <v>0</v>
      </c>
      <c r="L343" s="7">
        <v>63</v>
      </c>
      <c r="M343" s="7">
        <v>1</v>
      </c>
      <c r="N343" s="7">
        <v>54</v>
      </c>
      <c r="O343" s="7">
        <v>28</v>
      </c>
      <c r="P343" s="7">
        <v>24</v>
      </c>
      <c r="Q343" s="7">
        <v>10</v>
      </c>
      <c r="R343" s="7">
        <v>1</v>
      </c>
      <c r="S343" s="7">
        <v>33</v>
      </c>
      <c r="T343" s="7">
        <v>2</v>
      </c>
      <c r="U343" s="7">
        <v>59</v>
      </c>
      <c r="V343" s="2">
        <f t="shared" si="54"/>
        <v>45.621907635182183</v>
      </c>
      <c r="W343" s="7">
        <v>50</v>
      </c>
      <c r="X343" s="2">
        <f t="shared" si="47"/>
        <v>95.621907635182183</v>
      </c>
      <c r="Y343" s="2"/>
      <c r="Z343" s="2">
        <f t="shared" si="48"/>
        <v>278</v>
      </c>
      <c r="AA343" s="1">
        <f t="shared" si="49"/>
        <v>21.223021582733814</v>
      </c>
      <c r="AB343" s="1">
        <f t="shared" si="50"/>
        <v>12.23021582733813</v>
      </c>
      <c r="AC343" s="1">
        <f t="shared" si="51"/>
        <v>3.5971223021582732</v>
      </c>
      <c r="AD343" s="2">
        <f t="shared" si="52"/>
        <v>9.2666666666666675</v>
      </c>
      <c r="AE343" s="2">
        <f t="shared" si="53"/>
        <v>8.9928057553956844</v>
      </c>
      <c r="AF343" s="2">
        <f t="shared" si="55"/>
        <v>228.10953817591093</v>
      </c>
    </row>
    <row r="344" spans="1:32" x14ac:dyDescent="0.35">
      <c r="A344" s="2" t="s">
        <v>732</v>
      </c>
      <c r="B344" s="2" t="s">
        <v>390</v>
      </c>
      <c r="C344" s="2">
        <v>30</v>
      </c>
      <c r="D344" s="2">
        <v>10.32</v>
      </c>
      <c r="E344" s="7">
        <v>1</v>
      </c>
      <c r="F344" s="7">
        <v>0</v>
      </c>
      <c r="G344" s="7">
        <v>0</v>
      </c>
      <c r="H344" s="7">
        <v>7</v>
      </c>
      <c r="I344" s="7">
        <v>0</v>
      </c>
      <c r="J344" s="7">
        <v>0</v>
      </c>
      <c r="K344" s="7">
        <v>0</v>
      </c>
      <c r="L344" s="7">
        <v>11</v>
      </c>
      <c r="M344" s="7">
        <v>1</v>
      </c>
      <c r="N344" s="7">
        <v>20</v>
      </c>
      <c r="O344" s="7">
        <v>13</v>
      </c>
      <c r="P344" s="7">
        <v>13</v>
      </c>
      <c r="Q344" s="7">
        <v>6</v>
      </c>
      <c r="R344" s="7">
        <v>0</v>
      </c>
      <c r="S344" s="7">
        <v>3</v>
      </c>
      <c r="T344" s="7">
        <v>0</v>
      </c>
      <c r="U344" s="7">
        <v>11</v>
      </c>
      <c r="V344" s="2">
        <f t="shared" si="54"/>
        <v>6.7631476948184384</v>
      </c>
      <c r="W344" s="7">
        <v>50</v>
      </c>
      <c r="X344" s="2">
        <f t="shared" si="47"/>
        <v>56.763147694818436</v>
      </c>
      <c r="Y344" s="2"/>
      <c r="Z344" s="2">
        <f t="shared" si="48"/>
        <v>57</v>
      </c>
      <c r="AA344" s="1">
        <f t="shared" si="49"/>
        <v>19.298245614035086</v>
      </c>
      <c r="AB344" s="1">
        <f t="shared" si="50"/>
        <v>5.2631578947368416</v>
      </c>
      <c r="AC344" s="1">
        <f t="shared" si="51"/>
        <v>10.526315789473683</v>
      </c>
      <c r="AD344" s="2">
        <f t="shared" si="52"/>
        <v>1.9</v>
      </c>
      <c r="AE344" s="2">
        <f t="shared" si="53"/>
        <v>14.035087719298243</v>
      </c>
      <c r="AF344" s="2">
        <f t="shared" si="55"/>
        <v>33.815738474092193</v>
      </c>
    </row>
    <row r="345" spans="1:32" x14ac:dyDescent="0.35">
      <c r="A345" s="2" t="s">
        <v>733</v>
      </c>
      <c r="B345" s="2" t="s">
        <v>390</v>
      </c>
      <c r="C345" s="2">
        <v>30</v>
      </c>
      <c r="D345" s="2">
        <v>3.93</v>
      </c>
      <c r="E345" s="7">
        <v>8</v>
      </c>
      <c r="F345" s="7">
        <v>2</v>
      </c>
      <c r="G345" s="7">
        <v>3</v>
      </c>
      <c r="H345" s="7">
        <v>53</v>
      </c>
      <c r="I345" s="7">
        <v>1</v>
      </c>
      <c r="J345" s="7">
        <v>0</v>
      </c>
      <c r="K345" s="7">
        <v>0</v>
      </c>
      <c r="L345" s="7">
        <v>71</v>
      </c>
      <c r="N345" s="7">
        <v>55</v>
      </c>
      <c r="O345" s="7">
        <v>34</v>
      </c>
      <c r="P345" s="7">
        <v>31</v>
      </c>
      <c r="Q345" s="7">
        <v>10</v>
      </c>
      <c r="R345" s="7">
        <v>3</v>
      </c>
      <c r="S345" s="7">
        <v>30</v>
      </c>
      <c r="T345" s="7">
        <v>3</v>
      </c>
      <c r="U345" s="7">
        <v>75</v>
      </c>
      <c r="V345" s="2">
        <f t="shared" si="54"/>
        <v>52.937837215877344</v>
      </c>
      <c r="W345" s="7">
        <v>50</v>
      </c>
      <c r="X345" s="2">
        <f t="shared" si="47"/>
        <v>102.93783721587735</v>
      </c>
      <c r="Y345" s="2"/>
      <c r="Z345" s="2">
        <f t="shared" si="48"/>
        <v>301</v>
      </c>
      <c r="AA345" s="1">
        <f t="shared" si="49"/>
        <v>24.916943521594686</v>
      </c>
      <c r="AB345" s="1">
        <f t="shared" si="50"/>
        <v>10.963455149501661</v>
      </c>
      <c r="AC345" s="1">
        <f t="shared" si="51"/>
        <v>3.322259136212625</v>
      </c>
      <c r="AD345" s="2">
        <f t="shared" si="52"/>
        <v>10.033333333333333</v>
      </c>
      <c r="AE345" s="2">
        <f t="shared" si="53"/>
        <v>13.953488372093025</v>
      </c>
      <c r="AF345" s="2">
        <f t="shared" si="55"/>
        <v>264.68918607938673</v>
      </c>
    </row>
    <row r="346" spans="1:32" x14ac:dyDescent="0.35">
      <c r="A346" s="2" t="s">
        <v>734</v>
      </c>
      <c r="B346" s="2" t="s">
        <v>390</v>
      </c>
      <c r="C346" s="2">
        <v>30</v>
      </c>
      <c r="D346" s="2">
        <v>4.0599999999999996</v>
      </c>
      <c r="E346" s="7">
        <v>4</v>
      </c>
      <c r="F346" s="7">
        <v>4</v>
      </c>
      <c r="G346" s="7">
        <v>3</v>
      </c>
      <c r="H346" s="7">
        <v>73</v>
      </c>
      <c r="I346" s="7">
        <v>0</v>
      </c>
      <c r="J346" s="7">
        <v>0</v>
      </c>
      <c r="K346" s="7">
        <v>0</v>
      </c>
      <c r="L346" s="7">
        <v>68</v>
      </c>
      <c r="M346" s="7">
        <v>2</v>
      </c>
      <c r="N346" s="7">
        <v>59</v>
      </c>
      <c r="O346" s="7">
        <v>33</v>
      </c>
      <c r="P346" s="7">
        <v>31</v>
      </c>
      <c r="Q346" s="7">
        <v>13</v>
      </c>
      <c r="R346" s="7">
        <v>0</v>
      </c>
      <c r="S346" s="7">
        <v>17</v>
      </c>
      <c r="T346" s="7">
        <v>0</v>
      </c>
      <c r="U346" s="7">
        <v>83</v>
      </c>
      <c r="V346" s="2">
        <f t="shared" si="54"/>
        <v>85.215651748593785</v>
      </c>
      <c r="W346" s="7">
        <v>50</v>
      </c>
      <c r="X346" s="2">
        <f t="shared" si="47"/>
        <v>135.21565174859379</v>
      </c>
      <c r="Y346" s="2"/>
      <c r="Z346" s="2">
        <f t="shared" si="48"/>
        <v>282</v>
      </c>
      <c r="AA346" s="1">
        <f t="shared" si="49"/>
        <v>29.432624113475175</v>
      </c>
      <c r="AB346" s="1">
        <f t="shared" si="50"/>
        <v>6.0283687943262407</v>
      </c>
      <c r="AC346" s="1">
        <f t="shared" si="51"/>
        <v>4.6099290780141837</v>
      </c>
      <c r="AD346" s="2">
        <f t="shared" si="52"/>
        <v>9.4</v>
      </c>
      <c r="AE346" s="2">
        <f t="shared" si="53"/>
        <v>23.404255319148934</v>
      </c>
      <c r="AF346" s="2">
        <f t="shared" si="55"/>
        <v>426.07825874296896</v>
      </c>
    </row>
    <row r="347" spans="1:32" x14ac:dyDescent="0.35">
      <c r="A347" s="2" t="s">
        <v>735</v>
      </c>
      <c r="B347" s="2" t="s">
        <v>390</v>
      </c>
      <c r="C347" s="2">
        <v>30</v>
      </c>
      <c r="D347" s="2">
        <v>2.16</v>
      </c>
      <c r="E347" s="7">
        <v>3</v>
      </c>
      <c r="F347" s="7">
        <v>5</v>
      </c>
      <c r="G347" s="7">
        <v>4</v>
      </c>
      <c r="H347" s="7">
        <v>51</v>
      </c>
      <c r="I347" s="7">
        <v>0</v>
      </c>
      <c r="J347" s="7">
        <v>0</v>
      </c>
      <c r="K347" s="7">
        <v>0</v>
      </c>
      <c r="L347" s="7">
        <v>50</v>
      </c>
      <c r="N347" s="7">
        <v>32</v>
      </c>
      <c r="O347" s="7">
        <v>13</v>
      </c>
      <c r="P347" s="7">
        <v>12</v>
      </c>
      <c r="Q347" s="7">
        <v>3</v>
      </c>
      <c r="R347" s="7">
        <v>2</v>
      </c>
      <c r="S347" s="7">
        <v>21</v>
      </c>
      <c r="T347" s="7">
        <v>2</v>
      </c>
      <c r="U347" s="7">
        <v>42</v>
      </c>
      <c r="V347" s="2">
        <f t="shared" si="54"/>
        <v>25.096670179664763</v>
      </c>
      <c r="W347" s="7">
        <v>50</v>
      </c>
      <c r="X347" s="2">
        <f t="shared" si="47"/>
        <v>75.096670179664756</v>
      </c>
      <c r="Y347" s="2"/>
      <c r="Z347" s="2">
        <f t="shared" si="48"/>
        <v>205</v>
      </c>
      <c r="AA347" s="1">
        <f t="shared" si="49"/>
        <v>20.487804878048781</v>
      </c>
      <c r="AB347" s="1">
        <f t="shared" si="50"/>
        <v>11.219512195121952</v>
      </c>
      <c r="AC347" s="1">
        <f t="shared" si="51"/>
        <v>1.4634146341463417</v>
      </c>
      <c r="AD347" s="2">
        <f t="shared" si="52"/>
        <v>6.833333333333333</v>
      </c>
      <c r="AE347" s="2">
        <f t="shared" si="53"/>
        <v>9.2682926829268286</v>
      </c>
      <c r="AF347" s="2">
        <f t="shared" si="55"/>
        <v>125.48335089832381</v>
      </c>
    </row>
    <row r="348" spans="1:32" x14ac:dyDescent="0.35">
      <c r="A348" s="2" t="s">
        <v>736</v>
      </c>
      <c r="B348" s="2" t="s">
        <v>390</v>
      </c>
      <c r="C348" s="2">
        <v>30</v>
      </c>
      <c r="D348" s="2">
        <v>4.22</v>
      </c>
      <c r="E348" s="7">
        <v>0</v>
      </c>
      <c r="F348" s="7">
        <v>0</v>
      </c>
      <c r="G348" s="7">
        <v>0</v>
      </c>
      <c r="H348" s="7">
        <v>11</v>
      </c>
      <c r="I348" s="7">
        <v>0</v>
      </c>
      <c r="J348" s="7">
        <v>0</v>
      </c>
      <c r="K348" s="7">
        <v>0</v>
      </c>
      <c r="L348" s="7">
        <v>10</v>
      </c>
      <c r="M348" s="7">
        <v>2</v>
      </c>
      <c r="N348" s="7">
        <v>9</v>
      </c>
      <c r="O348" s="7">
        <v>6</v>
      </c>
      <c r="P348" s="7">
        <v>5</v>
      </c>
      <c r="Q348" s="7">
        <v>2</v>
      </c>
      <c r="R348" s="7">
        <v>0</v>
      </c>
      <c r="S348" s="7">
        <v>5</v>
      </c>
      <c r="T348" s="7">
        <v>0</v>
      </c>
      <c r="U348" s="7">
        <v>7</v>
      </c>
      <c r="V348" s="2">
        <f t="shared" si="54"/>
        <v>2.2855690638093282</v>
      </c>
      <c r="W348" s="7">
        <v>50</v>
      </c>
      <c r="X348" s="2">
        <f t="shared" si="47"/>
        <v>52.285569063809326</v>
      </c>
      <c r="Y348" s="2"/>
      <c r="Z348" s="2">
        <f t="shared" si="48"/>
        <v>46</v>
      </c>
      <c r="AA348" s="1">
        <f t="shared" si="49"/>
        <v>15.217391304347828</v>
      </c>
      <c r="AB348" s="1">
        <f t="shared" si="50"/>
        <v>10.869565217391305</v>
      </c>
      <c r="AC348" s="1">
        <f t="shared" si="51"/>
        <v>4.3478260869565215</v>
      </c>
      <c r="AD348" s="2">
        <f t="shared" si="52"/>
        <v>1.5333333333333334</v>
      </c>
      <c r="AE348" s="2">
        <f t="shared" si="53"/>
        <v>4.3478260869565233</v>
      </c>
      <c r="AF348" s="2">
        <f t="shared" si="55"/>
        <v>11.427845319046641</v>
      </c>
    </row>
    <row r="349" spans="1:32" x14ac:dyDescent="0.35">
      <c r="A349" s="2" t="s">
        <v>737</v>
      </c>
      <c r="B349" s="2" t="s">
        <v>390</v>
      </c>
      <c r="C349" s="2">
        <v>30</v>
      </c>
      <c r="D349" s="2">
        <v>5.55</v>
      </c>
      <c r="E349" s="7">
        <v>3</v>
      </c>
      <c r="F349" s="7">
        <v>2</v>
      </c>
      <c r="G349" s="7">
        <v>0</v>
      </c>
      <c r="H349" s="7">
        <v>43</v>
      </c>
      <c r="I349" s="7">
        <v>0</v>
      </c>
      <c r="J349" s="7">
        <v>0</v>
      </c>
      <c r="K349" s="7">
        <v>0</v>
      </c>
      <c r="L349" s="7">
        <v>47</v>
      </c>
      <c r="N349" s="7">
        <v>45</v>
      </c>
      <c r="O349" s="7">
        <v>31</v>
      </c>
      <c r="P349" s="7">
        <v>29</v>
      </c>
      <c r="Q349" s="7">
        <v>11</v>
      </c>
      <c r="R349" s="7">
        <v>0</v>
      </c>
      <c r="S349" s="7">
        <v>18</v>
      </c>
      <c r="T349" s="7">
        <v>4</v>
      </c>
      <c r="U349" s="7">
        <v>49</v>
      </c>
      <c r="V349" s="2">
        <f t="shared" si="54"/>
        <v>34.453917446858625</v>
      </c>
      <c r="W349" s="7">
        <v>50</v>
      </c>
      <c r="X349" s="2">
        <f t="shared" si="47"/>
        <v>84.453917446858625</v>
      </c>
      <c r="Y349" s="2"/>
      <c r="Z349" s="2">
        <f t="shared" si="48"/>
        <v>204</v>
      </c>
      <c r="AA349" s="1">
        <f t="shared" si="49"/>
        <v>24.019607843137255</v>
      </c>
      <c r="AB349" s="1">
        <f t="shared" si="50"/>
        <v>8.8235294117647065</v>
      </c>
      <c r="AC349" s="1">
        <f t="shared" si="51"/>
        <v>5.3921568627450984</v>
      </c>
      <c r="AD349" s="2">
        <f t="shared" si="52"/>
        <v>6.8</v>
      </c>
      <c r="AE349" s="2">
        <f t="shared" si="53"/>
        <v>15.196078431372548</v>
      </c>
      <c r="AF349" s="2">
        <f t="shared" si="55"/>
        <v>172.26958723429314</v>
      </c>
    </row>
    <row r="350" spans="1:32" x14ac:dyDescent="0.35">
      <c r="A350" s="2" t="s">
        <v>738</v>
      </c>
      <c r="B350" s="2" t="s">
        <v>388</v>
      </c>
      <c r="C350" s="2">
        <v>30</v>
      </c>
      <c r="D350" s="2">
        <v>7.71</v>
      </c>
      <c r="E350" s="7">
        <v>0</v>
      </c>
      <c r="F350" s="7">
        <v>0</v>
      </c>
      <c r="G350" s="7">
        <v>0</v>
      </c>
      <c r="H350" s="7">
        <v>2</v>
      </c>
      <c r="I350" s="7">
        <v>2</v>
      </c>
      <c r="J350" s="7">
        <v>0</v>
      </c>
      <c r="K350" s="7">
        <v>0</v>
      </c>
      <c r="L350" s="7">
        <v>7</v>
      </c>
      <c r="N350" s="7">
        <v>12</v>
      </c>
      <c r="O350" s="7">
        <v>7</v>
      </c>
      <c r="P350" s="7">
        <v>6</v>
      </c>
      <c r="Q350" s="7">
        <v>0</v>
      </c>
      <c r="R350" s="7">
        <v>0</v>
      </c>
      <c r="S350" s="7">
        <v>7</v>
      </c>
      <c r="T350" s="7">
        <v>0</v>
      </c>
      <c r="U350" s="7">
        <v>5</v>
      </c>
      <c r="V350" s="2">
        <f t="shared" si="54"/>
        <v>-0.12681942643032137</v>
      </c>
      <c r="W350" s="7">
        <v>50</v>
      </c>
      <c r="X350" s="2">
        <f t="shared" si="47"/>
        <v>49.873180573569677</v>
      </c>
      <c r="Y350" s="2"/>
      <c r="Z350" s="2">
        <f t="shared" si="48"/>
        <v>40</v>
      </c>
      <c r="AA350" s="1">
        <f t="shared" si="49"/>
        <v>12.5</v>
      </c>
      <c r="AB350" s="1">
        <f t="shared" si="50"/>
        <v>17.5</v>
      </c>
      <c r="AC350" s="1">
        <f t="shared" si="51"/>
        <v>0</v>
      </c>
      <c r="AD350" s="2">
        <f t="shared" si="52"/>
        <v>1.3333333333333333</v>
      </c>
      <c r="AE350" s="2">
        <f t="shared" si="53"/>
        <v>-5</v>
      </c>
      <c r="AF350" s="2">
        <f t="shared" si="55"/>
        <v>-0.6340971321516069</v>
      </c>
    </row>
    <row r="351" spans="1:32" x14ac:dyDescent="0.35">
      <c r="A351" s="2" t="s">
        <v>739</v>
      </c>
      <c r="B351" s="2" t="s">
        <v>390</v>
      </c>
      <c r="C351" s="2">
        <v>30</v>
      </c>
      <c r="D351" s="2">
        <v>7.5</v>
      </c>
      <c r="E351" s="7">
        <v>0</v>
      </c>
      <c r="F351" s="7">
        <v>0</v>
      </c>
      <c r="G351" s="7">
        <v>0</v>
      </c>
      <c r="H351" s="7">
        <v>6</v>
      </c>
      <c r="I351" s="7">
        <v>0</v>
      </c>
      <c r="J351" s="7">
        <v>0</v>
      </c>
      <c r="K351" s="7">
        <v>0</v>
      </c>
      <c r="L351" s="7">
        <v>6</v>
      </c>
      <c r="N351" s="7">
        <v>5</v>
      </c>
      <c r="O351" s="7">
        <v>5</v>
      </c>
      <c r="P351" s="7">
        <v>5</v>
      </c>
      <c r="Q351" s="7">
        <v>1</v>
      </c>
      <c r="R351" s="7">
        <v>1</v>
      </c>
      <c r="S351" s="7">
        <v>5</v>
      </c>
      <c r="T351" s="7">
        <v>0</v>
      </c>
      <c r="U351" s="7">
        <v>4</v>
      </c>
      <c r="V351" s="2">
        <f t="shared" si="54"/>
        <v>-0.67996015325670511</v>
      </c>
      <c r="W351" s="7">
        <v>50</v>
      </c>
      <c r="X351" s="2">
        <f t="shared" si="47"/>
        <v>49.320039846743292</v>
      </c>
      <c r="Y351" s="2"/>
      <c r="Z351" s="2">
        <f t="shared" si="48"/>
        <v>29</v>
      </c>
      <c r="AA351" s="1">
        <f t="shared" si="49"/>
        <v>13.793103448275861</v>
      </c>
      <c r="AB351" s="1">
        <f t="shared" si="50"/>
        <v>20.689655172413794</v>
      </c>
      <c r="AC351" s="1">
        <f t="shared" si="51"/>
        <v>3.4482758620689653</v>
      </c>
      <c r="AD351" s="2">
        <f t="shared" si="52"/>
        <v>0.96666666666666667</v>
      </c>
      <c r="AE351" s="2">
        <f t="shared" si="53"/>
        <v>-6.8965517241379324</v>
      </c>
      <c r="AF351" s="2">
        <f t="shared" si="55"/>
        <v>-3.3998007662835255</v>
      </c>
    </row>
    <row r="352" spans="1:32" x14ac:dyDescent="0.35">
      <c r="A352" s="2" t="s">
        <v>740</v>
      </c>
      <c r="B352" s="2" t="s">
        <v>388</v>
      </c>
      <c r="C352" s="2">
        <v>30</v>
      </c>
      <c r="D352" s="2">
        <v>4.8499999999999996</v>
      </c>
      <c r="E352" s="7">
        <v>4</v>
      </c>
      <c r="F352" s="7">
        <v>9</v>
      </c>
      <c r="G352" s="7">
        <v>1</v>
      </c>
      <c r="H352" s="7">
        <v>23</v>
      </c>
      <c r="I352" s="7">
        <v>18</v>
      </c>
      <c r="J352" s="7">
        <v>0</v>
      </c>
      <c r="K352" s="7">
        <v>0</v>
      </c>
      <c r="L352" s="7">
        <v>102</v>
      </c>
      <c r="N352" s="7">
        <v>96</v>
      </c>
      <c r="O352" s="7">
        <v>59</v>
      </c>
      <c r="P352" s="7">
        <v>55</v>
      </c>
      <c r="Q352" s="7">
        <v>16</v>
      </c>
      <c r="R352" s="7">
        <v>7</v>
      </c>
      <c r="S352" s="7">
        <v>33</v>
      </c>
      <c r="T352" s="7">
        <v>1</v>
      </c>
      <c r="U352" s="7">
        <v>88</v>
      </c>
      <c r="V352" s="2">
        <f t="shared" si="54"/>
        <v>71.836470484572359</v>
      </c>
      <c r="W352" s="7">
        <v>50</v>
      </c>
      <c r="X352" s="2">
        <f t="shared" si="47"/>
        <v>121.83647048457236</v>
      </c>
      <c r="Y352" s="2"/>
      <c r="Z352" s="2">
        <f t="shared" si="48"/>
        <v>442</v>
      </c>
      <c r="AA352" s="1">
        <f t="shared" si="49"/>
        <v>19.909502262443439</v>
      </c>
      <c r="AB352" s="1">
        <f t="shared" si="50"/>
        <v>9.0497737556561084</v>
      </c>
      <c r="AC352" s="1">
        <f t="shared" si="51"/>
        <v>3.6199095022624439</v>
      </c>
      <c r="AD352" s="2">
        <f t="shared" si="52"/>
        <v>14.733333333333333</v>
      </c>
      <c r="AE352" s="2">
        <f t="shared" si="53"/>
        <v>10.859728506787331</v>
      </c>
      <c r="AF352" s="2">
        <f t="shared" si="55"/>
        <v>359.18235242286181</v>
      </c>
    </row>
    <row r="353" spans="1:32" x14ac:dyDescent="0.35">
      <c r="A353" s="2" t="s">
        <v>741</v>
      </c>
      <c r="B353" s="2" t="s">
        <v>388</v>
      </c>
      <c r="C353" s="2">
        <v>30</v>
      </c>
      <c r="D353" s="2">
        <v>3.71</v>
      </c>
      <c r="E353" s="7">
        <v>3</v>
      </c>
      <c r="F353" s="7">
        <v>0</v>
      </c>
      <c r="G353" s="7">
        <v>0</v>
      </c>
      <c r="H353" s="7">
        <v>8</v>
      </c>
      <c r="I353" s="7">
        <v>5</v>
      </c>
      <c r="J353" s="7">
        <v>0</v>
      </c>
      <c r="K353" s="7">
        <v>0</v>
      </c>
      <c r="L353" s="7">
        <v>34</v>
      </c>
      <c r="N353" s="7">
        <v>40</v>
      </c>
      <c r="O353" s="7">
        <v>20</v>
      </c>
      <c r="P353" s="7">
        <v>14</v>
      </c>
      <c r="Q353" s="7">
        <v>6</v>
      </c>
      <c r="R353" s="7">
        <v>1</v>
      </c>
      <c r="S353" s="7">
        <v>9</v>
      </c>
      <c r="T353" s="7">
        <v>0</v>
      </c>
      <c r="U353" s="7">
        <v>25</v>
      </c>
      <c r="V353" s="2">
        <f t="shared" si="54"/>
        <v>20.181825633265557</v>
      </c>
      <c r="W353" s="7">
        <v>50</v>
      </c>
      <c r="X353" s="2">
        <f t="shared" si="47"/>
        <v>70.181825633265561</v>
      </c>
      <c r="Y353" s="2"/>
      <c r="Z353" s="2">
        <f t="shared" si="48"/>
        <v>152</v>
      </c>
      <c r="AA353" s="1">
        <f t="shared" si="49"/>
        <v>16.447368421052634</v>
      </c>
      <c r="AB353" s="1">
        <f t="shared" si="50"/>
        <v>6.5789473684210522</v>
      </c>
      <c r="AC353" s="1">
        <f t="shared" si="51"/>
        <v>3.9473684210526314</v>
      </c>
      <c r="AD353" s="2">
        <f t="shared" si="52"/>
        <v>5.0666666666666664</v>
      </c>
      <c r="AE353" s="2">
        <f t="shared" si="53"/>
        <v>9.8684210526315823</v>
      </c>
      <c r="AF353" s="2">
        <f t="shared" si="55"/>
        <v>100.90912816632779</v>
      </c>
    </row>
    <row r="354" spans="1:32" x14ac:dyDescent="0.35">
      <c r="A354" s="2" t="s">
        <v>742</v>
      </c>
      <c r="B354" s="2" t="s">
        <v>390</v>
      </c>
      <c r="C354" s="2">
        <v>30</v>
      </c>
      <c r="D354" s="2">
        <v>1.69</v>
      </c>
      <c r="E354" s="7">
        <v>0</v>
      </c>
      <c r="F354" s="7">
        <v>0</v>
      </c>
      <c r="G354" s="7">
        <v>0</v>
      </c>
      <c r="H354" s="7">
        <v>1</v>
      </c>
      <c r="I354" s="7">
        <v>0</v>
      </c>
      <c r="J354" s="7">
        <v>0</v>
      </c>
      <c r="K354" s="7">
        <v>0</v>
      </c>
      <c r="L354" s="7">
        <v>5</v>
      </c>
      <c r="M354" s="7">
        <v>1</v>
      </c>
      <c r="N354" s="7">
        <v>2</v>
      </c>
      <c r="O354" s="7">
        <v>1</v>
      </c>
      <c r="P354" s="7">
        <v>1</v>
      </c>
      <c r="Q354" s="7">
        <v>1</v>
      </c>
      <c r="R354" s="7">
        <v>0</v>
      </c>
      <c r="S354" s="7">
        <v>2</v>
      </c>
      <c r="T354" s="7">
        <v>0</v>
      </c>
      <c r="U354" s="7">
        <v>1</v>
      </c>
      <c r="V354" s="2">
        <f t="shared" si="54"/>
        <v>-2.0512820512820511</v>
      </c>
      <c r="W354" s="7">
        <v>50</v>
      </c>
      <c r="X354" s="2">
        <f t="shared" si="47"/>
        <v>47.948717948717949</v>
      </c>
      <c r="Y354" s="2"/>
      <c r="Z354" s="2">
        <f t="shared" si="48"/>
        <v>20</v>
      </c>
      <c r="AA354" s="1">
        <f t="shared" si="49"/>
        <v>5</v>
      </c>
      <c r="AB354" s="1">
        <f t="shared" si="50"/>
        <v>10</v>
      </c>
      <c r="AC354" s="1">
        <f t="shared" si="51"/>
        <v>5</v>
      </c>
      <c r="AD354" s="2">
        <f t="shared" si="52"/>
        <v>0.66666666666666663</v>
      </c>
      <c r="AE354" s="2">
        <f t="shared" si="53"/>
        <v>-5</v>
      </c>
      <c r="AF354" s="2">
        <f t="shared" si="55"/>
        <v>-10.256410256410255</v>
      </c>
    </row>
    <row r="355" spans="1:32" x14ac:dyDescent="0.35">
      <c r="A355" s="2" t="s">
        <v>743</v>
      </c>
      <c r="B355" s="2" t="s">
        <v>390</v>
      </c>
      <c r="C355" s="2">
        <v>30</v>
      </c>
      <c r="D355" s="2">
        <v>6.97</v>
      </c>
      <c r="E355" s="7">
        <v>0</v>
      </c>
      <c r="F355" s="7">
        <v>0</v>
      </c>
      <c r="G355" s="7">
        <v>2</v>
      </c>
      <c r="H355" s="7">
        <v>12</v>
      </c>
      <c r="I355" s="7">
        <v>0</v>
      </c>
      <c r="J355" s="7">
        <v>0</v>
      </c>
      <c r="K355" s="7">
        <v>0</v>
      </c>
      <c r="L355" s="7">
        <v>20</v>
      </c>
      <c r="M355" s="7">
        <v>2</v>
      </c>
      <c r="N355" s="7">
        <v>24</v>
      </c>
      <c r="O355" s="7">
        <v>17</v>
      </c>
      <c r="P355" s="7">
        <v>16</v>
      </c>
      <c r="Q355" s="7">
        <v>4</v>
      </c>
      <c r="R355" s="7">
        <v>3</v>
      </c>
      <c r="S355" s="7">
        <v>7</v>
      </c>
      <c r="T355" s="7">
        <v>1</v>
      </c>
      <c r="U355" s="7">
        <v>21</v>
      </c>
      <c r="V355" s="2">
        <f t="shared" si="54"/>
        <v>6.9541208353259991</v>
      </c>
      <c r="W355" s="7">
        <v>50</v>
      </c>
      <c r="X355" s="2">
        <f t="shared" si="47"/>
        <v>56.954120835326002</v>
      </c>
      <c r="Y355" s="2"/>
      <c r="Z355" s="2">
        <f t="shared" si="48"/>
        <v>96</v>
      </c>
      <c r="AA355" s="1">
        <f t="shared" si="49"/>
        <v>21.875</v>
      </c>
      <c r="AB355" s="1">
        <f t="shared" si="50"/>
        <v>10.416666666666668</v>
      </c>
      <c r="AC355" s="1">
        <f t="shared" si="51"/>
        <v>4.1666666666666661</v>
      </c>
      <c r="AD355" s="2">
        <f t="shared" si="52"/>
        <v>3.2</v>
      </c>
      <c r="AE355" s="2">
        <f t="shared" si="53"/>
        <v>11.458333333333332</v>
      </c>
      <c r="AF355" s="2">
        <f t="shared" si="55"/>
        <v>34.770604176629995</v>
      </c>
    </row>
    <row r="356" spans="1:32" x14ac:dyDescent="0.35">
      <c r="A356" s="2" t="s">
        <v>744</v>
      </c>
      <c r="B356" s="2" t="s">
        <v>390</v>
      </c>
      <c r="C356" s="2">
        <v>30</v>
      </c>
      <c r="D356" s="2">
        <v>2.25</v>
      </c>
      <c r="E356" s="7">
        <v>1</v>
      </c>
      <c r="F356" s="7">
        <v>0</v>
      </c>
      <c r="G356" s="7">
        <v>0</v>
      </c>
      <c r="H356" s="7">
        <v>2</v>
      </c>
      <c r="I356" s="7">
        <v>0</v>
      </c>
      <c r="J356" s="7">
        <v>0</v>
      </c>
      <c r="K356" s="7">
        <v>0</v>
      </c>
      <c r="L356" s="7">
        <v>4</v>
      </c>
      <c r="N356" s="7">
        <v>2</v>
      </c>
      <c r="O356" s="7">
        <v>1</v>
      </c>
      <c r="P356" s="7">
        <v>1</v>
      </c>
      <c r="Q356" s="7">
        <v>0</v>
      </c>
      <c r="R356" s="7">
        <v>0</v>
      </c>
      <c r="S356" s="7">
        <v>2</v>
      </c>
      <c r="T356" s="7">
        <v>0</v>
      </c>
      <c r="U356" s="7">
        <v>5</v>
      </c>
      <c r="V356" s="2">
        <f t="shared" si="54"/>
        <v>0.91417283950617301</v>
      </c>
      <c r="W356" s="7">
        <v>50</v>
      </c>
      <c r="X356" s="2">
        <f t="shared" si="47"/>
        <v>50.914172839506172</v>
      </c>
      <c r="Y356" s="2"/>
      <c r="Z356" s="2">
        <f t="shared" si="48"/>
        <v>16</v>
      </c>
      <c r="AA356" s="1">
        <f t="shared" si="49"/>
        <v>31.25</v>
      </c>
      <c r="AB356" s="1">
        <f t="shared" si="50"/>
        <v>12.5</v>
      </c>
      <c r="AC356" s="1">
        <f t="shared" si="51"/>
        <v>0</v>
      </c>
      <c r="AD356" s="2">
        <f t="shared" si="52"/>
        <v>0.53333333333333333</v>
      </c>
      <c r="AE356" s="2">
        <f t="shared" si="53"/>
        <v>18.75</v>
      </c>
      <c r="AF356" s="2">
        <f t="shared" si="55"/>
        <v>4.5708641975308648</v>
      </c>
    </row>
    <row r="357" spans="1:32" x14ac:dyDescent="0.35">
      <c r="A357" s="2" t="s">
        <v>745</v>
      </c>
      <c r="B357" s="2" t="s">
        <v>390</v>
      </c>
      <c r="C357" s="2">
        <v>30</v>
      </c>
      <c r="D357" s="2">
        <v>4.28</v>
      </c>
      <c r="E357" s="7">
        <v>2</v>
      </c>
      <c r="F357" s="7">
        <v>1</v>
      </c>
      <c r="G357" s="7">
        <v>0</v>
      </c>
      <c r="H357" s="7">
        <v>36</v>
      </c>
      <c r="I357" s="7">
        <v>1</v>
      </c>
      <c r="J357" s="7">
        <v>0</v>
      </c>
      <c r="K357" s="7">
        <v>0</v>
      </c>
      <c r="L357" s="7">
        <v>40</v>
      </c>
      <c r="N357" s="7">
        <v>28</v>
      </c>
      <c r="O357" s="7">
        <v>20</v>
      </c>
      <c r="P357" s="7">
        <v>19</v>
      </c>
      <c r="Q357" s="7">
        <v>5</v>
      </c>
      <c r="R357" s="7">
        <v>1</v>
      </c>
      <c r="S357" s="7">
        <v>22</v>
      </c>
      <c r="T357" s="7">
        <v>1</v>
      </c>
      <c r="U357" s="7">
        <v>42</v>
      </c>
      <c r="V357" s="2">
        <f t="shared" si="54"/>
        <v>17.570491519556935</v>
      </c>
      <c r="W357" s="7">
        <v>50</v>
      </c>
      <c r="X357" s="2">
        <f t="shared" si="47"/>
        <v>67.570491519556938</v>
      </c>
      <c r="Y357" s="2"/>
      <c r="Z357" s="2">
        <f t="shared" si="48"/>
        <v>171</v>
      </c>
      <c r="AA357" s="1">
        <f t="shared" si="49"/>
        <v>24.561403508771928</v>
      </c>
      <c r="AB357" s="1">
        <f t="shared" si="50"/>
        <v>13.450292397660817</v>
      </c>
      <c r="AC357" s="1">
        <f t="shared" si="51"/>
        <v>2.9239766081871341</v>
      </c>
      <c r="AD357" s="2">
        <f t="shared" si="52"/>
        <v>5.7</v>
      </c>
      <c r="AE357" s="2">
        <f t="shared" si="53"/>
        <v>11.111111111111111</v>
      </c>
      <c r="AF357" s="2">
        <f t="shared" si="55"/>
        <v>87.852457597784678</v>
      </c>
    </row>
    <row r="358" spans="1:32" x14ac:dyDescent="0.35">
      <c r="A358" s="2" t="s">
        <v>746</v>
      </c>
      <c r="B358" s="2" t="s">
        <v>390</v>
      </c>
      <c r="C358" s="2">
        <v>30</v>
      </c>
      <c r="D358" s="2">
        <v>0</v>
      </c>
      <c r="E358" s="7">
        <v>1</v>
      </c>
      <c r="F358" s="7">
        <v>0</v>
      </c>
      <c r="G358" s="7">
        <v>0</v>
      </c>
      <c r="H358" s="7">
        <v>12</v>
      </c>
      <c r="I358" s="7">
        <v>0</v>
      </c>
      <c r="J358" s="7">
        <v>0</v>
      </c>
      <c r="K358" s="7">
        <v>0</v>
      </c>
      <c r="L358" s="7">
        <v>10</v>
      </c>
      <c r="M358" s="7">
        <v>2</v>
      </c>
      <c r="N358" s="7">
        <v>6</v>
      </c>
      <c r="O358" s="7">
        <v>0</v>
      </c>
      <c r="P358" s="7">
        <v>0</v>
      </c>
      <c r="Q358" s="7">
        <v>0</v>
      </c>
      <c r="R358" s="7">
        <v>0</v>
      </c>
      <c r="S358" s="7">
        <v>1</v>
      </c>
      <c r="T358" s="7">
        <v>0</v>
      </c>
      <c r="U358" s="7">
        <v>11</v>
      </c>
      <c r="V358" s="2" t="e">
        <f t="shared" si="54"/>
        <v>#DIV/0!</v>
      </c>
      <c r="W358" s="7">
        <v>50</v>
      </c>
      <c r="X358" s="2" t="e">
        <f t="shared" si="47"/>
        <v>#DIV/0!</v>
      </c>
      <c r="Y358" s="2"/>
      <c r="Z358" s="2">
        <f t="shared" si="48"/>
        <v>39</v>
      </c>
      <c r="AA358" s="1">
        <f t="shared" si="49"/>
        <v>28.205128205128204</v>
      </c>
      <c r="AB358" s="1">
        <f t="shared" si="50"/>
        <v>2.5641025641025639</v>
      </c>
      <c r="AC358" s="1">
        <f t="shared" si="51"/>
        <v>0</v>
      </c>
      <c r="AD358" s="2">
        <f t="shared" si="52"/>
        <v>1.3</v>
      </c>
      <c r="AE358" s="2">
        <f t="shared" si="53"/>
        <v>25.641025641025642</v>
      </c>
      <c r="AF358" s="2" t="e">
        <f t="shared" si="55"/>
        <v>#DIV/0!</v>
      </c>
    </row>
    <row r="359" spans="1:32" x14ac:dyDescent="0.35">
      <c r="A359" s="2" t="s">
        <v>747</v>
      </c>
      <c r="B359" s="2" t="s">
        <v>390</v>
      </c>
      <c r="C359" s="2">
        <v>30</v>
      </c>
      <c r="D359" s="2">
        <v>5.82</v>
      </c>
      <c r="E359" s="7">
        <v>2</v>
      </c>
      <c r="F359" s="7">
        <v>1</v>
      </c>
      <c r="G359" s="7">
        <v>0</v>
      </c>
      <c r="H359" s="7">
        <v>12</v>
      </c>
      <c r="I359" s="7">
        <v>1</v>
      </c>
      <c r="J359" s="7">
        <v>0</v>
      </c>
      <c r="K359" s="7">
        <v>0</v>
      </c>
      <c r="L359" s="7">
        <v>34</v>
      </c>
      <c r="N359" s="7">
        <v>40</v>
      </c>
      <c r="O359" s="7">
        <v>23</v>
      </c>
      <c r="P359" s="7">
        <v>22</v>
      </c>
      <c r="Q359" s="7">
        <v>7</v>
      </c>
      <c r="R359" s="7">
        <v>0</v>
      </c>
      <c r="S359" s="7">
        <v>17</v>
      </c>
      <c r="T359" s="7">
        <v>2</v>
      </c>
      <c r="U359" s="7">
        <v>22</v>
      </c>
      <c r="V359" s="2">
        <f t="shared" si="54"/>
        <v>8.3092300820563789</v>
      </c>
      <c r="W359" s="7">
        <v>50</v>
      </c>
      <c r="X359" s="2">
        <f t="shared" si="47"/>
        <v>58.309230082056381</v>
      </c>
      <c r="Y359" s="2"/>
      <c r="Z359" s="2">
        <f t="shared" si="48"/>
        <v>159</v>
      </c>
      <c r="AA359" s="1">
        <f t="shared" si="49"/>
        <v>13.836477987421384</v>
      </c>
      <c r="AB359" s="1">
        <f t="shared" si="50"/>
        <v>10.691823899371069</v>
      </c>
      <c r="AC359" s="1">
        <f t="shared" si="51"/>
        <v>4.4025157232704402</v>
      </c>
      <c r="AD359" s="2">
        <f t="shared" si="52"/>
        <v>5.3</v>
      </c>
      <c r="AE359" s="2">
        <f t="shared" si="53"/>
        <v>3.1446540880503147</v>
      </c>
      <c r="AF359" s="2">
        <f t="shared" si="55"/>
        <v>41.546150410281896</v>
      </c>
    </row>
    <row r="360" spans="1:32" x14ac:dyDescent="0.35">
      <c r="A360" s="2" t="s">
        <v>748</v>
      </c>
      <c r="B360" s="2" t="s">
        <v>390</v>
      </c>
      <c r="C360" s="2">
        <v>30</v>
      </c>
      <c r="D360" s="2">
        <v>5.0599999999999996</v>
      </c>
      <c r="E360" s="7">
        <v>0</v>
      </c>
      <c r="F360" s="7">
        <v>0</v>
      </c>
      <c r="G360" s="7">
        <v>0</v>
      </c>
      <c r="H360" s="7">
        <v>10</v>
      </c>
      <c r="I360" s="7">
        <v>0</v>
      </c>
      <c r="J360" s="7">
        <v>0</v>
      </c>
      <c r="K360" s="7">
        <v>0</v>
      </c>
      <c r="L360" s="7">
        <v>10</v>
      </c>
      <c r="M360" s="7">
        <v>2</v>
      </c>
      <c r="N360" s="7">
        <v>12</v>
      </c>
      <c r="O360" s="7">
        <v>6</v>
      </c>
      <c r="P360" s="7">
        <v>6</v>
      </c>
      <c r="Q360" s="7">
        <v>3</v>
      </c>
      <c r="R360" s="7">
        <v>0</v>
      </c>
      <c r="S360" s="7">
        <v>8</v>
      </c>
      <c r="T360" s="7">
        <v>0</v>
      </c>
      <c r="U360" s="7">
        <v>11</v>
      </c>
      <c r="V360" s="2">
        <f t="shared" si="54"/>
        <v>3.4794500185804531</v>
      </c>
      <c r="W360" s="7">
        <v>50</v>
      </c>
      <c r="X360" s="2">
        <f t="shared" si="47"/>
        <v>53.479450018580451</v>
      </c>
      <c r="Y360" s="2"/>
      <c r="Z360" s="2">
        <f t="shared" si="48"/>
        <v>52</v>
      </c>
      <c r="AA360" s="1">
        <f t="shared" si="49"/>
        <v>21.153846153846153</v>
      </c>
      <c r="AB360" s="1">
        <f t="shared" si="50"/>
        <v>15.384615384615385</v>
      </c>
      <c r="AC360" s="1">
        <f t="shared" si="51"/>
        <v>5.7692307692307692</v>
      </c>
      <c r="AD360" s="2">
        <f t="shared" si="52"/>
        <v>1.7333333333333334</v>
      </c>
      <c r="AE360" s="2">
        <f t="shared" si="53"/>
        <v>5.7692307692307683</v>
      </c>
      <c r="AF360" s="2">
        <f t="shared" si="55"/>
        <v>17.397250092902265</v>
      </c>
    </row>
    <row r="361" spans="1:32" x14ac:dyDescent="0.35">
      <c r="A361" s="2" t="s">
        <v>749</v>
      </c>
      <c r="B361" s="2" t="s">
        <v>390</v>
      </c>
      <c r="C361" s="2">
        <v>30</v>
      </c>
      <c r="D361" s="2">
        <v>4.58</v>
      </c>
      <c r="E361" s="7">
        <v>1</v>
      </c>
      <c r="F361" s="7">
        <v>3</v>
      </c>
      <c r="G361" s="7">
        <v>0</v>
      </c>
      <c r="H361" s="7">
        <v>28</v>
      </c>
      <c r="I361" s="7">
        <v>0</v>
      </c>
      <c r="J361" s="7">
        <v>0</v>
      </c>
      <c r="K361" s="7">
        <v>0</v>
      </c>
      <c r="L361" s="7">
        <v>35</v>
      </c>
      <c r="M361" s="7">
        <v>1</v>
      </c>
      <c r="N361" s="7">
        <v>35</v>
      </c>
      <c r="O361" s="7">
        <v>21</v>
      </c>
      <c r="P361" s="7">
        <v>18</v>
      </c>
      <c r="Q361" s="7">
        <v>3</v>
      </c>
      <c r="R361" s="7">
        <v>3</v>
      </c>
      <c r="S361" s="7">
        <v>12</v>
      </c>
      <c r="T361" s="7">
        <v>1</v>
      </c>
      <c r="U361" s="7">
        <v>35</v>
      </c>
      <c r="V361" s="2">
        <f t="shared" si="54"/>
        <v>11.96121374986004</v>
      </c>
      <c r="W361" s="7">
        <v>50</v>
      </c>
      <c r="X361" s="2">
        <f t="shared" si="47"/>
        <v>61.961213749860036</v>
      </c>
      <c r="Y361" s="2"/>
      <c r="Z361" s="2">
        <f t="shared" si="48"/>
        <v>156</v>
      </c>
      <c r="AA361" s="1">
        <f t="shared" si="49"/>
        <v>22.435897435897438</v>
      </c>
      <c r="AB361" s="1">
        <f t="shared" si="50"/>
        <v>9.6153846153846168</v>
      </c>
      <c r="AC361" s="1">
        <f t="shared" si="51"/>
        <v>1.9230769230769231</v>
      </c>
      <c r="AD361" s="2">
        <f t="shared" si="52"/>
        <v>5.2</v>
      </c>
      <c r="AE361" s="2">
        <f t="shared" si="53"/>
        <v>12.820512820512821</v>
      </c>
      <c r="AF361" s="2">
        <f t="shared" si="55"/>
        <v>59.806068749300195</v>
      </c>
    </row>
    <row r="362" spans="1:32" x14ac:dyDescent="0.35">
      <c r="A362" s="2" t="s">
        <v>750</v>
      </c>
      <c r="B362" s="2" t="s">
        <v>390</v>
      </c>
      <c r="C362" s="2">
        <v>30</v>
      </c>
      <c r="D362" s="2">
        <v>4.66</v>
      </c>
      <c r="E362" s="7">
        <v>2</v>
      </c>
      <c r="F362" s="7">
        <v>1</v>
      </c>
      <c r="G362" s="7">
        <v>0</v>
      </c>
      <c r="H362" s="7">
        <v>51</v>
      </c>
      <c r="I362" s="7">
        <v>0</v>
      </c>
      <c r="J362" s="7">
        <v>0</v>
      </c>
      <c r="K362" s="7">
        <v>0</v>
      </c>
      <c r="L362" s="7">
        <v>48</v>
      </c>
      <c r="M362" s="7">
        <v>1</v>
      </c>
      <c r="N362" s="7">
        <v>65</v>
      </c>
      <c r="O362" s="7">
        <v>30</v>
      </c>
      <c r="P362" s="7">
        <v>25</v>
      </c>
      <c r="Q362" s="7">
        <v>8</v>
      </c>
      <c r="R362" s="7">
        <v>0</v>
      </c>
      <c r="S362" s="7">
        <v>14</v>
      </c>
      <c r="T362" s="7">
        <v>0</v>
      </c>
      <c r="U362" s="7">
        <v>28</v>
      </c>
      <c r="V362" s="2">
        <f t="shared" si="54"/>
        <v>20.094229852169764</v>
      </c>
      <c r="W362" s="7">
        <v>50</v>
      </c>
      <c r="X362" s="2">
        <f t="shared" si="47"/>
        <v>70.094229852169761</v>
      </c>
      <c r="Y362" s="2"/>
      <c r="Z362" s="2">
        <f t="shared" si="48"/>
        <v>224</v>
      </c>
      <c r="AA362" s="1">
        <f t="shared" si="49"/>
        <v>12.5</v>
      </c>
      <c r="AB362" s="1">
        <f t="shared" si="50"/>
        <v>6.25</v>
      </c>
      <c r="AC362" s="1">
        <f t="shared" si="51"/>
        <v>3.5714285714285712</v>
      </c>
      <c r="AD362" s="2">
        <f t="shared" si="52"/>
        <v>7.4666666666666668</v>
      </c>
      <c r="AE362" s="2">
        <f t="shared" si="53"/>
        <v>6.25</v>
      </c>
      <c r="AF362" s="2">
        <f t="shared" si="55"/>
        <v>100.47114926084882</v>
      </c>
    </row>
    <row r="363" spans="1:32" x14ac:dyDescent="0.35">
      <c r="A363" s="2" t="s">
        <v>751</v>
      </c>
      <c r="B363" s="2" t="s">
        <v>390</v>
      </c>
      <c r="C363" s="2">
        <v>30</v>
      </c>
      <c r="D363" s="2">
        <v>5.4</v>
      </c>
      <c r="E363" s="7">
        <v>0</v>
      </c>
      <c r="F363" s="7">
        <v>0</v>
      </c>
      <c r="G363" s="7">
        <v>0</v>
      </c>
      <c r="H363" s="7">
        <v>3</v>
      </c>
      <c r="I363" s="7">
        <v>0</v>
      </c>
      <c r="J363" s="7">
        <v>0</v>
      </c>
      <c r="K363" s="7">
        <v>0</v>
      </c>
      <c r="L363" s="7">
        <v>3</v>
      </c>
      <c r="M363" s="7">
        <v>1</v>
      </c>
      <c r="N363" s="7">
        <v>5</v>
      </c>
      <c r="O363" s="7">
        <v>2</v>
      </c>
      <c r="P363" s="7">
        <v>2</v>
      </c>
      <c r="Q363" s="7">
        <v>0</v>
      </c>
      <c r="R363" s="7">
        <v>0</v>
      </c>
      <c r="S363" s="7">
        <v>1</v>
      </c>
      <c r="T363" s="7">
        <v>0</v>
      </c>
      <c r="U363" s="7">
        <v>3</v>
      </c>
      <c r="V363" s="2">
        <f t="shared" si="54"/>
        <v>0.25744855967078184</v>
      </c>
      <c r="W363" s="7">
        <v>50</v>
      </c>
      <c r="X363" s="2">
        <f t="shared" si="47"/>
        <v>50.257448559670785</v>
      </c>
      <c r="Y363" s="2"/>
      <c r="Z363" s="2">
        <f t="shared" si="48"/>
        <v>16</v>
      </c>
      <c r="AA363" s="1">
        <f t="shared" si="49"/>
        <v>18.75</v>
      </c>
      <c r="AB363" s="1">
        <f t="shared" si="50"/>
        <v>6.25</v>
      </c>
      <c r="AC363" s="1">
        <f t="shared" si="51"/>
        <v>0</v>
      </c>
      <c r="AD363" s="2">
        <f t="shared" si="52"/>
        <v>0.53333333333333333</v>
      </c>
      <c r="AE363" s="2">
        <f t="shared" si="53"/>
        <v>12.5</v>
      </c>
      <c r="AF363" s="2">
        <f t="shared" si="55"/>
        <v>1.2872427983539092</v>
      </c>
    </row>
    <row r="364" spans="1:32" x14ac:dyDescent="0.35">
      <c r="A364" s="2" t="s">
        <v>752</v>
      </c>
      <c r="B364" s="2" t="s">
        <v>388</v>
      </c>
      <c r="C364" s="2">
        <v>30</v>
      </c>
      <c r="D364" s="2">
        <v>3.18</v>
      </c>
      <c r="E364" s="7">
        <v>9</v>
      </c>
      <c r="F364" s="7">
        <v>2</v>
      </c>
      <c r="G364" s="7">
        <v>0</v>
      </c>
      <c r="H364" s="7">
        <v>28</v>
      </c>
      <c r="I364" s="7">
        <v>15</v>
      </c>
      <c r="J364" s="7">
        <v>0</v>
      </c>
      <c r="K364" s="7">
        <v>0</v>
      </c>
      <c r="L364" s="7">
        <v>104</v>
      </c>
      <c r="M364" s="7">
        <v>2</v>
      </c>
      <c r="N364" s="7">
        <v>90</v>
      </c>
      <c r="O364" s="7">
        <v>39</v>
      </c>
      <c r="P364" s="7">
        <v>37</v>
      </c>
      <c r="Q364" s="7">
        <v>15</v>
      </c>
      <c r="R364" s="7">
        <v>2</v>
      </c>
      <c r="S364" s="7">
        <v>26</v>
      </c>
      <c r="T364" s="7">
        <v>1</v>
      </c>
      <c r="U364" s="7">
        <v>102</v>
      </c>
      <c r="V364" s="2">
        <f t="shared" si="54"/>
        <v>127.70491497787097</v>
      </c>
      <c r="W364" s="7">
        <v>50</v>
      </c>
      <c r="X364" s="2">
        <f t="shared" si="47"/>
        <v>177.70491497787097</v>
      </c>
      <c r="Y364" s="2"/>
      <c r="Z364" s="2">
        <f t="shared" si="48"/>
        <v>432</v>
      </c>
      <c r="AA364" s="1">
        <f t="shared" si="49"/>
        <v>23.611111111111111</v>
      </c>
      <c r="AB364" s="1">
        <f t="shared" si="50"/>
        <v>6.481481481481481</v>
      </c>
      <c r="AC364" s="1">
        <f t="shared" si="51"/>
        <v>3.4722222222222223</v>
      </c>
      <c r="AD364" s="2">
        <f t="shared" si="52"/>
        <v>14.4</v>
      </c>
      <c r="AE364" s="2">
        <f t="shared" si="53"/>
        <v>17.12962962962963</v>
      </c>
      <c r="AF364" s="2">
        <f t="shared" si="55"/>
        <v>638.52457488935488</v>
      </c>
    </row>
    <row r="365" spans="1:32" x14ac:dyDescent="0.35">
      <c r="A365" s="2" t="s">
        <v>753</v>
      </c>
      <c r="B365" s="2" t="s">
        <v>390</v>
      </c>
      <c r="C365" s="2">
        <v>30</v>
      </c>
      <c r="D365" s="2">
        <v>0.51</v>
      </c>
      <c r="E365" s="7">
        <v>1</v>
      </c>
      <c r="F365" s="7">
        <v>0</v>
      </c>
      <c r="G365" s="7">
        <v>0</v>
      </c>
      <c r="H365" s="7">
        <v>17</v>
      </c>
      <c r="I365" s="7">
        <v>0</v>
      </c>
      <c r="J365" s="7">
        <v>0</v>
      </c>
      <c r="K365" s="7">
        <v>0</v>
      </c>
      <c r="L365" s="7">
        <v>17</v>
      </c>
      <c r="M365" s="7">
        <v>2</v>
      </c>
      <c r="N365" s="7">
        <v>9</v>
      </c>
      <c r="O365" s="7">
        <v>1</v>
      </c>
      <c r="P365" s="7">
        <v>1</v>
      </c>
      <c r="Q365" s="7">
        <v>0</v>
      </c>
      <c r="R365" s="7">
        <v>2</v>
      </c>
      <c r="S365" s="7">
        <v>8</v>
      </c>
      <c r="T365" s="7">
        <v>2</v>
      </c>
      <c r="U365" s="7">
        <v>23</v>
      </c>
      <c r="V365" s="2">
        <f t="shared" si="54"/>
        <v>19.252287581699342</v>
      </c>
      <c r="W365" s="7">
        <v>50</v>
      </c>
      <c r="X365" s="2">
        <f t="shared" si="47"/>
        <v>69.252287581699335</v>
      </c>
      <c r="Y365" s="2"/>
      <c r="Z365" s="2">
        <f t="shared" si="48"/>
        <v>72</v>
      </c>
      <c r="AA365" s="1">
        <f t="shared" si="49"/>
        <v>31.944444444444443</v>
      </c>
      <c r="AB365" s="1">
        <f t="shared" si="50"/>
        <v>13.888888888888889</v>
      </c>
      <c r="AC365" s="1">
        <f t="shared" si="51"/>
        <v>0</v>
      </c>
      <c r="AD365" s="2">
        <f t="shared" si="52"/>
        <v>2.4</v>
      </c>
      <c r="AE365" s="2">
        <f t="shared" si="53"/>
        <v>18.055555555555554</v>
      </c>
      <c r="AF365" s="2">
        <f t="shared" si="55"/>
        <v>96.261437908496703</v>
      </c>
    </row>
    <row r="366" spans="1:32" x14ac:dyDescent="0.35">
      <c r="A366" s="2" t="s">
        <v>754</v>
      </c>
      <c r="B366" s="2" t="s">
        <v>390</v>
      </c>
      <c r="C366" s="2">
        <v>30</v>
      </c>
      <c r="D366" s="2">
        <v>4.25</v>
      </c>
      <c r="E366" s="7">
        <v>0</v>
      </c>
      <c r="F366" s="7">
        <v>1</v>
      </c>
      <c r="G366" s="7">
        <v>1</v>
      </c>
      <c r="H366" s="7">
        <v>30</v>
      </c>
      <c r="I366" s="7">
        <v>0</v>
      </c>
      <c r="J366" s="7">
        <v>0</v>
      </c>
      <c r="K366" s="7">
        <v>0</v>
      </c>
      <c r="L366" s="7">
        <v>29</v>
      </c>
      <c r="M366" s="7">
        <v>2</v>
      </c>
      <c r="N366" s="7">
        <v>34</v>
      </c>
      <c r="O366" s="7">
        <v>15</v>
      </c>
      <c r="P366" s="7">
        <v>14</v>
      </c>
      <c r="Q366" s="7">
        <v>7</v>
      </c>
      <c r="R366" s="7">
        <v>3</v>
      </c>
      <c r="S366" s="7">
        <v>10</v>
      </c>
      <c r="T366" s="7">
        <v>3</v>
      </c>
      <c r="U366" s="7">
        <v>25</v>
      </c>
      <c r="V366" s="2">
        <f t="shared" si="54"/>
        <v>17.51582314494425</v>
      </c>
      <c r="W366" s="7">
        <v>50</v>
      </c>
      <c r="X366" s="2">
        <f t="shared" si="47"/>
        <v>67.51582314494425</v>
      </c>
      <c r="Y366" s="2"/>
      <c r="Z366" s="2">
        <f t="shared" si="48"/>
        <v>136</v>
      </c>
      <c r="AA366" s="1">
        <f t="shared" si="49"/>
        <v>18.382352941176471</v>
      </c>
      <c r="AB366" s="1">
        <f t="shared" si="50"/>
        <v>9.5588235294117645</v>
      </c>
      <c r="AC366" s="1">
        <f t="shared" si="51"/>
        <v>5.1470588235294112</v>
      </c>
      <c r="AD366" s="2">
        <f t="shared" si="52"/>
        <v>4.5333333333333332</v>
      </c>
      <c r="AE366" s="2">
        <f t="shared" si="53"/>
        <v>8.8235294117647065</v>
      </c>
      <c r="AF366" s="2">
        <f t="shared" si="55"/>
        <v>87.579115724721248</v>
      </c>
    </row>
    <row r="367" spans="1:32" x14ac:dyDescent="0.35">
      <c r="A367" s="2" t="s">
        <v>755</v>
      </c>
      <c r="B367" s="2" t="s">
        <v>388</v>
      </c>
      <c r="C367" s="2">
        <v>30</v>
      </c>
      <c r="D367" s="2">
        <v>6.7</v>
      </c>
      <c r="E367" s="7">
        <v>3</v>
      </c>
      <c r="F367" s="7">
        <v>16</v>
      </c>
      <c r="G367" s="7">
        <v>0</v>
      </c>
      <c r="H367" s="7">
        <v>26</v>
      </c>
      <c r="I367" s="7">
        <v>26</v>
      </c>
      <c r="J367" s="7">
        <v>0</v>
      </c>
      <c r="K367" s="7">
        <v>0</v>
      </c>
      <c r="L367" s="7">
        <v>126</v>
      </c>
      <c r="M367" s="7">
        <v>1</v>
      </c>
      <c r="N367" s="7">
        <v>168</v>
      </c>
      <c r="O367" s="7">
        <v>106</v>
      </c>
      <c r="P367" s="7">
        <v>94</v>
      </c>
      <c r="Q367" s="7">
        <v>23</v>
      </c>
      <c r="R367" s="7">
        <v>6</v>
      </c>
      <c r="S367" s="7">
        <v>48</v>
      </c>
      <c r="T367" s="7">
        <v>1</v>
      </c>
      <c r="U367" s="7">
        <v>83</v>
      </c>
      <c r="V367" s="2">
        <f t="shared" si="54"/>
        <v>71.756089270784187</v>
      </c>
      <c r="W367" s="7">
        <v>50</v>
      </c>
      <c r="X367" s="2">
        <f t="shared" si="47"/>
        <v>121.75608927078419</v>
      </c>
      <c r="Y367" s="2"/>
      <c r="Z367" s="2">
        <f t="shared" si="48"/>
        <v>601</v>
      </c>
      <c r="AA367" s="1">
        <f t="shared" si="49"/>
        <v>13.810316139767053</v>
      </c>
      <c r="AB367" s="1">
        <f t="shared" si="50"/>
        <v>8.9850249584026631</v>
      </c>
      <c r="AC367" s="1">
        <f t="shared" si="51"/>
        <v>3.8269550748752081</v>
      </c>
      <c r="AD367" s="2">
        <f t="shared" si="52"/>
        <v>20.033333333333335</v>
      </c>
      <c r="AE367" s="2">
        <f t="shared" si="53"/>
        <v>4.8252911813643902</v>
      </c>
      <c r="AF367" s="2">
        <f t="shared" si="55"/>
        <v>358.78044635392092</v>
      </c>
    </row>
    <row r="368" spans="1:32" x14ac:dyDescent="0.35">
      <c r="A368" s="2" t="s">
        <v>756</v>
      </c>
      <c r="B368" s="2" t="s">
        <v>390</v>
      </c>
      <c r="C368" s="2">
        <v>30</v>
      </c>
      <c r="D368" s="2">
        <v>5.4</v>
      </c>
      <c r="E368" s="7">
        <v>0</v>
      </c>
      <c r="F368" s="7">
        <v>0</v>
      </c>
      <c r="G368" s="7">
        <v>0</v>
      </c>
      <c r="H368" s="7">
        <v>6</v>
      </c>
      <c r="I368" s="7">
        <v>0</v>
      </c>
      <c r="J368" s="7">
        <v>0</v>
      </c>
      <c r="K368" s="7">
        <v>0</v>
      </c>
      <c r="L368" s="7">
        <v>6</v>
      </c>
      <c r="M368" s="7">
        <v>2</v>
      </c>
      <c r="N368" s="7">
        <v>4</v>
      </c>
      <c r="O368" s="7">
        <v>4</v>
      </c>
      <c r="P368" s="7">
        <v>4</v>
      </c>
      <c r="Q368" s="7">
        <v>2</v>
      </c>
      <c r="R368" s="7">
        <v>0</v>
      </c>
      <c r="S368" s="7">
        <v>3</v>
      </c>
      <c r="T368" s="7">
        <v>0</v>
      </c>
      <c r="U368" s="7">
        <v>4</v>
      </c>
      <c r="V368" s="2">
        <f t="shared" si="54"/>
        <v>1.2901737540009139</v>
      </c>
      <c r="W368" s="7">
        <v>50</v>
      </c>
      <c r="X368" s="2">
        <f t="shared" si="47"/>
        <v>51.290173754000911</v>
      </c>
      <c r="Y368" s="2"/>
      <c r="Z368" s="2">
        <f t="shared" si="48"/>
        <v>27</v>
      </c>
      <c r="AA368" s="1">
        <f t="shared" si="49"/>
        <v>14.814814814814813</v>
      </c>
      <c r="AB368" s="1">
        <f t="shared" si="50"/>
        <v>11.111111111111111</v>
      </c>
      <c r="AC368" s="1">
        <f t="shared" si="51"/>
        <v>7.4074074074074066</v>
      </c>
      <c r="AD368" s="2">
        <f t="shared" si="52"/>
        <v>0.9</v>
      </c>
      <c r="AE368" s="2">
        <f t="shared" si="53"/>
        <v>3.7037037037037024</v>
      </c>
      <c r="AF368" s="2">
        <f t="shared" si="55"/>
        <v>6.4508687700045702</v>
      </c>
    </row>
    <row r="369" spans="1:32" x14ac:dyDescent="0.35">
      <c r="A369" s="2" t="s">
        <v>757</v>
      </c>
      <c r="B369" s="2" t="s">
        <v>390</v>
      </c>
      <c r="C369" s="2">
        <v>30</v>
      </c>
      <c r="D369" s="2">
        <v>9.64</v>
      </c>
      <c r="E369" s="7">
        <v>0</v>
      </c>
      <c r="F369" s="7">
        <v>0</v>
      </c>
      <c r="G369" s="7">
        <v>0</v>
      </c>
      <c r="H369" s="7">
        <v>5</v>
      </c>
      <c r="I369" s="7">
        <v>0</v>
      </c>
      <c r="J369" s="7">
        <v>0</v>
      </c>
      <c r="K369" s="7">
        <v>0</v>
      </c>
      <c r="L369" s="7">
        <v>4</v>
      </c>
      <c r="M369" s="7">
        <v>2</v>
      </c>
      <c r="N369" s="7">
        <v>5</v>
      </c>
      <c r="O369" s="7">
        <v>5</v>
      </c>
      <c r="P369" s="7">
        <v>5</v>
      </c>
      <c r="Q369" s="7">
        <v>2</v>
      </c>
      <c r="R369" s="7">
        <v>0</v>
      </c>
      <c r="S369" s="7">
        <v>4</v>
      </c>
      <c r="T369" s="7">
        <v>0</v>
      </c>
      <c r="U369" s="7">
        <v>5</v>
      </c>
      <c r="V369" s="2">
        <f t="shared" si="54"/>
        <v>0.78874957403732449</v>
      </c>
      <c r="W369" s="7">
        <v>50</v>
      </c>
      <c r="X369" s="2">
        <f t="shared" si="47"/>
        <v>50.788749574037325</v>
      </c>
      <c r="Y369" s="2"/>
      <c r="Z369" s="2">
        <f t="shared" si="48"/>
        <v>23</v>
      </c>
      <c r="AA369" s="1">
        <f t="shared" si="49"/>
        <v>21.739130434782609</v>
      </c>
      <c r="AB369" s="1">
        <f t="shared" si="50"/>
        <v>17.391304347826086</v>
      </c>
      <c r="AC369" s="1">
        <f t="shared" si="51"/>
        <v>8.695652173913043</v>
      </c>
      <c r="AD369" s="2">
        <f t="shared" si="52"/>
        <v>0.76666666666666672</v>
      </c>
      <c r="AE369" s="2">
        <f t="shared" si="53"/>
        <v>4.3478260869565233</v>
      </c>
      <c r="AF369" s="2">
        <f t="shared" si="55"/>
        <v>3.9437478701866224</v>
      </c>
    </row>
    <row r="370" spans="1:32" x14ac:dyDescent="0.35">
      <c r="A370" s="2" t="s">
        <v>758</v>
      </c>
      <c r="B370" s="2" t="s">
        <v>390</v>
      </c>
      <c r="C370" s="2">
        <v>30</v>
      </c>
      <c r="D370" s="2">
        <v>2.06</v>
      </c>
      <c r="E370" s="7">
        <v>3</v>
      </c>
      <c r="F370" s="7">
        <v>1</v>
      </c>
      <c r="G370" s="7">
        <v>6</v>
      </c>
      <c r="H370" s="7">
        <v>42</v>
      </c>
      <c r="I370" s="7">
        <v>0</v>
      </c>
      <c r="J370" s="7">
        <v>0</v>
      </c>
      <c r="K370" s="7">
        <v>0</v>
      </c>
      <c r="L370" s="7">
        <v>48</v>
      </c>
      <c r="N370" s="7">
        <v>33</v>
      </c>
      <c r="O370" s="7">
        <v>13</v>
      </c>
      <c r="P370" s="7">
        <v>11</v>
      </c>
      <c r="Q370" s="7">
        <v>2</v>
      </c>
      <c r="R370" s="7">
        <v>7</v>
      </c>
      <c r="S370" s="7">
        <v>22</v>
      </c>
      <c r="T370" s="7">
        <v>2</v>
      </c>
      <c r="U370" s="7">
        <v>45</v>
      </c>
      <c r="V370" s="2">
        <f t="shared" si="54"/>
        <v>19.227393931777005</v>
      </c>
      <c r="W370" s="7">
        <v>50</v>
      </c>
      <c r="X370" s="2">
        <f t="shared" si="47"/>
        <v>69.227393931777002</v>
      </c>
      <c r="Y370" s="2"/>
      <c r="Z370" s="2">
        <f t="shared" si="48"/>
        <v>206</v>
      </c>
      <c r="AA370" s="1">
        <f t="shared" si="49"/>
        <v>21.844660194174757</v>
      </c>
      <c r="AB370" s="1">
        <f t="shared" si="50"/>
        <v>14.077669902912621</v>
      </c>
      <c r="AC370" s="1">
        <f t="shared" si="51"/>
        <v>0.97087378640776689</v>
      </c>
      <c r="AD370" s="2">
        <f t="shared" si="52"/>
        <v>6.8666666666666663</v>
      </c>
      <c r="AE370" s="2">
        <f t="shared" si="53"/>
        <v>7.766990291262136</v>
      </c>
      <c r="AF370" s="2">
        <f t="shared" si="55"/>
        <v>96.136969658885022</v>
      </c>
    </row>
    <row r="371" spans="1:32" x14ac:dyDescent="0.35">
      <c r="A371" s="2" t="s">
        <v>759</v>
      </c>
      <c r="B371" s="2" t="s">
        <v>390</v>
      </c>
      <c r="C371" s="2">
        <v>30</v>
      </c>
      <c r="D371" s="2">
        <v>0</v>
      </c>
      <c r="E371" s="7">
        <v>0</v>
      </c>
      <c r="F371" s="7">
        <v>0</v>
      </c>
      <c r="G371" s="7">
        <v>1</v>
      </c>
      <c r="H371" s="7">
        <v>7</v>
      </c>
      <c r="I371" s="7">
        <v>0</v>
      </c>
      <c r="J371" s="7">
        <v>0</v>
      </c>
      <c r="K371" s="7">
        <v>0</v>
      </c>
      <c r="L371" s="7">
        <v>5</v>
      </c>
      <c r="M371" s="7">
        <v>2</v>
      </c>
      <c r="N371" s="7">
        <v>4</v>
      </c>
      <c r="O371" s="7">
        <v>0</v>
      </c>
      <c r="P371" s="7">
        <v>0</v>
      </c>
      <c r="Q371" s="7">
        <v>0</v>
      </c>
      <c r="R371" s="7">
        <v>0</v>
      </c>
      <c r="S371" s="7">
        <v>2</v>
      </c>
      <c r="T371" s="7">
        <v>0</v>
      </c>
      <c r="U371" s="7">
        <v>6</v>
      </c>
      <c r="V371" s="2" t="e">
        <f t="shared" si="54"/>
        <v>#DIV/0!</v>
      </c>
      <c r="W371" s="7">
        <v>50</v>
      </c>
      <c r="X371" s="2" t="e">
        <f t="shared" si="47"/>
        <v>#DIV/0!</v>
      </c>
      <c r="Y371" s="2"/>
      <c r="Z371" s="2">
        <f t="shared" si="48"/>
        <v>23</v>
      </c>
      <c r="AA371" s="1">
        <f t="shared" si="49"/>
        <v>26.086956521739129</v>
      </c>
      <c r="AB371" s="1">
        <f t="shared" si="50"/>
        <v>8.695652173913043</v>
      </c>
      <c r="AC371" s="1">
        <f t="shared" si="51"/>
        <v>0</v>
      </c>
      <c r="AD371" s="2">
        <f t="shared" si="52"/>
        <v>0.76666666666666672</v>
      </c>
      <c r="AE371" s="2">
        <f t="shared" si="53"/>
        <v>17.391304347826086</v>
      </c>
      <c r="AF371" s="2" t="e">
        <f t="shared" si="55"/>
        <v>#DIV/0!</v>
      </c>
    </row>
    <row r="372" spans="1:32" x14ac:dyDescent="0.35">
      <c r="A372" s="2" t="s">
        <v>760</v>
      </c>
      <c r="B372" s="2" t="s">
        <v>390</v>
      </c>
      <c r="C372" s="2">
        <v>30</v>
      </c>
      <c r="D372" s="2">
        <v>16.88</v>
      </c>
      <c r="E372" s="7">
        <v>0</v>
      </c>
      <c r="F372" s="7">
        <v>0</v>
      </c>
      <c r="G372" s="7">
        <v>0</v>
      </c>
      <c r="H372" s="7">
        <v>1</v>
      </c>
      <c r="I372" s="7">
        <v>0</v>
      </c>
      <c r="J372" s="7">
        <v>0</v>
      </c>
      <c r="K372" s="7">
        <v>0</v>
      </c>
      <c r="L372" s="7">
        <v>2</v>
      </c>
      <c r="M372" s="7">
        <v>2</v>
      </c>
      <c r="N372" s="7">
        <v>6</v>
      </c>
      <c r="O372" s="7">
        <v>5</v>
      </c>
      <c r="P372" s="7">
        <v>5</v>
      </c>
      <c r="Q372" s="7">
        <v>0</v>
      </c>
      <c r="R372" s="7">
        <v>0</v>
      </c>
      <c r="S372" s="7">
        <v>2</v>
      </c>
      <c r="T372" s="7">
        <v>0</v>
      </c>
      <c r="U372" s="7">
        <v>1</v>
      </c>
      <c r="V372" s="2">
        <f t="shared" si="54"/>
        <v>-3.6124275934702479E-2</v>
      </c>
      <c r="W372" s="7">
        <v>50</v>
      </c>
      <c r="X372" s="2">
        <f t="shared" si="47"/>
        <v>49.963875724065296</v>
      </c>
      <c r="Y372" s="2"/>
      <c r="Z372" s="2">
        <f t="shared" si="48"/>
        <v>16</v>
      </c>
      <c r="AA372" s="1">
        <f t="shared" si="49"/>
        <v>6.25</v>
      </c>
      <c r="AB372" s="1">
        <f t="shared" si="50"/>
        <v>12.5</v>
      </c>
      <c r="AC372" s="1">
        <f t="shared" si="51"/>
        <v>0</v>
      </c>
      <c r="AD372" s="2">
        <f t="shared" si="52"/>
        <v>0.53333333333333333</v>
      </c>
      <c r="AE372" s="2">
        <f t="shared" si="53"/>
        <v>-6.25</v>
      </c>
      <c r="AF372" s="2">
        <f t="shared" si="55"/>
        <v>-0.18062137967351241</v>
      </c>
    </row>
    <row r="373" spans="1:32" x14ac:dyDescent="0.35">
      <c r="A373" s="2" t="s">
        <v>761</v>
      </c>
      <c r="B373" s="2" t="s">
        <v>415</v>
      </c>
      <c r="C373" s="2">
        <v>30</v>
      </c>
      <c r="D373" s="2">
        <v>3.38</v>
      </c>
      <c r="E373" s="7">
        <v>0</v>
      </c>
      <c r="F373" s="7">
        <v>0</v>
      </c>
      <c r="G373" s="7">
        <v>4</v>
      </c>
      <c r="H373" s="7">
        <v>8</v>
      </c>
      <c r="I373" s="7">
        <v>0</v>
      </c>
      <c r="J373" s="7">
        <v>0</v>
      </c>
      <c r="K373" s="7">
        <v>0</v>
      </c>
      <c r="L373" s="7">
        <v>8</v>
      </c>
      <c r="N373" s="7">
        <v>8</v>
      </c>
      <c r="O373" s="7">
        <v>3</v>
      </c>
      <c r="P373" s="7">
        <v>3</v>
      </c>
      <c r="Q373" s="7">
        <v>2</v>
      </c>
      <c r="R373" s="7">
        <v>1</v>
      </c>
      <c r="S373" s="7">
        <v>2</v>
      </c>
      <c r="T373" s="7">
        <v>0</v>
      </c>
      <c r="U373" s="7">
        <v>12</v>
      </c>
      <c r="V373" s="2">
        <f t="shared" si="54"/>
        <v>12.459613036536116</v>
      </c>
      <c r="W373" s="7">
        <v>50</v>
      </c>
      <c r="X373" s="2">
        <f t="shared" si="47"/>
        <v>62.459613036536112</v>
      </c>
      <c r="Y373" s="2"/>
      <c r="Z373" s="2">
        <f t="shared" si="48"/>
        <v>35</v>
      </c>
      <c r="AA373" s="1">
        <f t="shared" si="49"/>
        <v>34.285714285714285</v>
      </c>
      <c r="AB373" s="1">
        <f t="shared" si="50"/>
        <v>8.5714285714285712</v>
      </c>
      <c r="AC373" s="1">
        <f t="shared" si="51"/>
        <v>5.7142857142857144</v>
      </c>
      <c r="AD373" s="2">
        <f t="shared" si="52"/>
        <v>1.1666666666666667</v>
      </c>
      <c r="AE373" s="2">
        <f t="shared" si="53"/>
        <v>25.714285714285715</v>
      </c>
      <c r="AF373" s="2">
        <f t="shared" si="55"/>
        <v>62.298065182680581</v>
      </c>
    </row>
    <row r="374" spans="1:32" x14ac:dyDescent="0.35">
      <c r="A374" s="2" t="s">
        <v>762</v>
      </c>
      <c r="B374" s="2" t="s">
        <v>388</v>
      </c>
      <c r="C374" s="2">
        <v>30</v>
      </c>
      <c r="D374" s="2">
        <v>6.04</v>
      </c>
      <c r="E374" s="7">
        <v>4</v>
      </c>
      <c r="F374" s="7">
        <v>12</v>
      </c>
      <c r="G374" s="7">
        <v>0</v>
      </c>
      <c r="H374" s="7">
        <v>26</v>
      </c>
      <c r="I374" s="7">
        <v>26</v>
      </c>
      <c r="J374" s="7">
        <v>0</v>
      </c>
      <c r="K374" s="7">
        <v>0</v>
      </c>
      <c r="L374" s="7">
        <v>117</v>
      </c>
      <c r="M374" s="7">
        <v>2</v>
      </c>
      <c r="N374" s="7">
        <v>136</v>
      </c>
      <c r="O374" s="7">
        <v>81</v>
      </c>
      <c r="P374" s="7">
        <v>79</v>
      </c>
      <c r="Q374" s="7">
        <v>22</v>
      </c>
      <c r="R374" s="7">
        <v>5</v>
      </c>
      <c r="S374" s="7">
        <v>35</v>
      </c>
      <c r="T374" s="7">
        <v>0</v>
      </c>
      <c r="U374" s="7">
        <v>85</v>
      </c>
      <c r="V374" s="2">
        <f t="shared" si="54"/>
        <v>78.737221227662388</v>
      </c>
      <c r="W374" s="7">
        <v>50</v>
      </c>
      <c r="X374" s="2">
        <f t="shared" si="47"/>
        <v>128.73722122766239</v>
      </c>
      <c r="Y374" s="2"/>
      <c r="Z374" s="2">
        <f t="shared" si="48"/>
        <v>529</v>
      </c>
      <c r="AA374" s="1">
        <f t="shared" si="49"/>
        <v>16.068052930056712</v>
      </c>
      <c r="AB374" s="1">
        <f t="shared" si="50"/>
        <v>7.5614366729678641</v>
      </c>
      <c r="AC374" s="1">
        <f t="shared" si="51"/>
        <v>4.1587901701323249</v>
      </c>
      <c r="AD374" s="2">
        <f t="shared" si="52"/>
        <v>17.633333333333333</v>
      </c>
      <c r="AE374" s="2">
        <f t="shared" si="53"/>
        <v>8.5066162570888473</v>
      </c>
      <c r="AF374" s="2">
        <f t="shared" si="55"/>
        <v>393.68610613831197</v>
      </c>
    </row>
    <row r="375" spans="1:32" x14ac:dyDescent="0.35">
      <c r="A375" s="2" t="s">
        <v>763</v>
      </c>
      <c r="B375" s="2" t="s">
        <v>390</v>
      </c>
      <c r="C375" s="2">
        <v>30</v>
      </c>
      <c r="D375" s="2">
        <v>5.4</v>
      </c>
      <c r="E375" s="7">
        <v>3</v>
      </c>
      <c r="F375" s="7">
        <v>3</v>
      </c>
      <c r="G375" s="7">
        <v>0</v>
      </c>
      <c r="H375" s="7">
        <v>24</v>
      </c>
      <c r="I375" s="7">
        <v>0</v>
      </c>
      <c r="J375" s="7">
        <v>0</v>
      </c>
      <c r="K375" s="7">
        <v>0</v>
      </c>
      <c r="L375" s="7">
        <v>33</v>
      </c>
      <c r="M375" s="7">
        <v>1</v>
      </c>
      <c r="N375" s="7">
        <v>33</v>
      </c>
      <c r="O375" s="7">
        <v>25</v>
      </c>
      <c r="P375" s="7">
        <v>20</v>
      </c>
      <c r="Q375" s="7">
        <v>4</v>
      </c>
      <c r="R375" s="7">
        <v>4</v>
      </c>
      <c r="S375" s="7">
        <v>16</v>
      </c>
      <c r="T375" s="7">
        <v>1</v>
      </c>
      <c r="U375" s="7">
        <v>45</v>
      </c>
      <c r="V375" s="2">
        <f t="shared" si="54"/>
        <v>14.637342854837405</v>
      </c>
      <c r="W375" s="7">
        <v>50</v>
      </c>
      <c r="X375" s="2">
        <f t="shared" si="47"/>
        <v>64.637342854837399</v>
      </c>
      <c r="Y375" s="2"/>
      <c r="Z375" s="2">
        <f t="shared" si="48"/>
        <v>153</v>
      </c>
      <c r="AA375" s="1">
        <f t="shared" si="49"/>
        <v>29.411764705882355</v>
      </c>
      <c r="AB375" s="1">
        <f t="shared" si="50"/>
        <v>13.071895424836603</v>
      </c>
      <c r="AC375" s="1">
        <f t="shared" si="51"/>
        <v>2.6143790849673203</v>
      </c>
      <c r="AD375" s="2">
        <f t="shared" si="52"/>
        <v>5.0999999999999996</v>
      </c>
      <c r="AE375" s="2">
        <f t="shared" si="53"/>
        <v>16.33986928104575</v>
      </c>
      <c r="AF375" s="2">
        <f t="shared" si="55"/>
        <v>73.186714274187025</v>
      </c>
    </row>
    <row r="376" spans="1:32" x14ac:dyDescent="0.35">
      <c r="A376" s="2" t="s">
        <v>764</v>
      </c>
      <c r="B376" s="2" t="s">
        <v>390</v>
      </c>
      <c r="C376" s="2">
        <v>30</v>
      </c>
      <c r="D376" s="2">
        <v>4.1500000000000004</v>
      </c>
      <c r="E376" s="7">
        <v>0</v>
      </c>
      <c r="F376" s="7">
        <v>0</v>
      </c>
      <c r="G376" s="7">
        <v>0</v>
      </c>
      <c r="H376" s="7">
        <v>15</v>
      </c>
      <c r="I376" s="7">
        <v>0</v>
      </c>
      <c r="J376" s="7">
        <v>0</v>
      </c>
      <c r="K376" s="7">
        <v>0</v>
      </c>
      <c r="L376" s="7">
        <v>13</v>
      </c>
      <c r="N376" s="7">
        <v>11</v>
      </c>
      <c r="O376" s="7">
        <v>7</v>
      </c>
      <c r="P376" s="7">
        <v>6</v>
      </c>
      <c r="Q376" s="7">
        <v>2</v>
      </c>
      <c r="R376" s="7">
        <v>0</v>
      </c>
      <c r="S376" s="7">
        <v>10</v>
      </c>
      <c r="T376" s="7">
        <v>0</v>
      </c>
      <c r="U376" s="7">
        <v>15</v>
      </c>
      <c r="V376" s="2">
        <f t="shared" si="54"/>
        <v>4.3159303882195461</v>
      </c>
      <c r="W376" s="7">
        <v>50</v>
      </c>
      <c r="X376" s="2">
        <f t="shared" si="47"/>
        <v>54.315930388219549</v>
      </c>
      <c r="Y376" s="2"/>
      <c r="Z376" s="2">
        <f t="shared" si="48"/>
        <v>60</v>
      </c>
      <c r="AA376" s="1">
        <f t="shared" si="49"/>
        <v>25</v>
      </c>
      <c r="AB376" s="1">
        <f t="shared" si="50"/>
        <v>16.666666666666664</v>
      </c>
      <c r="AC376" s="1">
        <f t="shared" si="51"/>
        <v>3.3333333333333335</v>
      </c>
      <c r="AD376" s="2">
        <f t="shared" si="52"/>
        <v>2</v>
      </c>
      <c r="AE376" s="2">
        <f t="shared" si="53"/>
        <v>8.3333333333333357</v>
      </c>
      <c r="AF376" s="2">
        <f t="shared" si="55"/>
        <v>21.57965194109773</v>
      </c>
    </row>
    <row r="377" spans="1:32" x14ac:dyDescent="0.35">
      <c r="A377" s="2" t="s">
        <v>765</v>
      </c>
      <c r="B377" s="2" t="s">
        <v>390</v>
      </c>
      <c r="C377" s="2">
        <v>30</v>
      </c>
      <c r="D377" s="2">
        <v>8.82</v>
      </c>
      <c r="E377" s="7">
        <v>1</v>
      </c>
      <c r="F377" s="7">
        <v>0</v>
      </c>
      <c r="G377" s="7">
        <v>0</v>
      </c>
      <c r="H377" s="7">
        <v>18</v>
      </c>
      <c r="I377" s="7">
        <v>0</v>
      </c>
      <c r="J377" s="7">
        <v>0</v>
      </c>
      <c r="K377" s="7">
        <v>0</v>
      </c>
      <c r="L377" s="7">
        <v>16</v>
      </c>
      <c r="M377" s="7">
        <v>1</v>
      </c>
      <c r="N377" s="7">
        <v>23</v>
      </c>
      <c r="O377" s="7">
        <v>17</v>
      </c>
      <c r="P377" s="7">
        <v>16</v>
      </c>
      <c r="Q377" s="7">
        <v>3</v>
      </c>
      <c r="R377" s="7">
        <v>0</v>
      </c>
      <c r="S377" s="7">
        <v>9</v>
      </c>
      <c r="T377" s="7">
        <v>0</v>
      </c>
      <c r="U377" s="7">
        <v>15</v>
      </c>
      <c r="V377" s="2">
        <f t="shared" si="54"/>
        <v>2.9107499790039468</v>
      </c>
      <c r="W377" s="7">
        <v>50</v>
      </c>
      <c r="X377" s="2">
        <f t="shared" si="47"/>
        <v>52.910749979003945</v>
      </c>
      <c r="Y377" s="2"/>
      <c r="Z377" s="2">
        <f t="shared" si="48"/>
        <v>81</v>
      </c>
      <c r="AA377" s="1">
        <f t="shared" si="49"/>
        <v>18.518518518518519</v>
      </c>
      <c r="AB377" s="1">
        <f t="shared" si="50"/>
        <v>11.111111111111111</v>
      </c>
      <c r="AC377" s="1">
        <f t="shared" si="51"/>
        <v>3.7037037037037033</v>
      </c>
      <c r="AD377" s="2">
        <f t="shared" si="52"/>
        <v>2.7</v>
      </c>
      <c r="AE377" s="2">
        <f t="shared" si="53"/>
        <v>7.4074074074074083</v>
      </c>
      <c r="AF377" s="2">
        <f t="shared" si="55"/>
        <v>14.553749895019735</v>
      </c>
    </row>
    <row r="378" spans="1:32" x14ac:dyDescent="0.35">
      <c r="A378" s="2" t="s">
        <v>766</v>
      </c>
      <c r="B378" s="2" t="s">
        <v>388</v>
      </c>
      <c r="C378" s="2">
        <v>30</v>
      </c>
      <c r="D378" s="2">
        <v>6.65</v>
      </c>
      <c r="E378" s="7">
        <v>4</v>
      </c>
      <c r="F378" s="7">
        <v>15</v>
      </c>
      <c r="G378" s="7">
        <v>0</v>
      </c>
      <c r="H378" s="7">
        <v>30</v>
      </c>
      <c r="I378" s="7">
        <v>23</v>
      </c>
      <c r="J378" s="7">
        <v>0</v>
      </c>
      <c r="K378" s="7">
        <v>0</v>
      </c>
      <c r="L378" s="7">
        <v>130</v>
      </c>
      <c r="N378" s="7">
        <v>192</v>
      </c>
      <c r="O378" s="7">
        <v>103</v>
      </c>
      <c r="P378" s="7">
        <v>96</v>
      </c>
      <c r="Q378" s="7">
        <v>22</v>
      </c>
      <c r="R378" s="7">
        <v>8</v>
      </c>
      <c r="S378" s="7">
        <v>47</v>
      </c>
      <c r="T378" s="7">
        <v>2</v>
      </c>
      <c r="U378" s="7">
        <v>73</v>
      </c>
      <c r="V378" s="2">
        <f t="shared" si="54"/>
        <v>68.426673853655586</v>
      </c>
      <c r="W378" s="7">
        <v>50</v>
      </c>
      <c r="X378" s="2">
        <f t="shared" si="47"/>
        <v>118.42667385365559</v>
      </c>
      <c r="Y378" s="2"/>
      <c r="Z378" s="2">
        <f t="shared" si="48"/>
        <v>637</v>
      </c>
      <c r="AA378" s="1">
        <f t="shared" si="49"/>
        <v>11.459968602825747</v>
      </c>
      <c r="AB378" s="1">
        <f t="shared" si="50"/>
        <v>8.6342229199372049</v>
      </c>
      <c r="AC378" s="1">
        <f t="shared" si="51"/>
        <v>3.4536891679748818</v>
      </c>
      <c r="AD378" s="2">
        <f t="shared" si="52"/>
        <v>21.233333333333334</v>
      </c>
      <c r="AE378" s="2">
        <f t="shared" si="53"/>
        <v>2.8257456828885417</v>
      </c>
      <c r="AF378" s="2">
        <f t="shared" si="55"/>
        <v>342.13336926827793</v>
      </c>
    </row>
    <row r="379" spans="1:32" x14ac:dyDescent="0.35">
      <c r="A379" s="2" t="s">
        <v>767</v>
      </c>
      <c r="B379" s="2" t="s">
        <v>390</v>
      </c>
      <c r="C379" s="2">
        <v>30</v>
      </c>
      <c r="D379" s="2">
        <v>2.84</v>
      </c>
      <c r="E379" s="7">
        <v>5</v>
      </c>
      <c r="F379" s="7">
        <v>1</v>
      </c>
      <c r="G379" s="7">
        <v>4</v>
      </c>
      <c r="H379" s="7">
        <v>44</v>
      </c>
      <c r="I379" s="7">
        <v>0</v>
      </c>
      <c r="J379" s="7">
        <v>0</v>
      </c>
      <c r="K379" s="7">
        <v>0</v>
      </c>
      <c r="L379" s="7">
        <v>50</v>
      </c>
      <c r="M379" s="7">
        <v>2</v>
      </c>
      <c r="N379" s="7">
        <v>37</v>
      </c>
      <c r="O379" s="7">
        <v>18</v>
      </c>
      <c r="P379" s="7">
        <v>16</v>
      </c>
      <c r="Q379" s="7">
        <v>4</v>
      </c>
      <c r="R379" s="7">
        <v>0</v>
      </c>
      <c r="S379" s="7">
        <v>15</v>
      </c>
      <c r="T379" s="7">
        <v>0</v>
      </c>
      <c r="U379" s="7">
        <v>59</v>
      </c>
      <c r="V379" s="2">
        <f t="shared" si="54"/>
        <v>40.222185399981598</v>
      </c>
      <c r="W379" s="7">
        <v>50</v>
      </c>
      <c r="X379" s="2">
        <f t="shared" si="47"/>
        <v>90.222185399981598</v>
      </c>
      <c r="Y379" s="2"/>
      <c r="Z379" s="2">
        <f t="shared" si="48"/>
        <v>204</v>
      </c>
      <c r="AA379" s="1">
        <f t="shared" si="49"/>
        <v>28.921568627450984</v>
      </c>
      <c r="AB379" s="1">
        <f t="shared" si="50"/>
        <v>7.3529411764705888</v>
      </c>
      <c r="AC379" s="1">
        <f t="shared" si="51"/>
        <v>1.9607843137254901</v>
      </c>
      <c r="AD379" s="2">
        <f t="shared" si="52"/>
        <v>6.8</v>
      </c>
      <c r="AE379" s="2">
        <f t="shared" si="53"/>
        <v>21.568627450980394</v>
      </c>
      <c r="AF379" s="2">
        <f t="shared" si="55"/>
        <v>201.11092699990797</v>
      </c>
    </row>
    <row r="380" spans="1:32" x14ac:dyDescent="0.35">
      <c r="A380" s="2" t="s">
        <v>768</v>
      </c>
      <c r="B380" s="2" t="s">
        <v>390</v>
      </c>
      <c r="C380" s="2">
        <v>30</v>
      </c>
      <c r="D380" s="2">
        <v>2.61</v>
      </c>
      <c r="E380" s="7">
        <v>4</v>
      </c>
      <c r="F380" s="7">
        <v>3</v>
      </c>
      <c r="G380" s="7">
        <v>0</v>
      </c>
      <c r="H380" s="7">
        <v>76</v>
      </c>
      <c r="I380" s="7">
        <v>0</v>
      </c>
      <c r="J380" s="7">
        <v>0</v>
      </c>
      <c r="K380" s="7">
        <v>0</v>
      </c>
      <c r="L380" s="7">
        <v>62</v>
      </c>
      <c r="N380" s="7">
        <v>43</v>
      </c>
      <c r="O380" s="7">
        <v>19</v>
      </c>
      <c r="P380" s="7">
        <v>18</v>
      </c>
      <c r="Q380" s="7">
        <v>5</v>
      </c>
      <c r="R380" s="7">
        <v>5</v>
      </c>
      <c r="S380" s="7">
        <v>11</v>
      </c>
      <c r="T380" s="7">
        <v>1</v>
      </c>
      <c r="U380" s="7">
        <v>82</v>
      </c>
      <c r="V380" s="2">
        <f t="shared" si="54"/>
        <v>66.803459570290428</v>
      </c>
      <c r="W380" s="7">
        <v>50</v>
      </c>
      <c r="X380" s="2">
        <f t="shared" si="47"/>
        <v>116.80345957029043</v>
      </c>
      <c r="Y380" s="2"/>
      <c r="Z380" s="2">
        <f t="shared" si="48"/>
        <v>245</v>
      </c>
      <c r="AA380" s="1">
        <f t="shared" si="49"/>
        <v>33.469387755102041</v>
      </c>
      <c r="AB380" s="1">
        <f t="shared" si="50"/>
        <v>6.5306122448979593</v>
      </c>
      <c r="AC380" s="1">
        <f t="shared" si="51"/>
        <v>2.0408163265306123</v>
      </c>
      <c r="AD380" s="2">
        <f t="shared" si="52"/>
        <v>8.1666666666666661</v>
      </c>
      <c r="AE380" s="2">
        <f t="shared" si="53"/>
        <v>26.938775510204081</v>
      </c>
      <c r="AF380" s="2">
        <f t="shared" si="55"/>
        <v>334.01729785145216</v>
      </c>
    </row>
    <row r="381" spans="1:32" x14ac:dyDescent="0.35">
      <c r="A381" s="2" t="s">
        <v>769</v>
      </c>
      <c r="B381" s="2" t="s">
        <v>390</v>
      </c>
      <c r="C381" s="2">
        <v>30</v>
      </c>
      <c r="D381" s="2">
        <v>5.12</v>
      </c>
      <c r="E381" s="7">
        <v>2</v>
      </c>
      <c r="F381" s="7">
        <v>1</v>
      </c>
      <c r="G381" s="7">
        <v>4</v>
      </c>
      <c r="H381" s="7">
        <v>20</v>
      </c>
      <c r="I381" s="7">
        <v>0</v>
      </c>
      <c r="J381" s="7">
        <v>0</v>
      </c>
      <c r="K381" s="7">
        <v>0</v>
      </c>
      <c r="L381" s="7">
        <v>19</v>
      </c>
      <c r="M381" s="7">
        <v>1</v>
      </c>
      <c r="N381" s="7">
        <v>17</v>
      </c>
      <c r="O381" s="7">
        <v>12</v>
      </c>
      <c r="P381" s="7">
        <v>11</v>
      </c>
      <c r="Q381" s="7">
        <v>1</v>
      </c>
      <c r="R381" s="7">
        <v>0</v>
      </c>
      <c r="S381" s="7">
        <v>8</v>
      </c>
      <c r="T381" s="7">
        <v>1</v>
      </c>
      <c r="U381" s="7">
        <v>10</v>
      </c>
      <c r="V381" s="2">
        <f t="shared" si="54"/>
        <v>1.2334164784136543</v>
      </c>
      <c r="W381" s="7">
        <v>50</v>
      </c>
      <c r="X381" s="2">
        <f t="shared" si="47"/>
        <v>51.233416478413652</v>
      </c>
      <c r="Y381" s="2"/>
      <c r="Z381" s="2">
        <f t="shared" si="48"/>
        <v>83</v>
      </c>
      <c r="AA381" s="1">
        <f t="shared" si="49"/>
        <v>12.048192771084338</v>
      </c>
      <c r="AB381" s="1">
        <f t="shared" si="50"/>
        <v>9.6385542168674707</v>
      </c>
      <c r="AC381" s="1">
        <f t="shared" si="51"/>
        <v>1.2048192771084338</v>
      </c>
      <c r="AD381" s="2">
        <f t="shared" si="52"/>
        <v>2.7666666666666666</v>
      </c>
      <c r="AE381" s="2">
        <f t="shared" si="53"/>
        <v>2.4096385542168672</v>
      </c>
      <c r="AF381" s="2">
        <f t="shared" si="55"/>
        <v>6.1670823920682718</v>
      </c>
    </row>
    <row r="382" spans="1:32" x14ac:dyDescent="0.35">
      <c r="A382" s="2" t="s">
        <v>770</v>
      </c>
      <c r="B382" s="2" t="s">
        <v>390</v>
      </c>
      <c r="C382" s="2">
        <v>30</v>
      </c>
      <c r="D382" s="2">
        <v>7.71</v>
      </c>
      <c r="E382" s="7">
        <v>0</v>
      </c>
      <c r="F382" s="7">
        <v>0</v>
      </c>
      <c r="G382" s="7">
        <v>0</v>
      </c>
      <c r="H382" s="7">
        <v>2</v>
      </c>
      <c r="I382" s="7">
        <v>0</v>
      </c>
      <c r="J382" s="7">
        <v>0</v>
      </c>
      <c r="K382" s="7">
        <v>0</v>
      </c>
      <c r="L382" s="7">
        <v>2</v>
      </c>
      <c r="M382" s="7">
        <v>1</v>
      </c>
      <c r="N382" s="7">
        <v>4</v>
      </c>
      <c r="O382" s="7">
        <v>2</v>
      </c>
      <c r="P382" s="7">
        <v>2</v>
      </c>
      <c r="Q382" s="7">
        <v>0</v>
      </c>
      <c r="R382" s="7">
        <v>0</v>
      </c>
      <c r="S382" s="7">
        <v>3</v>
      </c>
      <c r="T382" s="7">
        <v>0</v>
      </c>
      <c r="U382" s="7">
        <v>3</v>
      </c>
      <c r="V382" s="2">
        <f t="shared" si="54"/>
        <v>5.6492289955324976E-3</v>
      </c>
      <c r="W382" s="7">
        <v>50</v>
      </c>
      <c r="X382" s="2">
        <f t="shared" si="47"/>
        <v>50.00564922899553</v>
      </c>
      <c r="Y382" s="2"/>
      <c r="Z382" s="2">
        <f t="shared" si="48"/>
        <v>14</v>
      </c>
      <c r="AA382" s="1">
        <f t="shared" si="49"/>
        <v>21.428571428571427</v>
      </c>
      <c r="AB382" s="1">
        <f t="shared" si="50"/>
        <v>21.428571428571427</v>
      </c>
      <c r="AC382" s="1">
        <f t="shared" si="51"/>
        <v>0</v>
      </c>
      <c r="AD382" s="2">
        <f t="shared" si="52"/>
        <v>0.46666666666666667</v>
      </c>
      <c r="AE382" s="2">
        <f t="shared" si="53"/>
        <v>0</v>
      </c>
      <c r="AF382" s="2">
        <f t="shared" si="55"/>
        <v>2.8246144977662486E-2</v>
      </c>
    </row>
    <row r="383" spans="1:32" x14ac:dyDescent="0.35">
      <c r="A383" s="2" t="s">
        <v>771</v>
      </c>
      <c r="B383" s="2" t="s">
        <v>390</v>
      </c>
      <c r="C383" s="2">
        <v>30</v>
      </c>
      <c r="D383" s="2">
        <v>7.2</v>
      </c>
      <c r="E383" s="7">
        <v>0</v>
      </c>
      <c r="F383" s="7">
        <v>0</v>
      </c>
      <c r="G383" s="7">
        <v>0</v>
      </c>
      <c r="H383" s="7">
        <v>3</v>
      </c>
      <c r="I383" s="7">
        <v>0</v>
      </c>
      <c r="J383" s="7">
        <v>0</v>
      </c>
      <c r="K383" s="7">
        <v>0</v>
      </c>
      <c r="L383" s="7">
        <v>5</v>
      </c>
      <c r="N383" s="7">
        <v>8</v>
      </c>
      <c r="O383" s="7">
        <v>4</v>
      </c>
      <c r="P383" s="7">
        <v>4</v>
      </c>
      <c r="Q383" s="7">
        <v>0</v>
      </c>
      <c r="R383" s="7">
        <v>1</v>
      </c>
      <c r="S383" s="7">
        <v>2</v>
      </c>
      <c r="T383" s="7">
        <v>0</v>
      </c>
      <c r="U383" s="7">
        <v>8</v>
      </c>
      <c r="V383" s="2">
        <f t="shared" si="54"/>
        <v>0.48382716049382724</v>
      </c>
      <c r="W383" s="7">
        <v>50</v>
      </c>
      <c r="X383" s="2">
        <f t="shared" si="47"/>
        <v>50.483827160493824</v>
      </c>
      <c r="Y383" s="2"/>
      <c r="Z383" s="2">
        <f t="shared" si="48"/>
        <v>26</v>
      </c>
      <c r="AA383" s="1">
        <f t="shared" si="49"/>
        <v>30.76923076923077</v>
      </c>
      <c r="AB383" s="1">
        <f t="shared" si="50"/>
        <v>11.538461538461538</v>
      </c>
      <c r="AC383" s="1">
        <f t="shared" si="51"/>
        <v>0</v>
      </c>
      <c r="AD383" s="2">
        <f t="shared" si="52"/>
        <v>0.8666666666666667</v>
      </c>
      <c r="AE383" s="2">
        <f t="shared" si="53"/>
        <v>19.230769230769234</v>
      </c>
      <c r="AF383" s="2">
        <f t="shared" si="55"/>
        <v>2.4191358024691363</v>
      </c>
    </row>
    <row r="384" spans="1:32" x14ac:dyDescent="0.35">
      <c r="A384" s="2" t="s">
        <v>772</v>
      </c>
      <c r="B384" s="2" t="s">
        <v>388</v>
      </c>
      <c r="C384" s="2">
        <v>30</v>
      </c>
      <c r="D384" s="2">
        <v>2.91</v>
      </c>
      <c r="E384" s="7">
        <v>2</v>
      </c>
      <c r="F384" s="7">
        <v>1</v>
      </c>
      <c r="G384" s="7">
        <v>0</v>
      </c>
      <c r="H384" s="7">
        <v>4</v>
      </c>
      <c r="I384" s="7">
        <v>4</v>
      </c>
      <c r="J384" s="7">
        <v>0</v>
      </c>
      <c r="K384" s="7">
        <v>0</v>
      </c>
      <c r="L384" s="7">
        <v>21</v>
      </c>
      <c r="M384" s="7">
        <v>2</v>
      </c>
      <c r="N384" s="7">
        <v>17</v>
      </c>
      <c r="O384" s="7">
        <v>7</v>
      </c>
      <c r="P384" s="7">
        <v>7</v>
      </c>
      <c r="Q384" s="7">
        <v>4</v>
      </c>
      <c r="R384" s="7">
        <v>0</v>
      </c>
      <c r="S384" s="7">
        <v>2</v>
      </c>
      <c r="T384" s="7">
        <v>0</v>
      </c>
      <c r="U384" s="7">
        <v>18</v>
      </c>
      <c r="V384" s="2">
        <f t="shared" si="54"/>
        <v>24.225080456008289</v>
      </c>
      <c r="W384" s="7">
        <v>50</v>
      </c>
      <c r="X384" s="2">
        <f t="shared" si="47"/>
        <v>74.225080456008286</v>
      </c>
      <c r="Y384" s="2"/>
      <c r="Z384" s="2">
        <f t="shared" si="48"/>
        <v>84</v>
      </c>
      <c r="AA384" s="1">
        <f t="shared" si="49"/>
        <v>21.428571428571427</v>
      </c>
      <c r="AB384" s="1">
        <f t="shared" si="50"/>
        <v>2.3809523809523809</v>
      </c>
      <c r="AC384" s="1">
        <f t="shared" si="51"/>
        <v>4.7619047619047619</v>
      </c>
      <c r="AD384" s="2">
        <f t="shared" si="52"/>
        <v>2.8</v>
      </c>
      <c r="AE384" s="2">
        <f t="shared" si="53"/>
        <v>19.047619047619047</v>
      </c>
      <c r="AF384" s="2">
        <f t="shared" si="55"/>
        <v>121.12540228004144</v>
      </c>
    </row>
    <row r="385" spans="1:32" x14ac:dyDescent="0.35">
      <c r="A385" s="2" t="s">
        <v>773</v>
      </c>
      <c r="B385" s="2" t="s">
        <v>390</v>
      </c>
      <c r="C385" s="2">
        <v>30</v>
      </c>
      <c r="D385" s="2">
        <v>3.42</v>
      </c>
      <c r="E385" s="7">
        <v>2</v>
      </c>
      <c r="F385" s="7">
        <v>2</v>
      </c>
      <c r="G385" s="7">
        <v>2</v>
      </c>
      <c r="H385" s="7">
        <v>59</v>
      </c>
      <c r="I385" s="7">
        <v>0</v>
      </c>
      <c r="J385" s="7">
        <v>0</v>
      </c>
      <c r="K385" s="7">
        <v>0</v>
      </c>
      <c r="L385" s="7">
        <v>55</v>
      </c>
      <c r="M385" s="7">
        <v>1</v>
      </c>
      <c r="N385" s="7">
        <v>50</v>
      </c>
      <c r="O385" s="7">
        <v>21</v>
      </c>
      <c r="P385" s="7">
        <v>21</v>
      </c>
      <c r="Q385" s="7">
        <v>7</v>
      </c>
      <c r="R385" s="7">
        <v>3</v>
      </c>
      <c r="S385" s="7">
        <v>22</v>
      </c>
      <c r="T385" s="7">
        <v>2</v>
      </c>
      <c r="U385" s="7">
        <v>51</v>
      </c>
      <c r="V385" s="2">
        <f t="shared" si="54"/>
        <v>34.524822391001322</v>
      </c>
      <c r="W385" s="7">
        <v>50</v>
      </c>
      <c r="X385" s="2">
        <f t="shared" si="47"/>
        <v>84.524822391001322</v>
      </c>
      <c r="Y385" s="2"/>
      <c r="Z385" s="2">
        <f t="shared" si="48"/>
        <v>241</v>
      </c>
      <c r="AA385" s="1">
        <f t="shared" si="49"/>
        <v>21.161825726141078</v>
      </c>
      <c r="AB385" s="1">
        <f t="shared" si="50"/>
        <v>10.37344398340249</v>
      </c>
      <c r="AC385" s="1">
        <f t="shared" si="51"/>
        <v>2.904564315352697</v>
      </c>
      <c r="AD385" s="2">
        <f t="shared" si="52"/>
        <v>8.0333333333333332</v>
      </c>
      <c r="AE385" s="2">
        <f t="shared" si="53"/>
        <v>10.788381742738588</v>
      </c>
      <c r="AF385" s="2">
        <f t="shared" si="55"/>
        <v>172.62411195500661</v>
      </c>
    </row>
    <row r="386" spans="1:32" x14ac:dyDescent="0.35">
      <c r="A386" s="2" t="s">
        <v>774</v>
      </c>
      <c r="B386" s="2" t="s">
        <v>388</v>
      </c>
      <c r="C386" s="2">
        <v>30</v>
      </c>
      <c r="D386" s="2">
        <v>7.5</v>
      </c>
      <c r="E386" s="7">
        <v>0</v>
      </c>
      <c r="F386" s="7">
        <v>1</v>
      </c>
      <c r="G386" s="7">
        <v>0</v>
      </c>
      <c r="H386" s="7">
        <v>1</v>
      </c>
      <c r="I386" s="7">
        <v>1</v>
      </c>
      <c r="J386" s="7">
        <v>0</v>
      </c>
      <c r="K386" s="7">
        <v>0</v>
      </c>
      <c r="L386" s="7">
        <v>6</v>
      </c>
      <c r="N386" s="7">
        <v>7</v>
      </c>
      <c r="O386" s="7">
        <v>6</v>
      </c>
      <c r="P386" s="7">
        <v>5</v>
      </c>
      <c r="Q386" s="7">
        <v>2</v>
      </c>
      <c r="R386" s="7">
        <v>0</v>
      </c>
      <c r="S386" s="7">
        <v>2</v>
      </c>
      <c r="T386" s="7">
        <v>0</v>
      </c>
      <c r="U386" s="7">
        <v>1</v>
      </c>
      <c r="V386" s="2">
        <f t="shared" si="54"/>
        <v>-0.56572510288065836</v>
      </c>
      <c r="W386" s="7">
        <v>50</v>
      </c>
      <c r="X386" s="2">
        <f t="shared" si="47"/>
        <v>49.434274897119344</v>
      </c>
      <c r="Y386" s="2"/>
      <c r="Z386" s="2">
        <f t="shared" si="48"/>
        <v>27</v>
      </c>
      <c r="AA386" s="1">
        <f t="shared" si="49"/>
        <v>3.7037037037037033</v>
      </c>
      <c r="AB386" s="1">
        <f t="shared" si="50"/>
        <v>7.4074074074074066</v>
      </c>
      <c r="AC386" s="1">
        <f t="shared" si="51"/>
        <v>7.4074074074074066</v>
      </c>
      <c r="AD386" s="2">
        <f t="shared" si="52"/>
        <v>0.9</v>
      </c>
      <c r="AE386" s="2">
        <f t="shared" si="53"/>
        <v>-3.7037037037037033</v>
      </c>
      <c r="AF386" s="2">
        <f t="shared" si="55"/>
        <v>-2.8286255144032917</v>
      </c>
    </row>
    <row r="387" spans="1:32" x14ac:dyDescent="0.35">
      <c r="A387" s="2" t="s">
        <v>775</v>
      </c>
      <c r="B387" s="2" t="s">
        <v>390</v>
      </c>
      <c r="C387" s="2">
        <v>30</v>
      </c>
      <c r="D387" s="2">
        <v>11.25</v>
      </c>
      <c r="E387" s="7">
        <v>0</v>
      </c>
      <c r="F387" s="7">
        <v>1</v>
      </c>
      <c r="G387" s="7">
        <v>0</v>
      </c>
      <c r="H387" s="7">
        <v>10</v>
      </c>
      <c r="I387" s="7">
        <v>0</v>
      </c>
      <c r="J387" s="7">
        <v>0</v>
      </c>
      <c r="K387" s="7">
        <v>0</v>
      </c>
      <c r="L387" s="7">
        <v>12</v>
      </c>
      <c r="N387" s="7">
        <v>17</v>
      </c>
      <c r="O387" s="7">
        <v>15</v>
      </c>
      <c r="P387" s="7">
        <v>15</v>
      </c>
      <c r="Q387" s="7">
        <v>3</v>
      </c>
      <c r="R387" s="7">
        <v>0</v>
      </c>
      <c r="S387" s="7">
        <v>6</v>
      </c>
      <c r="T387" s="7">
        <v>1</v>
      </c>
      <c r="U387" s="7">
        <v>14</v>
      </c>
      <c r="V387" s="2">
        <f t="shared" si="54"/>
        <v>3.303010336890563</v>
      </c>
      <c r="W387" s="7">
        <v>50</v>
      </c>
      <c r="X387" s="2">
        <f t="shared" ref="X387:X450" si="56">V387+W387</f>
        <v>53.303010336890566</v>
      </c>
      <c r="Y387" s="2"/>
      <c r="Z387" s="2">
        <f t="shared" ref="Z387:Z450" si="57">((L387*3)+M387)+(R387+S387)+N387</f>
        <v>59</v>
      </c>
      <c r="AA387" s="1">
        <f t="shared" ref="AA387:AA450" si="58">(U387/Z387)*100</f>
        <v>23.728813559322035</v>
      </c>
      <c r="AB387" s="1">
        <f t="shared" ref="AB387:AB450" si="59">((R387+S387)/Z387)*100</f>
        <v>10.16949152542373</v>
      </c>
      <c r="AC387" s="1">
        <f t="shared" ref="AC387:AC450" si="60">(Q387/Z387)*100</f>
        <v>5.0847457627118651</v>
      </c>
      <c r="AD387" s="2">
        <f t="shared" ref="AD387:AD450" si="61">(Z387/C387)</f>
        <v>1.9666666666666666</v>
      </c>
      <c r="AE387" s="2">
        <f t="shared" ref="AE387:AE450" si="62">AA387-AB387</f>
        <v>13.559322033898304</v>
      </c>
      <c r="AF387" s="2">
        <f t="shared" si="55"/>
        <v>16.515051684452814</v>
      </c>
    </row>
    <row r="388" spans="1:32" x14ac:dyDescent="0.35">
      <c r="A388" s="2" t="s">
        <v>776</v>
      </c>
      <c r="B388" s="2" t="s">
        <v>390</v>
      </c>
      <c r="C388" s="2">
        <v>31</v>
      </c>
      <c r="D388" s="2">
        <v>3.77</v>
      </c>
      <c r="E388" s="7">
        <v>5</v>
      </c>
      <c r="F388" s="7">
        <v>3</v>
      </c>
      <c r="G388" s="7">
        <v>1</v>
      </c>
      <c r="H388" s="7">
        <v>61</v>
      </c>
      <c r="I388" s="7">
        <v>2</v>
      </c>
      <c r="J388" s="7">
        <v>0</v>
      </c>
      <c r="K388" s="7">
        <v>0</v>
      </c>
      <c r="L388" s="7">
        <v>57</v>
      </c>
      <c r="M388" s="7">
        <v>1</v>
      </c>
      <c r="N388" s="7">
        <v>42</v>
      </c>
      <c r="O388" s="7">
        <v>26</v>
      </c>
      <c r="P388" s="7">
        <v>24</v>
      </c>
      <c r="Q388" s="7">
        <v>6</v>
      </c>
      <c r="R388" s="7">
        <v>2</v>
      </c>
      <c r="S388" s="7">
        <v>20</v>
      </c>
      <c r="T388" s="7">
        <v>2</v>
      </c>
      <c r="U388" s="7">
        <v>47</v>
      </c>
      <c r="V388" s="2">
        <f t="shared" si="54"/>
        <v>26.046580474311668</v>
      </c>
      <c r="W388" s="7">
        <v>50</v>
      </c>
      <c r="X388" s="2">
        <f t="shared" si="56"/>
        <v>76.046580474311668</v>
      </c>
      <c r="Y388" s="2"/>
      <c r="Z388" s="2">
        <f t="shared" si="57"/>
        <v>236</v>
      </c>
      <c r="AA388" s="1">
        <f t="shared" si="58"/>
        <v>19.915254237288135</v>
      </c>
      <c r="AB388" s="1">
        <f t="shared" si="59"/>
        <v>9.3220338983050848</v>
      </c>
      <c r="AC388" s="1">
        <f t="shared" si="60"/>
        <v>2.5423728813559325</v>
      </c>
      <c r="AD388" s="2">
        <f t="shared" si="61"/>
        <v>7.612903225806452</v>
      </c>
      <c r="AE388" s="2">
        <f t="shared" si="62"/>
        <v>10.59322033898305</v>
      </c>
      <c r="AF388" s="2">
        <f t="shared" si="55"/>
        <v>130.23290237155834</v>
      </c>
    </row>
    <row r="389" spans="1:32" x14ac:dyDescent="0.35">
      <c r="A389" s="2" t="s">
        <v>777</v>
      </c>
      <c r="B389" s="2" t="s">
        <v>390</v>
      </c>
      <c r="C389" s="2">
        <v>31</v>
      </c>
      <c r="D389" s="2">
        <v>4</v>
      </c>
      <c r="E389" s="7">
        <v>4</v>
      </c>
      <c r="F389" s="7">
        <v>3</v>
      </c>
      <c r="G389" s="7">
        <v>3</v>
      </c>
      <c r="H389" s="7">
        <v>54</v>
      </c>
      <c r="I389" s="7">
        <v>0</v>
      </c>
      <c r="J389" s="7">
        <v>0</v>
      </c>
      <c r="K389" s="7">
        <v>0</v>
      </c>
      <c r="L389" s="7">
        <v>81</v>
      </c>
      <c r="N389" s="7">
        <v>83</v>
      </c>
      <c r="O389" s="7">
        <v>42</v>
      </c>
      <c r="P389" s="7">
        <v>36</v>
      </c>
      <c r="Q389" s="7">
        <v>6</v>
      </c>
      <c r="R389" s="7">
        <v>5</v>
      </c>
      <c r="S389" s="7">
        <v>25</v>
      </c>
      <c r="T389" s="7">
        <v>1</v>
      </c>
      <c r="U389" s="7">
        <v>61</v>
      </c>
      <c r="V389" s="2">
        <f t="shared" si="54"/>
        <v>31.134354429491754</v>
      </c>
      <c r="W389" s="7">
        <v>50</v>
      </c>
      <c r="X389" s="2">
        <f t="shared" si="56"/>
        <v>81.134354429491751</v>
      </c>
      <c r="Y389" s="2"/>
      <c r="Z389" s="2">
        <f t="shared" si="57"/>
        <v>356</v>
      </c>
      <c r="AA389" s="1">
        <f t="shared" si="58"/>
        <v>17.134831460674157</v>
      </c>
      <c r="AB389" s="1">
        <f t="shared" si="59"/>
        <v>8.4269662921348321</v>
      </c>
      <c r="AC389" s="1">
        <f t="shared" si="60"/>
        <v>1.6853932584269662</v>
      </c>
      <c r="AD389" s="2">
        <f t="shared" si="61"/>
        <v>11.483870967741936</v>
      </c>
      <c r="AE389" s="2">
        <f t="shared" si="62"/>
        <v>8.7078651685393247</v>
      </c>
      <c r="AF389" s="2">
        <f t="shared" si="55"/>
        <v>155.67177214745877</v>
      </c>
    </row>
    <row r="390" spans="1:32" x14ac:dyDescent="0.35">
      <c r="A390" s="2" t="s">
        <v>778</v>
      </c>
      <c r="B390" s="2" t="s">
        <v>390</v>
      </c>
      <c r="C390" s="2">
        <v>31</v>
      </c>
      <c r="D390" s="2">
        <v>6.23</v>
      </c>
      <c r="E390" s="7">
        <v>0</v>
      </c>
      <c r="F390" s="7">
        <v>3</v>
      </c>
      <c r="G390" s="7">
        <v>1</v>
      </c>
      <c r="H390" s="7">
        <v>15</v>
      </c>
      <c r="I390" s="7">
        <v>4</v>
      </c>
      <c r="J390" s="7">
        <v>0</v>
      </c>
      <c r="K390" s="7">
        <v>0</v>
      </c>
      <c r="L390" s="7">
        <v>39</v>
      </c>
      <c r="N390" s="7">
        <v>47</v>
      </c>
      <c r="O390" s="7">
        <v>29</v>
      </c>
      <c r="P390" s="7">
        <v>27</v>
      </c>
      <c r="Q390" s="7">
        <v>6</v>
      </c>
      <c r="R390" s="7">
        <v>1</v>
      </c>
      <c r="S390" s="7">
        <v>12</v>
      </c>
      <c r="T390" s="7">
        <v>0</v>
      </c>
      <c r="U390" s="7">
        <v>34</v>
      </c>
      <c r="V390" s="2">
        <f t="shared" si="54"/>
        <v>14.140799899171876</v>
      </c>
      <c r="W390" s="7">
        <v>50</v>
      </c>
      <c r="X390" s="2">
        <f t="shared" si="56"/>
        <v>64.140799899171881</v>
      </c>
      <c r="Y390" s="2"/>
      <c r="Z390" s="2">
        <f t="shared" si="57"/>
        <v>177</v>
      </c>
      <c r="AA390" s="1">
        <f t="shared" si="58"/>
        <v>19.209039548022599</v>
      </c>
      <c r="AB390" s="1">
        <f t="shared" si="59"/>
        <v>7.3446327683615822</v>
      </c>
      <c r="AC390" s="1">
        <f t="shared" si="60"/>
        <v>3.3898305084745761</v>
      </c>
      <c r="AD390" s="2">
        <f t="shared" si="61"/>
        <v>5.709677419354839</v>
      </c>
      <c r="AE390" s="2">
        <f t="shared" si="62"/>
        <v>11.864406779661017</v>
      </c>
      <c r="AF390" s="2">
        <f t="shared" si="55"/>
        <v>70.703999495859378</v>
      </c>
    </row>
    <row r="391" spans="1:32" x14ac:dyDescent="0.35">
      <c r="A391" s="2" t="s">
        <v>779</v>
      </c>
      <c r="B391" s="2" t="s">
        <v>388</v>
      </c>
      <c r="C391" s="2">
        <v>31</v>
      </c>
      <c r="D391" s="2">
        <v>4.0999999999999996</v>
      </c>
      <c r="E391" s="7">
        <v>3</v>
      </c>
      <c r="F391" s="7">
        <v>4</v>
      </c>
      <c r="G391" s="7">
        <v>0</v>
      </c>
      <c r="H391" s="7">
        <v>9</v>
      </c>
      <c r="I391" s="7">
        <v>9</v>
      </c>
      <c r="J391" s="7">
        <v>0</v>
      </c>
      <c r="K391" s="7">
        <v>0</v>
      </c>
      <c r="L391" s="7">
        <v>48</v>
      </c>
      <c r="M391" s="7">
        <v>1</v>
      </c>
      <c r="N391" s="7">
        <v>37</v>
      </c>
      <c r="O391" s="7">
        <v>22</v>
      </c>
      <c r="P391" s="7">
        <v>22</v>
      </c>
      <c r="Q391" s="7">
        <v>7</v>
      </c>
      <c r="R391" s="7">
        <v>0</v>
      </c>
      <c r="S391" s="7">
        <v>20</v>
      </c>
      <c r="T391" s="7">
        <v>0</v>
      </c>
      <c r="U391" s="7">
        <v>48</v>
      </c>
      <c r="V391" s="2">
        <f t="shared" si="54"/>
        <v>28.92292475865694</v>
      </c>
      <c r="W391" s="7">
        <v>50</v>
      </c>
      <c r="X391" s="2">
        <f t="shared" si="56"/>
        <v>78.922924758656933</v>
      </c>
      <c r="Y391" s="2"/>
      <c r="Z391" s="2">
        <f t="shared" si="57"/>
        <v>202</v>
      </c>
      <c r="AA391" s="1">
        <f t="shared" si="58"/>
        <v>23.762376237623762</v>
      </c>
      <c r="AB391" s="1">
        <f t="shared" si="59"/>
        <v>9.9009900990099009</v>
      </c>
      <c r="AC391" s="1">
        <f t="shared" si="60"/>
        <v>3.4653465346534658</v>
      </c>
      <c r="AD391" s="2">
        <f t="shared" si="61"/>
        <v>6.5161290322580649</v>
      </c>
      <c r="AE391" s="2">
        <f t="shared" si="62"/>
        <v>13.861386138613861</v>
      </c>
      <c r="AF391" s="2">
        <f t="shared" si="55"/>
        <v>144.61462379328469</v>
      </c>
    </row>
    <row r="392" spans="1:32" x14ac:dyDescent="0.35">
      <c r="A392" s="2" t="s">
        <v>780</v>
      </c>
      <c r="B392" s="2" t="s">
        <v>390</v>
      </c>
      <c r="C392" s="2">
        <v>31</v>
      </c>
      <c r="D392" s="2">
        <v>4.63</v>
      </c>
      <c r="E392" s="7">
        <v>1</v>
      </c>
      <c r="F392" s="7">
        <v>3</v>
      </c>
      <c r="G392" s="7">
        <v>0</v>
      </c>
      <c r="H392" s="7">
        <v>39</v>
      </c>
      <c r="I392" s="7">
        <v>0</v>
      </c>
      <c r="J392" s="7">
        <v>0</v>
      </c>
      <c r="K392" s="7">
        <v>0</v>
      </c>
      <c r="L392" s="7">
        <v>35</v>
      </c>
      <c r="N392" s="7">
        <v>29</v>
      </c>
      <c r="O392" s="7">
        <v>20</v>
      </c>
      <c r="P392" s="7">
        <v>18</v>
      </c>
      <c r="Q392" s="7">
        <v>4</v>
      </c>
      <c r="R392" s="7">
        <v>1</v>
      </c>
      <c r="S392" s="7">
        <v>16</v>
      </c>
      <c r="T392" s="7">
        <v>1</v>
      </c>
      <c r="U392" s="7">
        <v>32</v>
      </c>
      <c r="V392" s="2">
        <f t="shared" ref="V392:V455" si="63">(AF392*2)/10</f>
        <v>11.366840604168171</v>
      </c>
      <c r="W392" s="7">
        <v>50</v>
      </c>
      <c r="X392" s="2">
        <f t="shared" si="56"/>
        <v>61.366840604168175</v>
      </c>
      <c r="Y392" s="2"/>
      <c r="Z392" s="2">
        <f t="shared" si="57"/>
        <v>151</v>
      </c>
      <c r="AA392" s="1">
        <f t="shared" si="58"/>
        <v>21.192052980132452</v>
      </c>
      <c r="AB392" s="1">
        <f t="shared" si="59"/>
        <v>11.258278145695364</v>
      </c>
      <c r="AC392" s="1">
        <f t="shared" si="60"/>
        <v>2.6490066225165565</v>
      </c>
      <c r="AD392" s="2">
        <f t="shared" si="61"/>
        <v>4.870967741935484</v>
      </c>
      <c r="AE392" s="2">
        <f t="shared" si="62"/>
        <v>9.933774834437088</v>
      </c>
      <c r="AF392" s="2">
        <f t="shared" si="55"/>
        <v>56.834203020840853</v>
      </c>
    </row>
    <row r="393" spans="1:32" x14ac:dyDescent="0.35">
      <c r="A393" s="2" t="s">
        <v>781</v>
      </c>
      <c r="B393" s="2" t="s">
        <v>390</v>
      </c>
      <c r="C393" s="2">
        <v>31</v>
      </c>
      <c r="D393" s="2">
        <v>6.02</v>
      </c>
      <c r="E393" s="7">
        <v>0</v>
      </c>
      <c r="F393" s="7">
        <v>0</v>
      </c>
      <c r="G393" s="7">
        <v>1</v>
      </c>
      <c r="H393" s="7">
        <v>25</v>
      </c>
      <c r="I393" s="7">
        <v>1</v>
      </c>
      <c r="J393" s="7">
        <v>0</v>
      </c>
      <c r="K393" s="7">
        <v>0</v>
      </c>
      <c r="L393" s="7">
        <v>43</v>
      </c>
      <c r="M393" s="7">
        <v>1</v>
      </c>
      <c r="N393" s="7">
        <v>54</v>
      </c>
      <c r="O393" s="7">
        <v>33</v>
      </c>
      <c r="P393" s="7">
        <v>29</v>
      </c>
      <c r="Q393" s="7">
        <v>5</v>
      </c>
      <c r="R393" s="7">
        <v>2</v>
      </c>
      <c r="S393" s="7">
        <v>14</v>
      </c>
      <c r="T393" s="7">
        <v>1</v>
      </c>
      <c r="U393" s="7">
        <v>41</v>
      </c>
      <c r="V393" s="2">
        <f t="shared" si="63"/>
        <v>14.217263993417708</v>
      </c>
      <c r="W393" s="7">
        <v>50</v>
      </c>
      <c r="X393" s="2">
        <f t="shared" si="56"/>
        <v>64.217263993417703</v>
      </c>
      <c r="Y393" s="2"/>
      <c r="Z393" s="2">
        <f t="shared" si="57"/>
        <v>200</v>
      </c>
      <c r="AA393" s="1">
        <f t="shared" si="58"/>
        <v>20.5</v>
      </c>
      <c r="AB393" s="1">
        <f t="shared" si="59"/>
        <v>8</v>
      </c>
      <c r="AC393" s="1">
        <f t="shared" si="60"/>
        <v>2.5</v>
      </c>
      <c r="AD393" s="2">
        <f t="shared" si="61"/>
        <v>6.4516129032258061</v>
      </c>
      <c r="AE393" s="2">
        <f t="shared" si="62"/>
        <v>12.5</v>
      </c>
      <c r="AF393" s="2">
        <f t="shared" si="55"/>
        <v>71.086319967088542</v>
      </c>
    </row>
    <row r="394" spans="1:32" x14ac:dyDescent="0.35">
      <c r="A394" s="2" t="s">
        <v>782</v>
      </c>
      <c r="B394" s="2" t="s">
        <v>390</v>
      </c>
      <c r="C394" s="2">
        <v>31</v>
      </c>
      <c r="D394" s="2">
        <v>3.77</v>
      </c>
      <c r="E394" s="7">
        <v>0</v>
      </c>
      <c r="F394" s="7">
        <v>0</v>
      </c>
      <c r="G394" s="7">
        <v>0</v>
      </c>
      <c r="H394" s="7">
        <v>17</v>
      </c>
      <c r="I394" s="7">
        <v>1</v>
      </c>
      <c r="J394" s="7">
        <v>0</v>
      </c>
      <c r="K394" s="7">
        <v>0</v>
      </c>
      <c r="L394" s="7">
        <v>28</v>
      </c>
      <c r="M394" s="7">
        <v>2</v>
      </c>
      <c r="N394" s="7">
        <v>23</v>
      </c>
      <c r="O394" s="7">
        <v>12</v>
      </c>
      <c r="P394" s="7">
        <v>12</v>
      </c>
      <c r="Q394" s="7">
        <v>0</v>
      </c>
      <c r="R394" s="7">
        <v>1</v>
      </c>
      <c r="S394" s="7">
        <v>12</v>
      </c>
      <c r="T394" s="7">
        <v>1</v>
      </c>
      <c r="U394" s="7">
        <v>22</v>
      </c>
      <c r="V394" s="2">
        <f t="shared" si="63"/>
        <v>2.3618191704595954</v>
      </c>
      <c r="W394" s="7">
        <v>50</v>
      </c>
      <c r="X394" s="2">
        <f t="shared" si="56"/>
        <v>52.361819170459597</v>
      </c>
      <c r="Y394" s="2"/>
      <c r="Z394" s="2">
        <f t="shared" si="57"/>
        <v>122</v>
      </c>
      <c r="AA394" s="1">
        <f t="shared" si="58"/>
        <v>18.032786885245901</v>
      </c>
      <c r="AB394" s="1">
        <f t="shared" si="59"/>
        <v>10.655737704918032</v>
      </c>
      <c r="AC394" s="1">
        <f t="shared" si="60"/>
        <v>0</v>
      </c>
      <c r="AD394" s="2">
        <f t="shared" si="61"/>
        <v>3.935483870967742</v>
      </c>
      <c r="AE394" s="2">
        <f t="shared" si="62"/>
        <v>7.3770491803278695</v>
      </c>
      <c r="AF394" s="2">
        <f t="shared" si="55"/>
        <v>11.809095852297977</v>
      </c>
    </row>
    <row r="395" spans="1:32" x14ac:dyDescent="0.35">
      <c r="A395" s="2" t="s">
        <v>783</v>
      </c>
      <c r="B395" s="2" t="s">
        <v>390</v>
      </c>
      <c r="C395" s="2">
        <v>31</v>
      </c>
      <c r="D395" s="2">
        <v>0</v>
      </c>
      <c r="E395" s="7">
        <v>1</v>
      </c>
      <c r="F395" s="7">
        <v>0</v>
      </c>
      <c r="G395" s="7">
        <v>0</v>
      </c>
      <c r="H395" s="7">
        <v>2</v>
      </c>
      <c r="I395" s="7">
        <v>0</v>
      </c>
      <c r="J395" s="7">
        <v>0</v>
      </c>
      <c r="K395" s="7">
        <v>0</v>
      </c>
      <c r="L395" s="7">
        <v>2</v>
      </c>
      <c r="N395" s="7">
        <v>1</v>
      </c>
      <c r="O395" s="7">
        <v>0</v>
      </c>
      <c r="P395" s="7">
        <v>0</v>
      </c>
      <c r="Q395" s="7">
        <v>0</v>
      </c>
      <c r="R395" s="7">
        <v>0</v>
      </c>
      <c r="S395" s="7">
        <v>1</v>
      </c>
      <c r="T395" s="7">
        <v>0</v>
      </c>
      <c r="U395" s="7">
        <v>3</v>
      </c>
      <c r="V395" s="2" t="e">
        <f t="shared" si="63"/>
        <v>#DIV/0!</v>
      </c>
      <c r="W395" s="7">
        <v>50</v>
      </c>
      <c r="X395" s="2" t="e">
        <f t="shared" si="56"/>
        <v>#DIV/0!</v>
      </c>
      <c r="Y395" s="2"/>
      <c r="Z395" s="2">
        <f t="shared" si="57"/>
        <v>8</v>
      </c>
      <c r="AA395" s="1">
        <f t="shared" si="58"/>
        <v>37.5</v>
      </c>
      <c r="AB395" s="1">
        <f t="shared" si="59"/>
        <v>12.5</v>
      </c>
      <c r="AC395" s="1">
        <f t="shared" si="60"/>
        <v>0</v>
      </c>
      <c r="AD395" s="2">
        <f t="shared" si="61"/>
        <v>0.25806451612903225</v>
      </c>
      <c r="AE395" s="2">
        <f t="shared" si="62"/>
        <v>25</v>
      </c>
      <c r="AF395" s="2" t="e">
        <f t="shared" si="55"/>
        <v>#DIV/0!</v>
      </c>
    </row>
    <row r="396" spans="1:32" x14ac:dyDescent="0.35">
      <c r="A396" s="2" t="s">
        <v>784</v>
      </c>
      <c r="B396" s="2" t="s">
        <v>390</v>
      </c>
      <c r="C396" s="2">
        <v>31</v>
      </c>
      <c r="D396" s="2">
        <v>5.12</v>
      </c>
      <c r="E396" s="7">
        <v>3</v>
      </c>
      <c r="F396" s="7">
        <v>7</v>
      </c>
      <c r="G396" s="7">
        <v>2</v>
      </c>
      <c r="H396" s="7">
        <v>65</v>
      </c>
      <c r="I396" s="7">
        <v>0</v>
      </c>
      <c r="J396" s="7">
        <v>0</v>
      </c>
      <c r="K396" s="7">
        <v>0</v>
      </c>
      <c r="L396" s="7">
        <v>58</v>
      </c>
      <c r="N396" s="7">
        <v>62</v>
      </c>
      <c r="O396" s="7">
        <v>36</v>
      </c>
      <c r="P396" s="7">
        <v>33</v>
      </c>
      <c r="Q396" s="7">
        <v>7</v>
      </c>
      <c r="R396" s="7">
        <v>3</v>
      </c>
      <c r="S396" s="7">
        <v>24</v>
      </c>
      <c r="T396" s="7">
        <v>1</v>
      </c>
      <c r="U396" s="7">
        <v>53</v>
      </c>
      <c r="V396" s="2">
        <f t="shared" si="63"/>
        <v>22.290977612386889</v>
      </c>
      <c r="W396" s="7">
        <v>50</v>
      </c>
      <c r="X396" s="2">
        <f t="shared" si="56"/>
        <v>72.290977612386882</v>
      </c>
      <c r="Y396" s="2"/>
      <c r="Z396" s="2">
        <f t="shared" si="57"/>
        <v>263</v>
      </c>
      <c r="AA396" s="1">
        <f t="shared" si="58"/>
        <v>20.15209125475285</v>
      </c>
      <c r="AB396" s="1">
        <f t="shared" si="59"/>
        <v>10.266159695817491</v>
      </c>
      <c r="AC396" s="1">
        <f t="shared" si="60"/>
        <v>2.6615969581749046</v>
      </c>
      <c r="AD396" s="2">
        <f t="shared" si="61"/>
        <v>8.4838709677419359</v>
      </c>
      <c r="AE396" s="2">
        <f t="shared" si="62"/>
        <v>9.8859315589353596</v>
      </c>
      <c r="AF396" s="2">
        <f t="shared" ref="AF396:AF459" si="64">(AD396+AE396)/(D396/(1+AC396))*AD396</f>
        <v>111.45488806193444</v>
      </c>
    </row>
    <row r="397" spans="1:32" x14ac:dyDescent="0.35">
      <c r="A397" s="2" t="s">
        <v>785</v>
      </c>
      <c r="B397" s="2" t="s">
        <v>390</v>
      </c>
      <c r="C397" s="2">
        <v>31</v>
      </c>
      <c r="D397" s="2">
        <v>8.44</v>
      </c>
      <c r="E397" s="7">
        <v>0</v>
      </c>
      <c r="F397" s="7">
        <v>0</v>
      </c>
      <c r="G397" s="7">
        <v>0</v>
      </c>
      <c r="H397" s="7">
        <v>11</v>
      </c>
      <c r="I397" s="7">
        <v>0</v>
      </c>
      <c r="J397" s="7">
        <v>0</v>
      </c>
      <c r="K397" s="7">
        <v>0</v>
      </c>
      <c r="L397" s="7">
        <v>10</v>
      </c>
      <c r="M397" s="7">
        <v>2</v>
      </c>
      <c r="N397" s="7">
        <v>16</v>
      </c>
      <c r="O397" s="7">
        <v>10</v>
      </c>
      <c r="P397" s="7">
        <v>10</v>
      </c>
      <c r="Q397" s="7">
        <v>1</v>
      </c>
      <c r="R397" s="7">
        <v>0</v>
      </c>
      <c r="S397" s="7">
        <v>3</v>
      </c>
      <c r="T397" s="7">
        <v>1</v>
      </c>
      <c r="U397" s="7">
        <v>6</v>
      </c>
      <c r="V397" s="2">
        <f t="shared" si="63"/>
        <v>0.86886917058275248</v>
      </c>
      <c r="W397" s="7">
        <v>50</v>
      </c>
      <c r="X397" s="2">
        <f t="shared" si="56"/>
        <v>50.868869170582755</v>
      </c>
      <c r="Y397" s="2"/>
      <c r="Z397" s="2">
        <f t="shared" si="57"/>
        <v>51</v>
      </c>
      <c r="AA397" s="1">
        <f t="shared" si="58"/>
        <v>11.76470588235294</v>
      </c>
      <c r="AB397" s="1">
        <f t="shared" si="59"/>
        <v>5.8823529411764701</v>
      </c>
      <c r="AC397" s="1">
        <f t="shared" si="60"/>
        <v>1.9607843137254901</v>
      </c>
      <c r="AD397" s="2">
        <f t="shared" si="61"/>
        <v>1.6451612903225807</v>
      </c>
      <c r="AE397" s="2">
        <f t="shared" si="62"/>
        <v>5.8823529411764701</v>
      </c>
      <c r="AF397" s="2">
        <f t="shared" si="64"/>
        <v>4.3443458529137624</v>
      </c>
    </row>
    <row r="398" spans="1:32" x14ac:dyDescent="0.35">
      <c r="A398" s="2" t="s">
        <v>786</v>
      </c>
      <c r="B398" s="2" t="s">
        <v>390</v>
      </c>
      <c r="C398" s="2">
        <v>31</v>
      </c>
      <c r="D398" s="2">
        <v>4.66</v>
      </c>
      <c r="E398" s="7">
        <v>4</v>
      </c>
      <c r="F398" s="7">
        <v>2</v>
      </c>
      <c r="G398" s="7">
        <v>2</v>
      </c>
      <c r="H398" s="7">
        <v>56</v>
      </c>
      <c r="I398" s="7">
        <v>0</v>
      </c>
      <c r="J398" s="7">
        <v>0</v>
      </c>
      <c r="K398" s="7">
        <v>0</v>
      </c>
      <c r="L398" s="7">
        <v>58</v>
      </c>
      <c r="N398" s="7">
        <v>43</v>
      </c>
      <c r="O398" s="7">
        <v>32</v>
      </c>
      <c r="P398" s="7">
        <v>30</v>
      </c>
      <c r="Q398" s="7">
        <v>4</v>
      </c>
      <c r="R398" s="7">
        <v>4</v>
      </c>
      <c r="S398" s="7">
        <v>34</v>
      </c>
      <c r="T398" s="7">
        <v>2</v>
      </c>
      <c r="U398" s="7">
        <v>54</v>
      </c>
      <c r="V398" s="2">
        <f t="shared" si="63"/>
        <v>13.149255361172752</v>
      </c>
      <c r="W398" s="7">
        <v>50</v>
      </c>
      <c r="X398" s="2">
        <f t="shared" si="56"/>
        <v>63.149255361172749</v>
      </c>
      <c r="Y398" s="2"/>
      <c r="Z398" s="2">
        <f t="shared" si="57"/>
        <v>255</v>
      </c>
      <c r="AA398" s="1">
        <f t="shared" si="58"/>
        <v>21.176470588235293</v>
      </c>
      <c r="AB398" s="1">
        <f t="shared" si="59"/>
        <v>14.901960784313726</v>
      </c>
      <c r="AC398" s="1">
        <f t="shared" si="60"/>
        <v>1.5686274509803921</v>
      </c>
      <c r="AD398" s="2">
        <f t="shared" si="61"/>
        <v>8.2258064516129039</v>
      </c>
      <c r="AE398" s="2">
        <f t="shared" si="62"/>
        <v>6.2745098039215677</v>
      </c>
      <c r="AF398" s="2">
        <f t="shared" si="64"/>
        <v>65.746276805863758</v>
      </c>
    </row>
    <row r="399" spans="1:32" x14ac:dyDescent="0.35">
      <c r="A399" s="2" t="s">
        <v>787</v>
      </c>
      <c r="B399" s="2" t="s">
        <v>390</v>
      </c>
      <c r="C399" s="2">
        <v>31</v>
      </c>
      <c r="D399" s="2">
        <v>5.83</v>
      </c>
      <c r="E399" s="7">
        <v>0</v>
      </c>
      <c r="F399" s="7">
        <v>0</v>
      </c>
      <c r="G399" s="7">
        <v>0</v>
      </c>
      <c r="H399" s="7">
        <v>13</v>
      </c>
      <c r="I399" s="7">
        <v>0</v>
      </c>
      <c r="J399" s="7">
        <v>0</v>
      </c>
      <c r="K399" s="7">
        <v>0</v>
      </c>
      <c r="L399" s="7">
        <v>29</v>
      </c>
      <c r="M399" s="7">
        <v>1</v>
      </c>
      <c r="N399" s="7">
        <v>25</v>
      </c>
      <c r="O399" s="7">
        <v>19</v>
      </c>
      <c r="P399" s="7">
        <v>19</v>
      </c>
      <c r="Q399" s="7">
        <v>5</v>
      </c>
      <c r="R399" s="7">
        <v>0</v>
      </c>
      <c r="S399" s="7">
        <v>11</v>
      </c>
      <c r="T399" s="7">
        <v>0</v>
      </c>
      <c r="U399" s="7">
        <v>26</v>
      </c>
      <c r="V399" s="2">
        <f t="shared" si="63"/>
        <v>11.115351183283565</v>
      </c>
      <c r="W399" s="7">
        <v>50</v>
      </c>
      <c r="X399" s="2">
        <f t="shared" si="56"/>
        <v>61.115351183283565</v>
      </c>
      <c r="Y399" s="2"/>
      <c r="Z399" s="2">
        <f t="shared" si="57"/>
        <v>124</v>
      </c>
      <c r="AA399" s="1">
        <f t="shared" si="58"/>
        <v>20.967741935483872</v>
      </c>
      <c r="AB399" s="1">
        <f t="shared" si="59"/>
        <v>8.870967741935484</v>
      </c>
      <c r="AC399" s="1">
        <f t="shared" si="60"/>
        <v>4.032258064516129</v>
      </c>
      <c r="AD399" s="2">
        <f t="shared" si="61"/>
        <v>4</v>
      </c>
      <c r="AE399" s="2">
        <f t="shared" si="62"/>
        <v>12.096774193548388</v>
      </c>
      <c r="AF399" s="2">
        <f t="shared" si="64"/>
        <v>55.576755916417824</v>
      </c>
    </row>
    <row r="400" spans="1:32" x14ac:dyDescent="0.35">
      <c r="A400" s="2" t="s">
        <v>788</v>
      </c>
      <c r="B400" s="2" t="s">
        <v>390</v>
      </c>
      <c r="C400" s="2">
        <v>31</v>
      </c>
      <c r="D400" s="2">
        <v>3.15</v>
      </c>
      <c r="E400" s="7">
        <v>0</v>
      </c>
      <c r="F400" s="7">
        <v>2</v>
      </c>
      <c r="G400" s="7">
        <v>0</v>
      </c>
      <c r="H400" s="7">
        <v>29</v>
      </c>
      <c r="I400" s="7">
        <v>1</v>
      </c>
      <c r="J400" s="7">
        <v>0</v>
      </c>
      <c r="K400" s="7">
        <v>0</v>
      </c>
      <c r="L400" s="7">
        <v>34</v>
      </c>
      <c r="M400" s="7">
        <v>1</v>
      </c>
      <c r="N400" s="7">
        <v>31</v>
      </c>
      <c r="O400" s="7">
        <v>12</v>
      </c>
      <c r="P400" s="7">
        <v>12</v>
      </c>
      <c r="Q400" s="7">
        <v>5</v>
      </c>
      <c r="R400" s="7">
        <v>0</v>
      </c>
      <c r="S400" s="7">
        <v>10</v>
      </c>
      <c r="T400" s="7">
        <v>1</v>
      </c>
      <c r="U400" s="7">
        <v>38</v>
      </c>
      <c r="V400" s="2">
        <f t="shared" si="63"/>
        <v>31.774103621484823</v>
      </c>
      <c r="W400" s="7">
        <v>50</v>
      </c>
      <c r="X400" s="2">
        <f t="shared" si="56"/>
        <v>81.774103621484826</v>
      </c>
      <c r="Y400" s="2"/>
      <c r="Z400" s="2">
        <f t="shared" si="57"/>
        <v>144</v>
      </c>
      <c r="AA400" s="1">
        <f t="shared" si="58"/>
        <v>26.388888888888889</v>
      </c>
      <c r="AB400" s="1">
        <f t="shared" si="59"/>
        <v>6.9444444444444446</v>
      </c>
      <c r="AC400" s="1">
        <f t="shared" si="60"/>
        <v>3.4722222222222223</v>
      </c>
      <c r="AD400" s="2">
        <f t="shared" si="61"/>
        <v>4.645161290322581</v>
      </c>
      <c r="AE400" s="2">
        <f t="shared" si="62"/>
        <v>19.444444444444443</v>
      </c>
      <c r="AF400" s="2">
        <f t="shared" si="64"/>
        <v>158.87051810742412</v>
      </c>
    </row>
    <row r="401" spans="1:32" x14ac:dyDescent="0.35">
      <c r="A401" s="2" t="s">
        <v>789</v>
      </c>
      <c r="B401" s="2" t="s">
        <v>390</v>
      </c>
      <c r="C401" s="2">
        <v>31</v>
      </c>
      <c r="D401" s="2">
        <v>5.4</v>
      </c>
      <c r="E401" s="7">
        <v>0</v>
      </c>
      <c r="F401" s="7">
        <v>0</v>
      </c>
      <c r="G401" s="7">
        <v>0</v>
      </c>
      <c r="H401" s="7">
        <v>5</v>
      </c>
      <c r="I401" s="7">
        <v>0</v>
      </c>
      <c r="J401" s="7">
        <v>0</v>
      </c>
      <c r="K401" s="7">
        <v>0</v>
      </c>
      <c r="L401" s="7">
        <v>6</v>
      </c>
      <c r="M401" s="7">
        <v>2</v>
      </c>
      <c r="N401" s="7">
        <v>8</v>
      </c>
      <c r="O401" s="7">
        <v>4</v>
      </c>
      <c r="P401" s="7">
        <v>4</v>
      </c>
      <c r="Q401" s="7">
        <v>1</v>
      </c>
      <c r="R401" s="7">
        <v>0</v>
      </c>
      <c r="S401" s="7">
        <v>1</v>
      </c>
      <c r="T401" s="7">
        <v>0</v>
      </c>
      <c r="U401" s="7">
        <v>3</v>
      </c>
      <c r="V401" s="2">
        <f t="shared" si="63"/>
        <v>1.207087923260014</v>
      </c>
      <c r="W401" s="7">
        <v>50</v>
      </c>
      <c r="X401" s="2">
        <f t="shared" si="56"/>
        <v>51.207087923260012</v>
      </c>
      <c r="Y401" s="2"/>
      <c r="Z401" s="2">
        <f t="shared" si="57"/>
        <v>29</v>
      </c>
      <c r="AA401" s="1">
        <f t="shared" si="58"/>
        <v>10.344827586206897</v>
      </c>
      <c r="AB401" s="1">
        <f t="shared" si="59"/>
        <v>3.4482758620689653</v>
      </c>
      <c r="AC401" s="1">
        <f t="shared" si="60"/>
        <v>3.4482758620689653</v>
      </c>
      <c r="AD401" s="2">
        <f t="shared" si="61"/>
        <v>0.93548387096774188</v>
      </c>
      <c r="AE401" s="2">
        <f t="shared" si="62"/>
        <v>6.8965517241379315</v>
      </c>
      <c r="AF401" s="2">
        <f t="shared" si="64"/>
        <v>6.0354396163000699</v>
      </c>
    </row>
    <row r="402" spans="1:32" x14ac:dyDescent="0.35">
      <c r="A402" s="2" t="s">
        <v>790</v>
      </c>
      <c r="B402" s="2" t="s">
        <v>390</v>
      </c>
      <c r="C402" s="2">
        <v>31</v>
      </c>
      <c r="D402" s="2">
        <v>4.62</v>
      </c>
      <c r="E402" s="7">
        <v>0</v>
      </c>
      <c r="F402" s="7">
        <v>1</v>
      </c>
      <c r="G402" s="7">
        <v>0</v>
      </c>
      <c r="H402" s="7">
        <v>25</v>
      </c>
      <c r="I402" s="7">
        <v>0</v>
      </c>
      <c r="J402" s="7">
        <v>0</v>
      </c>
      <c r="K402" s="7">
        <v>0</v>
      </c>
      <c r="L402" s="7">
        <v>25</v>
      </c>
      <c r="M402" s="7">
        <v>1</v>
      </c>
      <c r="N402" s="7">
        <v>26</v>
      </c>
      <c r="O402" s="7">
        <v>13</v>
      </c>
      <c r="P402" s="7">
        <v>13</v>
      </c>
      <c r="Q402" s="7">
        <v>3</v>
      </c>
      <c r="R402" s="7">
        <v>0</v>
      </c>
      <c r="S402" s="7">
        <v>8</v>
      </c>
      <c r="T402" s="7">
        <v>0</v>
      </c>
      <c r="U402" s="7">
        <v>15</v>
      </c>
      <c r="V402" s="2">
        <f t="shared" si="63"/>
        <v>5.6750867459409688</v>
      </c>
      <c r="W402" s="7">
        <v>50</v>
      </c>
      <c r="X402" s="2">
        <f t="shared" si="56"/>
        <v>55.675086745940966</v>
      </c>
      <c r="Y402" s="2"/>
      <c r="Z402" s="2">
        <f t="shared" si="57"/>
        <v>110</v>
      </c>
      <c r="AA402" s="1">
        <f t="shared" si="58"/>
        <v>13.636363636363635</v>
      </c>
      <c r="AB402" s="1">
        <f t="shared" si="59"/>
        <v>7.2727272727272725</v>
      </c>
      <c r="AC402" s="1">
        <f t="shared" si="60"/>
        <v>2.7272727272727271</v>
      </c>
      <c r="AD402" s="2">
        <f t="shared" si="61"/>
        <v>3.5483870967741935</v>
      </c>
      <c r="AE402" s="2">
        <f t="shared" si="62"/>
        <v>6.3636363636363624</v>
      </c>
      <c r="AF402" s="2">
        <f t="shared" si="64"/>
        <v>28.375433729704845</v>
      </c>
    </row>
    <row r="403" spans="1:32" x14ac:dyDescent="0.35">
      <c r="A403" s="2" t="s">
        <v>791</v>
      </c>
      <c r="B403" s="2" t="s">
        <v>390</v>
      </c>
      <c r="C403" s="2">
        <v>31</v>
      </c>
      <c r="D403" s="2">
        <v>3.88</v>
      </c>
      <c r="E403" s="7">
        <v>4</v>
      </c>
      <c r="F403" s="7">
        <v>2</v>
      </c>
      <c r="G403" s="7">
        <v>1</v>
      </c>
      <c r="H403" s="7">
        <v>46</v>
      </c>
      <c r="I403" s="7">
        <v>5</v>
      </c>
      <c r="J403" s="7">
        <v>0</v>
      </c>
      <c r="K403" s="7">
        <v>0</v>
      </c>
      <c r="L403" s="7">
        <v>51</v>
      </c>
      <c r="N403" s="7">
        <v>40</v>
      </c>
      <c r="O403" s="7">
        <v>24</v>
      </c>
      <c r="P403" s="7">
        <v>22</v>
      </c>
      <c r="Q403" s="7">
        <v>5</v>
      </c>
      <c r="R403" s="7">
        <v>2</v>
      </c>
      <c r="S403" s="7">
        <v>24</v>
      </c>
      <c r="T403" s="7">
        <v>3</v>
      </c>
      <c r="U403" s="7">
        <v>49</v>
      </c>
      <c r="V403" s="2">
        <f t="shared" si="63"/>
        <v>21.00187670316862</v>
      </c>
      <c r="W403" s="7">
        <v>50</v>
      </c>
      <c r="X403" s="2">
        <f t="shared" si="56"/>
        <v>71.00187670316862</v>
      </c>
      <c r="Y403" s="2"/>
      <c r="Z403" s="2">
        <f t="shared" si="57"/>
        <v>219</v>
      </c>
      <c r="AA403" s="1">
        <f t="shared" si="58"/>
        <v>22.37442922374429</v>
      </c>
      <c r="AB403" s="1">
        <f t="shared" si="59"/>
        <v>11.87214611872146</v>
      </c>
      <c r="AC403" s="1">
        <f t="shared" si="60"/>
        <v>2.2831050228310499</v>
      </c>
      <c r="AD403" s="2">
        <f t="shared" si="61"/>
        <v>7.064516129032258</v>
      </c>
      <c r="AE403" s="2">
        <f t="shared" si="62"/>
        <v>10.50228310502283</v>
      </c>
      <c r="AF403" s="2">
        <f t="shared" si="64"/>
        <v>105.0093835158431</v>
      </c>
    </row>
    <row r="404" spans="1:32" x14ac:dyDescent="0.35">
      <c r="A404" s="2" t="s">
        <v>792</v>
      </c>
      <c r="B404" s="2" t="s">
        <v>390</v>
      </c>
      <c r="C404" s="2">
        <v>31</v>
      </c>
      <c r="D404" s="2">
        <v>7.36</v>
      </c>
      <c r="E404" s="7">
        <v>1</v>
      </c>
      <c r="F404" s="7">
        <v>4</v>
      </c>
      <c r="G404" s="7">
        <v>3</v>
      </c>
      <c r="H404" s="7">
        <v>29</v>
      </c>
      <c r="I404" s="7">
        <v>0</v>
      </c>
      <c r="J404" s="7">
        <v>0</v>
      </c>
      <c r="K404" s="7">
        <v>0</v>
      </c>
      <c r="L404" s="7">
        <v>25</v>
      </c>
      <c r="M404" s="7">
        <v>2</v>
      </c>
      <c r="N404" s="7">
        <v>29</v>
      </c>
      <c r="O404" s="7">
        <v>22</v>
      </c>
      <c r="P404" s="7">
        <v>21</v>
      </c>
      <c r="Q404" s="7">
        <v>2</v>
      </c>
      <c r="R404" s="7">
        <v>2</v>
      </c>
      <c r="S404" s="7">
        <v>13</v>
      </c>
      <c r="T404" s="7">
        <v>0</v>
      </c>
      <c r="U404" s="7">
        <v>29</v>
      </c>
      <c r="V404" s="2">
        <f t="shared" si="63"/>
        <v>4.3539490450980249</v>
      </c>
      <c r="W404" s="7">
        <v>50</v>
      </c>
      <c r="X404" s="2">
        <f t="shared" si="56"/>
        <v>54.353949045098027</v>
      </c>
      <c r="Y404" s="2"/>
      <c r="Z404" s="2">
        <f t="shared" si="57"/>
        <v>121</v>
      </c>
      <c r="AA404" s="1">
        <f t="shared" si="58"/>
        <v>23.966942148760332</v>
      </c>
      <c r="AB404" s="1">
        <f t="shared" si="59"/>
        <v>12.396694214876034</v>
      </c>
      <c r="AC404" s="1">
        <f t="shared" si="60"/>
        <v>1.6528925619834711</v>
      </c>
      <c r="AD404" s="2">
        <f t="shared" si="61"/>
        <v>3.903225806451613</v>
      </c>
      <c r="AE404" s="2">
        <f t="shared" si="62"/>
        <v>11.570247933884298</v>
      </c>
      <c r="AF404" s="2">
        <f t="shared" si="64"/>
        <v>21.769745225490126</v>
      </c>
    </row>
    <row r="405" spans="1:32" x14ac:dyDescent="0.35">
      <c r="A405" s="2" t="s">
        <v>793</v>
      </c>
      <c r="B405" s="2" t="s">
        <v>388</v>
      </c>
      <c r="C405" s="2">
        <v>31</v>
      </c>
      <c r="D405" s="2">
        <v>7.49</v>
      </c>
      <c r="E405" s="7">
        <v>0</v>
      </c>
      <c r="F405" s="7">
        <v>7</v>
      </c>
      <c r="G405" s="7">
        <v>0</v>
      </c>
      <c r="H405" s="7">
        <v>12</v>
      </c>
      <c r="I405" s="7">
        <v>12</v>
      </c>
      <c r="J405" s="7">
        <v>0</v>
      </c>
      <c r="K405" s="7">
        <v>0</v>
      </c>
      <c r="L405" s="7">
        <v>57</v>
      </c>
      <c r="M405" s="7">
        <v>2</v>
      </c>
      <c r="N405" s="7">
        <v>82</v>
      </c>
      <c r="O405" s="7">
        <v>51</v>
      </c>
      <c r="P405" s="7">
        <v>48</v>
      </c>
      <c r="Q405" s="7">
        <v>16</v>
      </c>
      <c r="R405" s="7">
        <v>1</v>
      </c>
      <c r="S405" s="7">
        <v>17</v>
      </c>
      <c r="T405" s="7">
        <v>0</v>
      </c>
      <c r="U405" s="7">
        <v>34</v>
      </c>
      <c r="V405" s="2">
        <f t="shared" si="63"/>
        <v>23.66318381347785</v>
      </c>
      <c r="W405" s="7">
        <v>50</v>
      </c>
      <c r="X405" s="2">
        <f t="shared" si="56"/>
        <v>73.663183813477843</v>
      </c>
      <c r="Y405" s="2"/>
      <c r="Z405" s="2">
        <f t="shared" si="57"/>
        <v>273</v>
      </c>
      <c r="AA405" s="1">
        <f t="shared" si="58"/>
        <v>12.454212454212454</v>
      </c>
      <c r="AB405" s="1">
        <f t="shared" si="59"/>
        <v>6.593406593406594</v>
      </c>
      <c r="AC405" s="1">
        <f t="shared" si="60"/>
        <v>5.8608058608058604</v>
      </c>
      <c r="AD405" s="2">
        <f t="shared" si="61"/>
        <v>8.806451612903226</v>
      </c>
      <c r="AE405" s="2">
        <f t="shared" si="62"/>
        <v>5.8608058608058604</v>
      </c>
      <c r="AF405" s="2">
        <f t="shared" si="64"/>
        <v>118.31591906738926</v>
      </c>
    </row>
    <row r="406" spans="1:32" x14ac:dyDescent="0.35">
      <c r="A406" s="2" t="s">
        <v>794</v>
      </c>
      <c r="B406" s="2" t="s">
        <v>390</v>
      </c>
      <c r="C406" s="2">
        <v>31</v>
      </c>
      <c r="D406" s="2">
        <v>21.6</v>
      </c>
      <c r="E406" s="7">
        <v>0</v>
      </c>
      <c r="F406" s="7">
        <v>0</v>
      </c>
      <c r="G406" s="7">
        <v>0</v>
      </c>
      <c r="H406" s="7">
        <v>4</v>
      </c>
      <c r="I406" s="7">
        <v>0</v>
      </c>
      <c r="J406" s="7">
        <v>0</v>
      </c>
      <c r="K406" s="7">
        <v>0</v>
      </c>
      <c r="L406" s="7">
        <v>3</v>
      </c>
      <c r="M406" s="7">
        <v>1</v>
      </c>
      <c r="N406" s="7">
        <v>8</v>
      </c>
      <c r="O406" s="7">
        <v>8</v>
      </c>
      <c r="P406" s="7">
        <v>8</v>
      </c>
      <c r="Q406" s="7">
        <v>2</v>
      </c>
      <c r="R406" s="7">
        <v>0</v>
      </c>
      <c r="S406" s="7">
        <v>6</v>
      </c>
      <c r="T406" s="7">
        <v>0</v>
      </c>
      <c r="U406" s="7">
        <v>5</v>
      </c>
      <c r="V406" s="2">
        <f t="shared" si="63"/>
        <v>-0.22697550134247996</v>
      </c>
      <c r="W406" s="7">
        <v>50</v>
      </c>
      <c r="X406" s="2">
        <f t="shared" si="56"/>
        <v>49.77302449865752</v>
      </c>
      <c r="Y406" s="2"/>
      <c r="Z406" s="2">
        <f t="shared" si="57"/>
        <v>24</v>
      </c>
      <c r="AA406" s="1">
        <f t="shared" si="58"/>
        <v>20.833333333333336</v>
      </c>
      <c r="AB406" s="1">
        <f t="shared" si="59"/>
        <v>25</v>
      </c>
      <c r="AC406" s="1">
        <f t="shared" si="60"/>
        <v>8.3333333333333321</v>
      </c>
      <c r="AD406" s="2">
        <f t="shared" si="61"/>
        <v>0.77419354838709675</v>
      </c>
      <c r="AE406" s="2">
        <f t="shared" si="62"/>
        <v>-4.1666666666666643</v>
      </c>
      <c r="AF406" s="2">
        <f t="shared" si="64"/>
        <v>-1.1348775067123997</v>
      </c>
    </row>
    <row r="407" spans="1:32" x14ac:dyDescent="0.35">
      <c r="A407" s="2" t="s">
        <v>795</v>
      </c>
      <c r="B407" s="2" t="s">
        <v>390</v>
      </c>
      <c r="C407" s="2">
        <v>31</v>
      </c>
      <c r="D407" s="2">
        <v>2.48</v>
      </c>
      <c r="E407" s="7">
        <v>1</v>
      </c>
      <c r="F407" s="7">
        <v>2</v>
      </c>
      <c r="G407" s="7">
        <v>0</v>
      </c>
      <c r="H407" s="7">
        <v>59</v>
      </c>
      <c r="I407" s="7">
        <v>0</v>
      </c>
      <c r="J407" s="7">
        <v>0</v>
      </c>
      <c r="K407" s="7">
        <v>0</v>
      </c>
      <c r="L407" s="7">
        <v>83</v>
      </c>
      <c r="M407" s="7">
        <v>1</v>
      </c>
      <c r="N407" s="7">
        <v>72</v>
      </c>
      <c r="O407" s="7">
        <v>24</v>
      </c>
      <c r="P407" s="7">
        <v>23</v>
      </c>
      <c r="Q407" s="7">
        <v>6</v>
      </c>
      <c r="R407" s="7">
        <v>7</v>
      </c>
      <c r="S407" s="7">
        <v>26</v>
      </c>
      <c r="T407" s="7">
        <v>1</v>
      </c>
      <c r="U407" s="7">
        <v>81</v>
      </c>
      <c r="V407" s="2">
        <f t="shared" si="63"/>
        <v>62.04205613662505</v>
      </c>
      <c r="W407" s="7">
        <v>50</v>
      </c>
      <c r="X407" s="2">
        <f t="shared" si="56"/>
        <v>112.04205613662505</v>
      </c>
      <c r="Y407" s="2"/>
      <c r="Z407" s="2">
        <f t="shared" si="57"/>
        <v>355</v>
      </c>
      <c r="AA407" s="1">
        <f t="shared" si="58"/>
        <v>22.816901408450704</v>
      </c>
      <c r="AB407" s="1">
        <f t="shared" si="59"/>
        <v>9.295774647887324</v>
      </c>
      <c r="AC407" s="1">
        <f t="shared" si="60"/>
        <v>1.6901408450704223</v>
      </c>
      <c r="AD407" s="2">
        <f t="shared" si="61"/>
        <v>11.451612903225806</v>
      </c>
      <c r="AE407" s="2">
        <f t="shared" si="62"/>
        <v>13.52112676056338</v>
      </c>
      <c r="AF407" s="2">
        <f t="shared" si="64"/>
        <v>310.21028068312523</v>
      </c>
    </row>
    <row r="408" spans="1:32" x14ac:dyDescent="0.35">
      <c r="A408" s="2" t="s">
        <v>796</v>
      </c>
      <c r="B408" s="2" t="s">
        <v>390</v>
      </c>
      <c r="C408" s="2">
        <v>31</v>
      </c>
      <c r="D408" s="2">
        <v>7.5</v>
      </c>
      <c r="E408" s="7">
        <v>0</v>
      </c>
      <c r="F408" s="7">
        <v>1</v>
      </c>
      <c r="G408" s="7">
        <v>0</v>
      </c>
      <c r="H408" s="7">
        <v>16</v>
      </c>
      <c r="I408" s="7">
        <v>0</v>
      </c>
      <c r="J408" s="7">
        <v>0</v>
      </c>
      <c r="K408" s="7">
        <v>0</v>
      </c>
      <c r="L408" s="7">
        <v>18</v>
      </c>
      <c r="N408" s="7">
        <v>20</v>
      </c>
      <c r="O408" s="7">
        <v>15</v>
      </c>
      <c r="P408" s="7">
        <v>15</v>
      </c>
      <c r="Q408" s="7">
        <v>1</v>
      </c>
      <c r="R408" s="7">
        <v>0</v>
      </c>
      <c r="S408" s="7">
        <v>15</v>
      </c>
      <c r="T408" s="7">
        <v>1</v>
      </c>
      <c r="U408" s="7">
        <v>18</v>
      </c>
      <c r="V408" s="2">
        <f t="shared" si="63"/>
        <v>1.0147884343322144</v>
      </c>
      <c r="W408" s="7">
        <v>50</v>
      </c>
      <c r="X408" s="2">
        <f t="shared" si="56"/>
        <v>51.014788434332218</v>
      </c>
      <c r="Y408" s="2"/>
      <c r="Z408" s="2">
        <f t="shared" si="57"/>
        <v>89</v>
      </c>
      <c r="AA408" s="1">
        <f t="shared" si="58"/>
        <v>20.224719101123593</v>
      </c>
      <c r="AB408" s="1">
        <f t="shared" si="59"/>
        <v>16.853932584269664</v>
      </c>
      <c r="AC408" s="1">
        <f t="shared" si="60"/>
        <v>1.1235955056179776</v>
      </c>
      <c r="AD408" s="2">
        <f t="shared" si="61"/>
        <v>2.870967741935484</v>
      </c>
      <c r="AE408" s="2">
        <f t="shared" si="62"/>
        <v>3.3707865168539293</v>
      </c>
      <c r="AF408" s="2">
        <f t="shared" si="64"/>
        <v>5.0739421716610718</v>
      </c>
    </row>
    <row r="409" spans="1:32" x14ac:dyDescent="0.35">
      <c r="A409" s="2" t="s">
        <v>797</v>
      </c>
      <c r="B409" s="2" t="s">
        <v>390</v>
      </c>
      <c r="C409" s="2">
        <v>31</v>
      </c>
      <c r="D409" s="2">
        <v>6</v>
      </c>
      <c r="E409" s="7">
        <v>0</v>
      </c>
      <c r="F409" s="7">
        <v>1</v>
      </c>
      <c r="G409" s="7">
        <v>0</v>
      </c>
      <c r="H409" s="7">
        <v>10</v>
      </c>
      <c r="I409" s="7">
        <v>0</v>
      </c>
      <c r="J409" s="7">
        <v>0</v>
      </c>
      <c r="K409" s="7">
        <v>0</v>
      </c>
      <c r="L409" s="7">
        <v>9</v>
      </c>
      <c r="N409" s="7">
        <v>13</v>
      </c>
      <c r="O409" s="7">
        <v>6</v>
      </c>
      <c r="P409" s="7">
        <v>6</v>
      </c>
      <c r="Q409" s="7">
        <v>3</v>
      </c>
      <c r="R409" s="7">
        <v>0</v>
      </c>
      <c r="S409" s="7">
        <v>5</v>
      </c>
      <c r="T409" s="7">
        <v>0</v>
      </c>
      <c r="U409" s="7">
        <v>8</v>
      </c>
      <c r="V409" s="2">
        <f t="shared" si="63"/>
        <v>3.0116198404439829</v>
      </c>
      <c r="W409" s="7">
        <v>50</v>
      </c>
      <c r="X409" s="2">
        <f t="shared" si="56"/>
        <v>53.011619840443984</v>
      </c>
      <c r="Y409" s="2"/>
      <c r="Z409" s="2">
        <f t="shared" si="57"/>
        <v>45</v>
      </c>
      <c r="AA409" s="1">
        <f t="shared" si="58"/>
        <v>17.777777777777779</v>
      </c>
      <c r="AB409" s="1">
        <f t="shared" si="59"/>
        <v>11.111111111111111</v>
      </c>
      <c r="AC409" s="1">
        <f t="shared" si="60"/>
        <v>6.666666666666667</v>
      </c>
      <c r="AD409" s="2">
        <f t="shared" si="61"/>
        <v>1.4516129032258065</v>
      </c>
      <c r="AE409" s="2">
        <f t="shared" si="62"/>
        <v>6.6666666666666679</v>
      </c>
      <c r="AF409" s="2">
        <f t="shared" si="64"/>
        <v>15.058099202219914</v>
      </c>
    </row>
    <row r="410" spans="1:32" x14ac:dyDescent="0.35">
      <c r="A410" s="2" t="s">
        <v>798</v>
      </c>
      <c r="B410" s="2" t="s">
        <v>388</v>
      </c>
      <c r="C410" s="2">
        <v>31</v>
      </c>
      <c r="D410" s="2">
        <v>5.4</v>
      </c>
      <c r="E410" s="7">
        <v>0</v>
      </c>
      <c r="F410" s="7">
        <v>0</v>
      </c>
      <c r="G410" s="7">
        <v>0</v>
      </c>
      <c r="H410" s="7">
        <v>1</v>
      </c>
      <c r="I410" s="7">
        <v>1</v>
      </c>
      <c r="J410" s="7">
        <v>0</v>
      </c>
      <c r="K410" s="7">
        <v>0</v>
      </c>
      <c r="L410" s="7">
        <v>5</v>
      </c>
      <c r="N410" s="7">
        <v>9</v>
      </c>
      <c r="O410" s="7">
        <v>3</v>
      </c>
      <c r="P410" s="7">
        <v>3</v>
      </c>
      <c r="Q410" s="7">
        <v>1</v>
      </c>
      <c r="R410" s="7">
        <v>0</v>
      </c>
      <c r="S410" s="7">
        <v>2</v>
      </c>
      <c r="T410" s="7">
        <v>0</v>
      </c>
      <c r="U410" s="7">
        <v>1</v>
      </c>
      <c r="V410" s="2">
        <f t="shared" si="63"/>
        <v>-0.45273353077723533</v>
      </c>
      <c r="W410" s="7">
        <v>50</v>
      </c>
      <c r="X410" s="2">
        <f t="shared" si="56"/>
        <v>49.547266469222762</v>
      </c>
      <c r="Y410" s="2"/>
      <c r="Z410" s="2">
        <f t="shared" si="57"/>
        <v>26</v>
      </c>
      <c r="AA410" s="1">
        <f t="shared" si="58"/>
        <v>3.8461538461538463</v>
      </c>
      <c r="AB410" s="1">
        <f t="shared" si="59"/>
        <v>7.6923076923076925</v>
      </c>
      <c r="AC410" s="1">
        <f t="shared" si="60"/>
        <v>3.8461538461538463</v>
      </c>
      <c r="AD410" s="2">
        <f t="shared" si="61"/>
        <v>0.83870967741935487</v>
      </c>
      <c r="AE410" s="2">
        <f t="shared" si="62"/>
        <v>-3.8461538461538463</v>
      </c>
      <c r="AF410" s="2">
        <f t="shared" si="64"/>
        <v>-2.2636676538861766</v>
      </c>
    </row>
    <row r="411" spans="1:32" x14ac:dyDescent="0.35">
      <c r="A411" s="2" t="s">
        <v>799</v>
      </c>
      <c r="B411" s="2" t="s">
        <v>388</v>
      </c>
      <c r="C411" s="2">
        <v>31</v>
      </c>
      <c r="D411" s="2">
        <v>6.51</v>
      </c>
      <c r="E411" s="7">
        <v>2</v>
      </c>
      <c r="F411" s="7">
        <v>5</v>
      </c>
      <c r="G411" s="7">
        <v>0</v>
      </c>
      <c r="H411" s="7">
        <v>16</v>
      </c>
      <c r="I411" s="7">
        <v>13</v>
      </c>
      <c r="J411" s="7">
        <v>0</v>
      </c>
      <c r="K411" s="7">
        <v>0</v>
      </c>
      <c r="L411" s="7">
        <v>55</v>
      </c>
      <c r="M411" s="7">
        <v>1</v>
      </c>
      <c r="N411" s="7">
        <v>61</v>
      </c>
      <c r="O411" s="7">
        <v>45</v>
      </c>
      <c r="P411" s="7">
        <v>40</v>
      </c>
      <c r="Q411" s="7">
        <v>10</v>
      </c>
      <c r="R411" s="7">
        <v>7</v>
      </c>
      <c r="S411" s="7">
        <v>39</v>
      </c>
      <c r="T411" s="7">
        <v>0</v>
      </c>
      <c r="U411" s="7">
        <v>61</v>
      </c>
      <c r="V411" s="2">
        <f t="shared" si="63"/>
        <v>18.0418397480118</v>
      </c>
      <c r="W411" s="7">
        <v>50</v>
      </c>
      <c r="X411" s="2">
        <f t="shared" si="56"/>
        <v>68.041839748011796</v>
      </c>
      <c r="Y411" s="2"/>
      <c r="Z411" s="2">
        <f t="shared" si="57"/>
        <v>273</v>
      </c>
      <c r="AA411" s="1">
        <f t="shared" si="58"/>
        <v>22.344322344322347</v>
      </c>
      <c r="AB411" s="1">
        <f t="shared" si="59"/>
        <v>16.84981684981685</v>
      </c>
      <c r="AC411" s="1">
        <f t="shared" si="60"/>
        <v>3.6630036630036633</v>
      </c>
      <c r="AD411" s="2">
        <f t="shared" si="61"/>
        <v>8.806451612903226</v>
      </c>
      <c r="AE411" s="2">
        <f t="shared" si="62"/>
        <v>5.4945054945054963</v>
      </c>
      <c r="AF411" s="2">
        <f t="shared" si="64"/>
        <v>90.209198740058994</v>
      </c>
    </row>
    <row r="412" spans="1:32" x14ac:dyDescent="0.35">
      <c r="A412" s="2" t="s">
        <v>800</v>
      </c>
      <c r="B412" s="2" t="s">
        <v>390</v>
      </c>
      <c r="C412" s="2">
        <v>31</v>
      </c>
      <c r="D412" s="2">
        <v>7.82</v>
      </c>
      <c r="E412" s="7">
        <v>0</v>
      </c>
      <c r="F412" s="7">
        <v>1</v>
      </c>
      <c r="G412" s="7">
        <v>0</v>
      </c>
      <c r="H412" s="7">
        <v>15</v>
      </c>
      <c r="I412" s="7">
        <v>0</v>
      </c>
      <c r="J412" s="7">
        <v>0</v>
      </c>
      <c r="K412" s="7">
        <v>0</v>
      </c>
      <c r="L412" s="7">
        <v>12</v>
      </c>
      <c r="M412" s="7">
        <v>2</v>
      </c>
      <c r="N412" s="7">
        <v>19</v>
      </c>
      <c r="O412" s="7">
        <v>11</v>
      </c>
      <c r="P412" s="7">
        <v>11</v>
      </c>
      <c r="Q412" s="7">
        <v>3</v>
      </c>
      <c r="R412" s="7">
        <v>1</v>
      </c>
      <c r="S412" s="7">
        <v>5</v>
      </c>
      <c r="T412" s="7">
        <v>0</v>
      </c>
      <c r="U412" s="7">
        <v>13</v>
      </c>
      <c r="V412" s="2">
        <f t="shared" si="63"/>
        <v>3.9361793670098897</v>
      </c>
      <c r="W412" s="7">
        <v>50</v>
      </c>
      <c r="X412" s="2">
        <f t="shared" si="56"/>
        <v>53.936179367009892</v>
      </c>
      <c r="Y412" s="2"/>
      <c r="Z412" s="2">
        <f t="shared" si="57"/>
        <v>63</v>
      </c>
      <c r="AA412" s="1">
        <f t="shared" si="58"/>
        <v>20.634920634920633</v>
      </c>
      <c r="AB412" s="1">
        <f t="shared" si="59"/>
        <v>9.5238095238095237</v>
      </c>
      <c r="AC412" s="1">
        <f t="shared" si="60"/>
        <v>4.7619047619047619</v>
      </c>
      <c r="AD412" s="2">
        <f t="shared" si="61"/>
        <v>2.032258064516129</v>
      </c>
      <c r="AE412" s="2">
        <f t="shared" si="62"/>
        <v>11.111111111111109</v>
      </c>
      <c r="AF412" s="2">
        <f t="shared" si="64"/>
        <v>19.680896835049449</v>
      </c>
    </row>
    <row r="413" spans="1:32" x14ac:dyDescent="0.35">
      <c r="A413" s="2" t="s">
        <v>801</v>
      </c>
      <c r="B413" s="2" t="s">
        <v>390</v>
      </c>
      <c r="C413" s="2">
        <v>31</v>
      </c>
      <c r="D413" s="2">
        <v>6.84</v>
      </c>
      <c r="E413" s="7">
        <v>0</v>
      </c>
      <c r="F413" s="7">
        <v>1</v>
      </c>
      <c r="G413" s="7">
        <v>1</v>
      </c>
      <c r="H413" s="7">
        <v>30</v>
      </c>
      <c r="I413" s="7">
        <v>0</v>
      </c>
      <c r="J413" s="7">
        <v>0</v>
      </c>
      <c r="K413" s="7">
        <v>0</v>
      </c>
      <c r="L413" s="7">
        <v>26</v>
      </c>
      <c r="M413" s="7">
        <v>1</v>
      </c>
      <c r="N413" s="7">
        <v>31</v>
      </c>
      <c r="O413" s="7">
        <v>20</v>
      </c>
      <c r="P413" s="7">
        <v>20</v>
      </c>
      <c r="Q413" s="7">
        <v>4</v>
      </c>
      <c r="R413" s="7">
        <v>2</v>
      </c>
      <c r="S413" s="7">
        <v>9</v>
      </c>
      <c r="T413" s="7">
        <v>1</v>
      </c>
      <c r="U413" s="7">
        <v>24</v>
      </c>
      <c r="V413" s="2">
        <f t="shared" si="63"/>
        <v>7.1977941014132387</v>
      </c>
      <c r="W413" s="7">
        <v>50</v>
      </c>
      <c r="X413" s="2">
        <f t="shared" si="56"/>
        <v>57.197794101413237</v>
      </c>
      <c r="Y413" s="2"/>
      <c r="Z413" s="2">
        <f t="shared" si="57"/>
        <v>121</v>
      </c>
      <c r="AA413" s="1">
        <f t="shared" si="58"/>
        <v>19.834710743801654</v>
      </c>
      <c r="AB413" s="1">
        <f t="shared" si="59"/>
        <v>9.0909090909090917</v>
      </c>
      <c r="AC413" s="1">
        <f t="shared" si="60"/>
        <v>3.3057851239669422</v>
      </c>
      <c r="AD413" s="2">
        <f t="shared" si="61"/>
        <v>3.903225806451613</v>
      </c>
      <c r="AE413" s="2">
        <f t="shared" si="62"/>
        <v>10.743801652892563</v>
      </c>
      <c r="AF413" s="2">
        <f t="shared" si="64"/>
        <v>35.988970507066192</v>
      </c>
    </row>
    <row r="414" spans="1:32" x14ac:dyDescent="0.35">
      <c r="A414" s="2" t="s">
        <v>802</v>
      </c>
      <c r="B414" s="2" t="s">
        <v>390</v>
      </c>
      <c r="C414" s="2">
        <v>31</v>
      </c>
      <c r="D414" s="2">
        <v>5.4</v>
      </c>
      <c r="E414" s="7">
        <v>0</v>
      </c>
      <c r="F414" s="7">
        <v>0</v>
      </c>
      <c r="G414" s="7">
        <v>0</v>
      </c>
      <c r="H414" s="7">
        <v>4</v>
      </c>
      <c r="I414" s="7">
        <v>0</v>
      </c>
      <c r="J414" s="7">
        <v>0</v>
      </c>
      <c r="K414" s="7">
        <v>0</v>
      </c>
      <c r="L414" s="7">
        <v>3</v>
      </c>
      <c r="M414" s="7">
        <v>1</v>
      </c>
      <c r="N414" s="7">
        <v>2</v>
      </c>
      <c r="O414" s="7">
        <v>2</v>
      </c>
      <c r="P414" s="7">
        <v>2</v>
      </c>
      <c r="Q414" s="7">
        <v>0</v>
      </c>
      <c r="R414" s="7">
        <v>1</v>
      </c>
      <c r="S414" s="7">
        <v>3</v>
      </c>
      <c r="T414" s="7">
        <v>0</v>
      </c>
      <c r="U414" s="7">
        <v>2</v>
      </c>
      <c r="V414" s="2">
        <f t="shared" si="63"/>
        <v>-0.22908236019578371</v>
      </c>
      <c r="W414" s="7">
        <v>50</v>
      </c>
      <c r="X414" s="2">
        <f t="shared" si="56"/>
        <v>49.770917639804217</v>
      </c>
      <c r="Y414" s="2"/>
      <c r="Z414" s="2">
        <f t="shared" si="57"/>
        <v>16</v>
      </c>
      <c r="AA414" s="1">
        <f t="shared" si="58"/>
        <v>12.5</v>
      </c>
      <c r="AB414" s="1">
        <f t="shared" si="59"/>
        <v>25</v>
      </c>
      <c r="AC414" s="1">
        <f t="shared" si="60"/>
        <v>0</v>
      </c>
      <c r="AD414" s="2">
        <f t="shared" si="61"/>
        <v>0.5161290322580645</v>
      </c>
      <c r="AE414" s="2">
        <f t="shared" si="62"/>
        <v>-12.5</v>
      </c>
      <c r="AF414" s="2">
        <f t="shared" si="64"/>
        <v>-1.1454118009789185</v>
      </c>
    </row>
    <row r="415" spans="1:32" x14ac:dyDescent="0.35">
      <c r="A415" s="2" t="s">
        <v>803</v>
      </c>
      <c r="B415" s="2" t="s">
        <v>390</v>
      </c>
      <c r="C415" s="2">
        <v>31</v>
      </c>
      <c r="D415" s="2">
        <v>4</v>
      </c>
      <c r="E415" s="7">
        <v>0</v>
      </c>
      <c r="F415" s="7">
        <v>0</v>
      </c>
      <c r="G415" s="7">
        <v>0</v>
      </c>
      <c r="H415" s="7">
        <v>15</v>
      </c>
      <c r="I415" s="7">
        <v>0</v>
      </c>
      <c r="J415" s="7">
        <v>0</v>
      </c>
      <c r="K415" s="7">
        <v>0</v>
      </c>
      <c r="L415" s="7">
        <v>18</v>
      </c>
      <c r="N415" s="7">
        <v>18</v>
      </c>
      <c r="O415" s="7">
        <v>11</v>
      </c>
      <c r="P415" s="7">
        <v>8</v>
      </c>
      <c r="Q415" s="7">
        <v>3</v>
      </c>
      <c r="R415" s="7">
        <v>0</v>
      </c>
      <c r="S415" s="7">
        <v>7</v>
      </c>
      <c r="T415" s="7">
        <v>2</v>
      </c>
      <c r="U415" s="7">
        <v>17</v>
      </c>
      <c r="V415" s="2">
        <f t="shared" si="63"/>
        <v>9.2956565550125827</v>
      </c>
      <c r="W415" s="7">
        <v>50</v>
      </c>
      <c r="X415" s="2">
        <f t="shared" si="56"/>
        <v>59.295656555012584</v>
      </c>
      <c r="Y415" s="2"/>
      <c r="Z415" s="2">
        <f t="shared" si="57"/>
        <v>79</v>
      </c>
      <c r="AA415" s="1">
        <f t="shared" si="58"/>
        <v>21.518987341772153</v>
      </c>
      <c r="AB415" s="1">
        <f t="shared" si="59"/>
        <v>8.8607594936708853</v>
      </c>
      <c r="AC415" s="1">
        <f t="shared" si="60"/>
        <v>3.79746835443038</v>
      </c>
      <c r="AD415" s="2">
        <f t="shared" si="61"/>
        <v>2.5483870967741935</v>
      </c>
      <c r="AE415" s="2">
        <f t="shared" si="62"/>
        <v>12.658227848101268</v>
      </c>
      <c r="AF415" s="2">
        <f t="shared" si="64"/>
        <v>46.478282775062915</v>
      </c>
    </row>
    <row r="416" spans="1:32" x14ac:dyDescent="0.35">
      <c r="A416" s="2" t="s">
        <v>804</v>
      </c>
      <c r="B416" s="2" t="s">
        <v>390</v>
      </c>
      <c r="C416" s="2">
        <v>31</v>
      </c>
      <c r="D416" s="2">
        <v>12.54</v>
      </c>
      <c r="E416" s="7">
        <v>1</v>
      </c>
      <c r="F416" s="7">
        <v>2</v>
      </c>
      <c r="G416" s="7">
        <v>0</v>
      </c>
      <c r="H416" s="7">
        <v>14</v>
      </c>
      <c r="I416" s="7">
        <v>0</v>
      </c>
      <c r="J416" s="7">
        <v>0</v>
      </c>
      <c r="K416" s="7">
        <v>0</v>
      </c>
      <c r="L416" s="7">
        <v>9</v>
      </c>
      <c r="M416" s="7">
        <v>1</v>
      </c>
      <c r="N416" s="7">
        <v>12</v>
      </c>
      <c r="O416" s="7">
        <v>14</v>
      </c>
      <c r="P416" s="7">
        <v>13</v>
      </c>
      <c r="Q416" s="7">
        <v>1</v>
      </c>
      <c r="R416" s="7">
        <v>0</v>
      </c>
      <c r="S416" s="7">
        <v>14</v>
      </c>
      <c r="T416" s="7">
        <v>0</v>
      </c>
      <c r="U416" s="7">
        <v>11</v>
      </c>
      <c r="V416" s="2">
        <f t="shared" si="63"/>
        <v>-0.30215439164450597</v>
      </c>
      <c r="W416" s="7">
        <v>50</v>
      </c>
      <c r="X416" s="2">
        <f t="shared" si="56"/>
        <v>49.697845608355493</v>
      </c>
      <c r="Y416" s="2"/>
      <c r="Z416" s="2">
        <f t="shared" si="57"/>
        <v>54</v>
      </c>
      <c r="AA416" s="1">
        <f t="shared" si="58"/>
        <v>20.37037037037037</v>
      </c>
      <c r="AB416" s="1">
        <f t="shared" si="59"/>
        <v>25.925925925925924</v>
      </c>
      <c r="AC416" s="1">
        <f t="shared" si="60"/>
        <v>1.8518518518518516</v>
      </c>
      <c r="AD416" s="2">
        <f t="shared" si="61"/>
        <v>1.7419354838709677</v>
      </c>
      <c r="AE416" s="2">
        <f t="shared" si="62"/>
        <v>-5.5555555555555536</v>
      </c>
      <c r="AF416" s="2">
        <f t="shared" si="64"/>
        <v>-1.5107719582225299</v>
      </c>
    </row>
    <row r="417" spans="1:32" x14ac:dyDescent="0.35">
      <c r="A417" s="2" t="s">
        <v>805</v>
      </c>
      <c r="B417" s="2" t="s">
        <v>390</v>
      </c>
      <c r="C417" s="2">
        <v>31</v>
      </c>
      <c r="D417" s="2">
        <v>5.4</v>
      </c>
      <c r="E417" s="7">
        <v>0</v>
      </c>
      <c r="F417" s="7">
        <v>1</v>
      </c>
      <c r="G417" s="7">
        <v>0</v>
      </c>
      <c r="H417" s="7">
        <v>2</v>
      </c>
      <c r="I417" s="7">
        <v>0</v>
      </c>
      <c r="J417" s="7">
        <v>0</v>
      </c>
      <c r="K417" s="7">
        <v>0</v>
      </c>
      <c r="L417" s="7">
        <v>8</v>
      </c>
      <c r="M417" s="7">
        <v>1</v>
      </c>
      <c r="N417" s="7">
        <v>9</v>
      </c>
      <c r="O417" s="7">
        <v>7</v>
      </c>
      <c r="P417" s="7">
        <v>5</v>
      </c>
      <c r="Q417" s="7">
        <v>1</v>
      </c>
      <c r="R417" s="7">
        <v>0</v>
      </c>
      <c r="S417" s="7">
        <v>3</v>
      </c>
      <c r="T417" s="7">
        <v>0</v>
      </c>
      <c r="U417" s="7">
        <v>12</v>
      </c>
      <c r="V417" s="2">
        <f t="shared" si="63"/>
        <v>4.1767605274369064</v>
      </c>
      <c r="W417" s="7">
        <v>50</v>
      </c>
      <c r="X417" s="2">
        <f t="shared" si="56"/>
        <v>54.176760527436905</v>
      </c>
      <c r="Y417" s="2"/>
      <c r="Z417" s="2">
        <f t="shared" si="57"/>
        <v>37</v>
      </c>
      <c r="AA417" s="1">
        <f t="shared" si="58"/>
        <v>32.432432432432435</v>
      </c>
      <c r="AB417" s="1">
        <f t="shared" si="59"/>
        <v>8.1081081081081088</v>
      </c>
      <c r="AC417" s="1">
        <f t="shared" si="60"/>
        <v>2.7027027027027026</v>
      </c>
      <c r="AD417" s="2">
        <f t="shared" si="61"/>
        <v>1.1935483870967742</v>
      </c>
      <c r="AE417" s="2">
        <f t="shared" si="62"/>
        <v>24.324324324324326</v>
      </c>
      <c r="AF417" s="2">
        <f t="shared" si="64"/>
        <v>20.883802637184534</v>
      </c>
    </row>
    <row r="418" spans="1:32" x14ac:dyDescent="0.35">
      <c r="A418" s="2" t="s">
        <v>806</v>
      </c>
      <c r="B418" s="2" t="s">
        <v>390</v>
      </c>
      <c r="C418" s="2">
        <v>31</v>
      </c>
      <c r="D418" s="2">
        <v>13.86</v>
      </c>
      <c r="E418" s="7">
        <v>1</v>
      </c>
      <c r="F418" s="7">
        <v>0</v>
      </c>
      <c r="G418" s="7">
        <v>0</v>
      </c>
      <c r="H418" s="7">
        <v>18</v>
      </c>
      <c r="I418" s="7">
        <v>0</v>
      </c>
      <c r="J418" s="7">
        <v>0</v>
      </c>
      <c r="K418" s="7">
        <v>0</v>
      </c>
      <c r="L418" s="7">
        <v>12</v>
      </c>
      <c r="M418" s="7">
        <v>1</v>
      </c>
      <c r="N418" s="7">
        <v>14</v>
      </c>
      <c r="O418" s="7">
        <v>19</v>
      </c>
      <c r="P418" s="7">
        <v>19</v>
      </c>
      <c r="Q418" s="7">
        <v>2</v>
      </c>
      <c r="R418" s="7">
        <v>7</v>
      </c>
      <c r="S418" s="7">
        <v>14</v>
      </c>
      <c r="T418" s="7">
        <v>0</v>
      </c>
      <c r="U418" s="7">
        <v>13</v>
      </c>
      <c r="V418" s="2">
        <f t="shared" si="63"/>
        <v>-1.112731130074176</v>
      </c>
      <c r="W418" s="7">
        <v>50</v>
      </c>
      <c r="X418" s="2">
        <f t="shared" si="56"/>
        <v>48.887268869925826</v>
      </c>
      <c r="Y418" s="2"/>
      <c r="Z418" s="2">
        <f t="shared" si="57"/>
        <v>72</v>
      </c>
      <c r="AA418" s="1">
        <f t="shared" si="58"/>
        <v>18.055555555555554</v>
      </c>
      <c r="AB418" s="1">
        <f t="shared" si="59"/>
        <v>29.166666666666668</v>
      </c>
      <c r="AC418" s="1">
        <f t="shared" si="60"/>
        <v>2.7777777777777777</v>
      </c>
      <c r="AD418" s="2">
        <f t="shared" si="61"/>
        <v>2.3225806451612905</v>
      </c>
      <c r="AE418" s="2">
        <f t="shared" si="62"/>
        <v>-11.111111111111114</v>
      </c>
      <c r="AF418" s="2">
        <f t="shared" si="64"/>
        <v>-5.5636556503708796</v>
      </c>
    </row>
    <row r="419" spans="1:32" x14ac:dyDescent="0.35">
      <c r="A419" s="2" t="s">
        <v>807</v>
      </c>
      <c r="B419" s="2" t="s">
        <v>390</v>
      </c>
      <c r="C419" s="2">
        <v>31</v>
      </c>
      <c r="D419" s="2">
        <v>4.26</v>
      </c>
      <c r="E419" s="7">
        <v>0</v>
      </c>
      <c r="F419" s="7">
        <v>0</v>
      </c>
      <c r="G419" s="7">
        <v>0</v>
      </c>
      <c r="H419" s="7">
        <v>6</v>
      </c>
      <c r="I419" s="7">
        <v>0</v>
      </c>
      <c r="J419" s="7">
        <v>0</v>
      </c>
      <c r="K419" s="7">
        <v>0</v>
      </c>
      <c r="L419" s="7">
        <v>6</v>
      </c>
      <c r="M419" s="7">
        <v>1</v>
      </c>
      <c r="N419" s="7">
        <v>8</v>
      </c>
      <c r="O419" s="7">
        <v>3</v>
      </c>
      <c r="P419" s="7">
        <v>3</v>
      </c>
      <c r="Q419" s="7">
        <v>1</v>
      </c>
      <c r="R419" s="7">
        <v>1</v>
      </c>
      <c r="S419" s="7">
        <v>6</v>
      </c>
      <c r="T419" s="7">
        <v>0</v>
      </c>
      <c r="U419" s="7">
        <v>8</v>
      </c>
      <c r="V419" s="2">
        <f t="shared" si="63"/>
        <v>0.81945386793019459</v>
      </c>
      <c r="W419" s="7">
        <v>50</v>
      </c>
      <c r="X419" s="2">
        <f t="shared" si="56"/>
        <v>50.819453867930193</v>
      </c>
      <c r="Y419" s="2"/>
      <c r="Z419" s="2">
        <f t="shared" si="57"/>
        <v>34</v>
      </c>
      <c r="AA419" s="1">
        <f t="shared" si="58"/>
        <v>23.52941176470588</v>
      </c>
      <c r="AB419" s="1">
        <f t="shared" si="59"/>
        <v>20.588235294117645</v>
      </c>
      <c r="AC419" s="1">
        <f t="shared" si="60"/>
        <v>2.9411764705882351</v>
      </c>
      <c r="AD419" s="2">
        <f t="shared" si="61"/>
        <v>1.096774193548387</v>
      </c>
      <c r="AE419" s="2">
        <f t="shared" si="62"/>
        <v>2.9411764705882355</v>
      </c>
      <c r="AF419" s="2">
        <f t="shared" si="64"/>
        <v>4.097269339650973</v>
      </c>
    </row>
    <row r="420" spans="1:32" x14ac:dyDescent="0.35">
      <c r="A420" s="2" t="s">
        <v>808</v>
      </c>
      <c r="B420" s="2" t="s">
        <v>390</v>
      </c>
      <c r="C420" s="2">
        <v>31</v>
      </c>
      <c r="D420" s="2">
        <v>0</v>
      </c>
      <c r="E420" s="7">
        <v>0</v>
      </c>
      <c r="F420" s="7">
        <v>0</v>
      </c>
      <c r="G420" s="7">
        <v>0</v>
      </c>
      <c r="H420" s="7">
        <v>2</v>
      </c>
      <c r="I420" s="7">
        <v>0</v>
      </c>
      <c r="J420" s="7">
        <v>0</v>
      </c>
      <c r="K420" s="7">
        <v>0</v>
      </c>
      <c r="L420" s="7">
        <v>3</v>
      </c>
      <c r="M420" s="7">
        <v>2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1</v>
      </c>
      <c r="T420" s="7">
        <v>0</v>
      </c>
      <c r="U420" s="7">
        <v>3</v>
      </c>
      <c r="V420" s="2" t="e">
        <f t="shared" si="63"/>
        <v>#DIV/0!</v>
      </c>
      <c r="W420" s="7">
        <v>50</v>
      </c>
      <c r="X420" s="2" t="e">
        <f t="shared" si="56"/>
        <v>#DIV/0!</v>
      </c>
      <c r="Y420" s="2"/>
      <c r="Z420" s="2">
        <f t="shared" si="57"/>
        <v>12</v>
      </c>
      <c r="AA420" s="1">
        <f t="shared" si="58"/>
        <v>25</v>
      </c>
      <c r="AB420" s="1">
        <f t="shared" si="59"/>
        <v>8.3333333333333321</v>
      </c>
      <c r="AC420" s="1">
        <f t="shared" si="60"/>
        <v>0</v>
      </c>
      <c r="AD420" s="2">
        <f t="shared" si="61"/>
        <v>0.38709677419354838</v>
      </c>
      <c r="AE420" s="2">
        <f t="shared" si="62"/>
        <v>16.666666666666668</v>
      </c>
      <c r="AF420" s="2" t="e">
        <f t="shared" si="64"/>
        <v>#DIV/0!</v>
      </c>
    </row>
    <row r="421" spans="1:32" x14ac:dyDescent="0.35">
      <c r="A421" s="2" t="s">
        <v>809</v>
      </c>
      <c r="B421" s="2" t="s">
        <v>390</v>
      </c>
      <c r="C421" s="2">
        <v>31</v>
      </c>
      <c r="D421" s="2">
        <v>4.68</v>
      </c>
      <c r="E421" s="7">
        <v>2</v>
      </c>
      <c r="F421" s="7">
        <v>0</v>
      </c>
      <c r="G421" s="7">
        <v>0</v>
      </c>
      <c r="H421" s="7">
        <v>33</v>
      </c>
      <c r="I421" s="7">
        <v>0</v>
      </c>
      <c r="J421" s="7">
        <v>0</v>
      </c>
      <c r="K421" s="7">
        <v>0</v>
      </c>
      <c r="L421" s="7">
        <v>42</v>
      </c>
      <c r="M421" s="7">
        <v>1</v>
      </c>
      <c r="N421" s="7">
        <v>41</v>
      </c>
      <c r="O421" s="7">
        <v>23</v>
      </c>
      <c r="P421" s="7">
        <v>22</v>
      </c>
      <c r="Q421" s="7">
        <v>6</v>
      </c>
      <c r="R421" s="7">
        <v>4</v>
      </c>
      <c r="S421" s="7">
        <v>14</v>
      </c>
      <c r="T421" s="7">
        <v>2</v>
      </c>
      <c r="U421" s="7">
        <v>32</v>
      </c>
      <c r="V421" s="2">
        <f t="shared" si="63"/>
        <v>14.656918985743129</v>
      </c>
      <c r="W421" s="7">
        <v>50</v>
      </c>
      <c r="X421" s="2">
        <f t="shared" si="56"/>
        <v>64.656918985743133</v>
      </c>
      <c r="Y421" s="2"/>
      <c r="Z421" s="2">
        <f t="shared" si="57"/>
        <v>186</v>
      </c>
      <c r="AA421" s="1">
        <f t="shared" si="58"/>
        <v>17.20430107526882</v>
      </c>
      <c r="AB421" s="1">
        <f t="shared" si="59"/>
        <v>9.67741935483871</v>
      </c>
      <c r="AC421" s="1">
        <f t="shared" si="60"/>
        <v>3.225806451612903</v>
      </c>
      <c r="AD421" s="2">
        <f t="shared" si="61"/>
        <v>6</v>
      </c>
      <c r="AE421" s="2">
        <f t="shared" si="62"/>
        <v>7.5268817204301097</v>
      </c>
      <c r="AF421" s="2">
        <f t="shared" si="64"/>
        <v>73.284594928715649</v>
      </c>
    </row>
    <row r="422" spans="1:32" x14ac:dyDescent="0.35">
      <c r="A422" s="2" t="s">
        <v>810</v>
      </c>
      <c r="B422" s="2" t="s">
        <v>390</v>
      </c>
      <c r="C422" s="2">
        <v>31</v>
      </c>
      <c r="D422" s="2">
        <v>3.45</v>
      </c>
      <c r="E422" s="7">
        <v>0</v>
      </c>
      <c r="F422" s="7">
        <v>0</v>
      </c>
      <c r="G422" s="7">
        <v>0</v>
      </c>
      <c r="H422" s="7">
        <v>11</v>
      </c>
      <c r="I422" s="7">
        <v>1</v>
      </c>
      <c r="J422" s="7">
        <v>0</v>
      </c>
      <c r="K422" s="7">
        <v>0</v>
      </c>
      <c r="L422" s="7">
        <v>31</v>
      </c>
      <c r="M422" s="7">
        <v>1</v>
      </c>
      <c r="N422" s="7">
        <v>29</v>
      </c>
      <c r="O422" s="7">
        <v>12</v>
      </c>
      <c r="P422" s="7">
        <v>12</v>
      </c>
      <c r="Q422" s="7">
        <v>4</v>
      </c>
      <c r="R422" s="7">
        <v>1</v>
      </c>
      <c r="S422" s="7">
        <v>11</v>
      </c>
      <c r="T422" s="7">
        <v>0</v>
      </c>
      <c r="U422" s="7">
        <v>22</v>
      </c>
      <c r="V422" s="2">
        <f t="shared" si="63"/>
        <v>11.767745063376124</v>
      </c>
      <c r="W422" s="7">
        <v>50</v>
      </c>
      <c r="X422" s="2">
        <f t="shared" si="56"/>
        <v>61.767745063376125</v>
      </c>
      <c r="Y422" s="2"/>
      <c r="Z422" s="2">
        <f t="shared" si="57"/>
        <v>135</v>
      </c>
      <c r="AA422" s="1">
        <f t="shared" si="58"/>
        <v>16.296296296296298</v>
      </c>
      <c r="AB422" s="1">
        <f t="shared" si="59"/>
        <v>8.8888888888888893</v>
      </c>
      <c r="AC422" s="1">
        <f t="shared" si="60"/>
        <v>2.9629629629629632</v>
      </c>
      <c r="AD422" s="2">
        <f t="shared" si="61"/>
        <v>4.354838709677419</v>
      </c>
      <c r="AE422" s="2">
        <f t="shared" si="62"/>
        <v>7.4074074074074083</v>
      </c>
      <c r="AF422" s="2">
        <f t="shared" si="64"/>
        <v>58.83872531688062</v>
      </c>
    </row>
    <row r="423" spans="1:32" x14ac:dyDescent="0.35">
      <c r="A423" s="2" t="s">
        <v>811</v>
      </c>
      <c r="B423" s="2" t="s">
        <v>390</v>
      </c>
      <c r="C423" s="2">
        <v>31</v>
      </c>
      <c r="D423" s="2">
        <v>4.32</v>
      </c>
      <c r="E423" s="7">
        <v>0</v>
      </c>
      <c r="F423" s="7">
        <v>0</v>
      </c>
      <c r="G423" s="7">
        <v>0</v>
      </c>
      <c r="H423" s="7">
        <v>10</v>
      </c>
      <c r="I423" s="7">
        <v>0</v>
      </c>
      <c r="J423" s="7">
        <v>0</v>
      </c>
      <c r="K423" s="7">
        <v>0</v>
      </c>
      <c r="L423" s="7">
        <v>8</v>
      </c>
      <c r="M423" s="7">
        <v>1</v>
      </c>
      <c r="N423" s="7">
        <v>9</v>
      </c>
      <c r="O423" s="7">
        <v>5</v>
      </c>
      <c r="P423" s="7">
        <v>4</v>
      </c>
      <c r="Q423" s="7">
        <v>0</v>
      </c>
      <c r="R423" s="7">
        <v>1</v>
      </c>
      <c r="S423" s="7">
        <v>3</v>
      </c>
      <c r="T423" s="7">
        <v>0</v>
      </c>
      <c r="U423" s="7">
        <v>13</v>
      </c>
      <c r="V423" s="2">
        <f t="shared" si="63"/>
        <v>1.4136509037653677</v>
      </c>
      <c r="W423" s="7">
        <v>50</v>
      </c>
      <c r="X423" s="2">
        <f t="shared" si="56"/>
        <v>51.413650903765365</v>
      </c>
      <c r="Y423" s="2"/>
      <c r="Z423" s="2">
        <f t="shared" si="57"/>
        <v>38</v>
      </c>
      <c r="AA423" s="1">
        <f t="shared" si="58"/>
        <v>34.210526315789473</v>
      </c>
      <c r="AB423" s="1">
        <f t="shared" si="59"/>
        <v>10.526315789473683</v>
      </c>
      <c r="AC423" s="1">
        <f t="shared" si="60"/>
        <v>0</v>
      </c>
      <c r="AD423" s="2">
        <f t="shared" si="61"/>
        <v>1.2258064516129032</v>
      </c>
      <c r="AE423" s="2">
        <f t="shared" si="62"/>
        <v>23.684210526315788</v>
      </c>
      <c r="AF423" s="2">
        <f t="shared" si="64"/>
        <v>7.0682545188268389</v>
      </c>
    </row>
    <row r="424" spans="1:32" x14ac:dyDescent="0.35">
      <c r="A424" s="2" t="s">
        <v>812</v>
      </c>
      <c r="B424" s="2" t="s">
        <v>388</v>
      </c>
      <c r="C424" s="2">
        <v>32</v>
      </c>
      <c r="D424" s="2">
        <v>4.7699999999999996</v>
      </c>
      <c r="E424" s="7">
        <v>4</v>
      </c>
      <c r="F424" s="7">
        <v>2</v>
      </c>
      <c r="G424" s="7">
        <v>1</v>
      </c>
      <c r="H424" s="7">
        <v>18</v>
      </c>
      <c r="I424" s="7">
        <v>13</v>
      </c>
      <c r="J424" s="7">
        <v>0</v>
      </c>
      <c r="K424" s="7">
        <v>0</v>
      </c>
      <c r="L424" s="7">
        <v>77</v>
      </c>
      <c r="M424" s="7">
        <v>1</v>
      </c>
      <c r="N424" s="7">
        <v>80</v>
      </c>
      <c r="O424" s="7">
        <v>45</v>
      </c>
      <c r="P424" s="7">
        <v>41</v>
      </c>
      <c r="Q424" s="7">
        <v>15</v>
      </c>
      <c r="R424" s="7">
        <v>3</v>
      </c>
      <c r="S424" s="7">
        <v>26</v>
      </c>
      <c r="T424" s="7">
        <v>0</v>
      </c>
      <c r="U424" s="7">
        <v>65</v>
      </c>
      <c r="V424" s="2">
        <f t="shared" si="63"/>
        <v>51.171296352331915</v>
      </c>
      <c r="W424" s="7">
        <v>50</v>
      </c>
      <c r="X424" s="2">
        <f t="shared" si="56"/>
        <v>101.17129635233192</v>
      </c>
      <c r="Y424" s="2"/>
      <c r="Z424" s="2">
        <f t="shared" si="57"/>
        <v>341</v>
      </c>
      <c r="AA424" s="1">
        <f t="shared" si="58"/>
        <v>19.061583577712611</v>
      </c>
      <c r="AB424" s="1">
        <f t="shared" si="59"/>
        <v>8.5043988269794717</v>
      </c>
      <c r="AC424" s="1">
        <f t="shared" si="60"/>
        <v>4.3988269794721413</v>
      </c>
      <c r="AD424" s="2">
        <f t="shared" si="61"/>
        <v>10.65625</v>
      </c>
      <c r="AE424" s="2">
        <f t="shared" si="62"/>
        <v>10.557184750733139</v>
      </c>
      <c r="AF424" s="2">
        <f t="shared" si="64"/>
        <v>255.85648176165958</v>
      </c>
    </row>
    <row r="425" spans="1:32" x14ac:dyDescent="0.35">
      <c r="A425" s="2" t="s">
        <v>813</v>
      </c>
      <c r="B425" s="2" t="s">
        <v>390</v>
      </c>
      <c r="C425" s="2">
        <v>32</v>
      </c>
      <c r="D425" s="2">
        <v>2.48</v>
      </c>
      <c r="E425" s="7">
        <v>0</v>
      </c>
      <c r="F425" s="7">
        <v>1</v>
      </c>
      <c r="G425" s="7">
        <v>2</v>
      </c>
      <c r="H425" s="7">
        <v>28</v>
      </c>
      <c r="I425" s="7">
        <v>0</v>
      </c>
      <c r="J425" s="7">
        <v>0</v>
      </c>
      <c r="K425" s="7">
        <v>0</v>
      </c>
      <c r="L425" s="7">
        <v>29</v>
      </c>
      <c r="N425" s="7">
        <v>19</v>
      </c>
      <c r="O425" s="7">
        <v>9</v>
      </c>
      <c r="P425" s="7">
        <v>8</v>
      </c>
      <c r="Q425" s="7">
        <v>4</v>
      </c>
      <c r="R425" s="7">
        <v>4</v>
      </c>
      <c r="S425" s="7">
        <v>15</v>
      </c>
      <c r="T425" s="7">
        <v>0</v>
      </c>
      <c r="U425" s="7">
        <v>21</v>
      </c>
      <c r="V425" s="2">
        <f t="shared" si="63"/>
        <v>7.2852350050403247</v>
      </c>
      <c r="W425" s="7">
        <v>50</v>
      </c>
      <c r="X425" s="2">
        <f t="shared" si="56"/>
        <v>57.285235005040327</v>
      </c>
      <c r="Y425" s="2"/>
      <c r="Z425" s="2">
        <f t="shared" si="57"/>
        <v>125</v>
      </c>
      <c r="AA425" s="1">
        <f t="shared" si="58"/>
        <v>16.8</v>
      </c>
      <c r="AB425" s="1">
        <f t="shared" si="59"/>
        <v>15.2</v>
      </c>
      <c r="AC425" s="1">
        <f t="shared" si="60"/>
        <v>3.2</v>
      </c>
      <c r="AD425" s="2">
        <f t="shared" si="61"/>
        <v>3.90625</v>
      </c>
      <c r="AE425" s="2">
        <f t="shared" si="62"/>
        <v>1.6000000000000014</v>
      </c>
      <c r="AF425" s="2">
        <f t="shared" si="64"/>
        <v>36.426175025201623</v>
      </c>
    </row>
    <row r="426" spans="1:32" x14ac:dyDescent="0.35">
      <c r="A426" s="2" t="s">
        <v>814</v>
      </c>
      <c r="B426" s="2" t="s">
        <v>390</v>
      </c>
      <c r="C426" s="2">
        <v>32</v>
      </c>
      <c r="D426" s="2">
        <v>4.21</v>
      </c>
      <c r="E426" s="7">
        <v>6</v>
      </c>
      <c r="F426" s="7">
        <v>3</v>
      </c>
      <c r="G426" s="7">
        <v>1</v>
      </c>
      <c r="H426" s="7">
        <v>75</v>
      </c>
      <c r="I426" s="7">
        <v>1</v>
      </c>
      <c r="J426" s="7">
        <v>0</v>
      </c>
      <c r="K426" s="7">
        <v>0</v>
      </c>
      <c r="L426" s="7">
        <v>68</v>
      </c>
      <c r="M426" s="7">
        <v>1</v>
      </c>
      <c r="N426" s="7">
        <v>50</v>
      </c>
      <c r="O426" s="7">
        <v>35</v>
      </c>
      <c r="P426" s="7">
        <v>32</v>
      </c>
      <c r="Q426" s="7">
        <v>8</v>
      </c>
      <c r="R426" s="7">
        <v>6</v>
      </c>
      <c r="S426" s="7">
        <v>45</v>
      </c>
      <c r="T426" s="7">
        <v>3</v>
      </c>
      <c r="U426" s="7">
        <v>75</v>
      </c>
      <c r="V426" s="2">
        <f t="shared" si="63"/>
        <v>28.578733378743426</v>
      </c>
      <c r="W426" s="7">
        <v>50</v>
      </c>
      <c r="X426" s="2">
        <f t="shared" si="56"/>
        <v>78.578733378743422</v>
      </c>
      <c r="Y426" s="2"/>
      <c r="Z426" s="2">
        <f t="shared" si="57"/>
        <v>306</v>
      </c>
      <c r="AA426" s="1">
        <f t="shared" si="58"/>
        <v>24.509803921568626</v>
      </c>
      <c r="AB426" s="1">
        <f t="shared" si="59"/>
        <v>16.666666666666664</v>
      </c>
      <c r="AC426" s="1">
        <f t="shared" si="60"/>
        <v>2.6143790849673203</v>
      </c>
      <c r="AD426" s="2">
        <f t="shared" si="61"/>
        <v>9.5625</v>
      </c>
      <c r="AE426" s="2">
        <f t="shared" si="62"/>
        <v>7.8431372549019613</v>
      </c>
      <c r="AF426" s="2">
        <f t="shared" si="64"/>
        <v>142.89366689371712</v>
      </c>
    </row>
    <row r="427" spans="1:32" x14ac:dyDescent="0.35">
      <c r="A427" s="2" t="s">
        <v>815</v>
      </c>
      <c r="B427" s="2" t="s">
        <v>390</v>
      </c>
      <c r="C427" s="2">
        <v>32</v>
      </c>
      <c r="D427" s="2">
        <v>0</v>
      </c>
      <c r="E427" s="7">
        <v>0</v>
      </c>
      <c r="F427" s="7">
        <v>0</v>
      </c>
      <c r="G427" s="7">
        <v>0</v>
      </c>
      <c r="H427" s="7">
        <v>4</v>
      </c>
      <c r="I427" s="7">
        <v>0</v>
      </c>
      <c r="J427" s="7">
        <v>0</v>
      </c>
      <c r="K427" s="7">
        <v>0</v>
      </c>
      <c r="L427" s="7">
        <v>5</v>
      </c>
      <c r="M427" s="7">
        <v>1</v>
      </c>
      <c r="N427" s="7">
        <v>5</v>
      </c>
      <c r="O427" s="7">
        <v>0</v>
      </c>
      <c r="P427" s="7">
        <v>0</v>
      </c>
      <c r="Q427" s="7">
        <v>0</v>
      </c>
      <c r="R427" s="7">
        <v>0</v>
      </c>
      <c r="S427" s="7">
        <v>2</v>
      </c>
      <c r="T427" s="7">
        <v>0</v>
      </c>
      <c r="U427" s="7">
        <v>5</v>
      </c>
      <c r="V427" s="2" t="e">
        <f t="shared" si="63"/>
        <v>#DIV/0!</v>
      </c>
      <c r="W427" s="7">
        <v>50</v>
      </c>
      <c r="X427" s="2" t="e">
        <f t="shared" si="56"/>
        <v>#DIV/0!</v>
      </c>
      <c r="Y427" s="2"/>
      <c r="Z427" s="2">
        <f t="shared" si="57"/>
        <v>23</v>
      </c>
      <c r="AA427" s="1">
        <f t="shared" si="58"/>
        <v>21.739130434782609</v>
      </c>
      <c r="AB427" s="1">
        <f t="shared" si="59"/>
        <v>8.695652173913043</v>
      </c>
      <c r="AC427" s="1">
        <f t="shared" si="60"/>
        <v>0</v>
      </c>
      <c r="AD427" s="2">
        <f t="shared" si="61"/>
        <v>0.71875</v>
      </c>
      <c r="AE427" s="2">
        <f t="shared" si="62"/>
        <v>13.043478260869566</v>
      </c>
      <c r="AF427" s="2" t="e">
        <f t="shared" si="64"/>
        <v>#DIV/0!</v>
      </c>
    </row>
    <row r="428" spans="1:32" x14ac:dyDescent="0.35">
      <c r="A428" s="2" t="s">
        <v>816</v>
      </c>
      <c r="B428" s="2" t="s">
        <v>390</v>
      </c>
      <c r="C428" s="2">
        <v>32</v>
      </c>
      <c r="D428" s="2">
        <v>3.25</v>
      </c>
      <c r="E428" s="7">
        <v>1</v>
      </c>
      <c r="F428" s="7">
        <v>1</v>
      </c>
      <c r="G428" s="7">
        <v>1</v>
      </c>
      <c r="H428" s="7">
        <v>51</v>
      </c>
      <c r="I428" s="7">
        <v>0</v>
      </c>
      <c r="J428" s="7">
        <v>0</v>
      </c>
      <c r="K428" s="7">
        <v>0</v>
      </c>
      <c r="L428" s="7">
        <v>55</v>
      </c>
      <c r="M428" s="7">
        <v>1</v>
      </c>
      <c r="N428" s="7">
        <v>38</v>
      </c>
      <c r="O428" s="7">
        <v>20</v>
      </c>
      <c r="P428" s="7">
        <v>20</v>
      </c>
      <c r="Q428" s="7">
        <v>8</v>
      </c>
      <c r="R428" s="7">
        <v>1</v>
      </c>
      <c r="S428" s="7">
        <v>9</v>
      </c>
      <c r="T428" s="7">
        <v>0</v>
      </c>
      <c r="U428" s="7">
        <v>44</v>
      </c>
      <c r="V428" s="2">
        <f t="shared" si="63"/>
        <v>44.021933411214931</v>
      </c>
      <c r="W428" s="7">
        <v>50</v>
      </c>
      <c r="X428" s="2">
        <f t="shared" si="56"/>
        <v>94.021933411214931</v>
      </c>
      <c r="Y428" s="2"/>
      <c r="Z428" s="2">
        <f t="shared" si="57"/>
        <v>214</v>
      </c>
      <c r="AA428" s="1">
        <f t="shared" si="58"/>
        <v>20.5607476635514</v>
      </c>
      <c r="AB428" s="1">
        <f t="shared" si="59"/>
        <v>4.6728971962616823</v>
      </c>
      <c r="AC428" s="1">
        <f t="shared" si="60"/>
        <v>3.7383177570093453</v>
      </c>
      <c r="AD428" s="2">
        <f t="shared" si="61"/>
        <v>6.6875</v>
      </c>
      <c r="AE428" s="2">
        <f t="shared" si="62"/>
        <v>15.887850467289717</v>
      </c>
      <c r="AF428" s="2">
        <f t="shared" si="64"/>
        <v>220.10966705607467</v>
      </c>
    </row>
    <row r="429" spans="1:32" x14ac:dyDescent="0.35">
      <c r="A429" s="2" t="s">
        <v>817</v>
      </c>
      <c r="B429" s="2" t="s">
        <v>390</v>
      </c>
      <c r="C429" s="2">
        <v>32</v>
      </c>
      <c r="D429" s="2">
        <v>3.93</v>
      </c>
      <c r="E429" s="7">
        <v>3</v>
      </c>
      <c r="F429" s="7">
        <v>2</v>
      </c>
      <c r="G429" s="7">
        <v>1</v>
      </c>
      <c r="H429" s="7">
        <v>30</v>
      </c>
      <c r="I429" s="7">
        <v>0</v>
      </c>
      <c r="J429" s="7">
        <v>0</v>
      </c>
      <c r="K429" s="7">
        <v>0</v>
      </c>
      <c r="L429" s="7">
        <v>36</v>
      </c>
      <c r="M429" s="7">
        <v>2</v>
      </c>
      <c r="N429" s="7">
        <v>29</v>
      </c>
      <c r="O429" s="7">
        <v>18</v>
      </c>
      <c r="P429" s="7">
        <v>16</v>
      </c>
      <c r="Q429" s="7">
        <v>5</v>
      </c>
      <c r="R429" s="7">
        <v>0</v>
      </c>
      <c r="S429" s="7">
        <v>5</v>
      </c>
      <c r="T429" s="7">
        <v>0</v>
      </c>
      <c r="U429" s="7">
        <v>24</v>
      </c>
      <c r="V429" s="2">
        <f t="shared" si="63"/>
        <v>18.122172745264344</v>
      </c>
      <c r="W429" s="7">
        <v>50</v>
      </c>
      <c r="X429" s="2">
        <f t="shared" si="56"/>
        <v>68.122172745264351</v>
      </c>
      <c r="Y429" s="2"/>
      <c r="Z429" s="2">
        <f t="shared" si="57"/>
        <v>144</v>
      </c>
      <c r="AA429" s="1">
        <f t="shared" si="58"/>
        <v>16.666666666666664</v>
      </c>
      <c r="AB429" s="1">
        <f t="shared" si="59"/>
        <v>3.4722222222222223</v>
      </c>
      <c r="AC429" s="1">
        <f t="shared" si="60"/>
        <v>3.4722222222222223</v>
      </c>
      <c r="AD429" s="2">
        <f t="shared" si="61"/>
        <v>4.5</v>
      </c>
      <c r="AE429" s="2">
        <f t="shared" si="62"/>
        <v>13.194444444444443</v>
      </c>
      <c r="AF429" s="2">
        <f t="shared" si="64"/>
        <v>90.610863726321725</v>
      </c>
    </row>
    <row r="430" spans="1:32" x14ac:dyDescent="0.35">
      <c r="A430" s="2" t="s">
        <v>818</v>
      </c>
      <c r="B430" s="2" t="s">
        <v>388</v>
      </c>
      <c r="C430" s="2">
        <v>32</v>
      </c>
      <c r="D430" s="2">
        <v>4.05</v>
      </c>
      <c r="E430" s="7">
        <v>1</v>
      </c>
      <c r="F430" s="7">
        <v>0</v>
      </c>
      <c r="G430" s="7">
        <v>0</v>
      </c>
      <c r="H430" s="7">
        <v>1</v>
      </c>
      <c r="I430" s="7">
        <v>1</v>
      </c>
      <c r="J430" s="7">
        <v>0</v>
      </c>
      <c r="K430" s="7">
        <v>0</v>
      </c>
      <c r="L430" s="7">
        <v>6</v>
      </c>
      <c r="M430" s="7">
        <v>2</v>
      </c>
      <c r="N430" s="7">
        <v>8</v>
      </c>
      <c r="O430" s="7">
        <v>3</v>
      </c>
      <c r="P430" s="7">
        <v>3</v>
      </c>
      <c r="Q430" s="7">
        <v>1</v>
      </c>
      <c r="R430" s="7">
        <v>0</v>
      </c>
      <c r="S430" s="7">
        <v>3</v>
      </c>
      <c r="T430" s="7">
        <v>0</v>
      </c>
      <c r="U430" s="7">
        <v>8</v>
      </c>
      <c r="V430" s="2">
        <f t="shared" si="63"/>
        <v>3.456496104639585</v>
      </c>
      <c r="W430" s="7">
        <v>50</v>
      </c>
      <c r="X430" s="2">
        <f t="shared" si="56"/>
        <v>53.456496104639584</v>
      </c>
      <c r="Y430" s="2"/>
      <c r="Z430" s="2">
        <f t="shared" si="57"/>
        <v>31</v>
      </c>
      <c r="AA430" s="1">
        <f t="shared" si="58"/>
        <v>25.806451612903224</v>
      </c>
      <c r="AB430" s="1">
        <f t="shared" si="59"/>
        <v>9.67741935483871</v>
      </c>
      <c r="AC430" s="1">
        <f t="shared" si="60"/>
        <v>3.225806451612903</v>
      </c>
      <c r="AD430" s="2">
        <f t="shared" si="61"/>
        <v>0.96875</v>
      </c>
      <c r="AE430" s="2">
        <f t="shared" si="62"/>
        <v>16.129032258064512</v>
      </c>
      <c r="AF430" s="2">
        <f t="shared" si="64"/>
        <v>17.282480523197925</v>
      </c>
    </row>
    <row r="431" spans="1:32" x14ac:dyDescent="0.35">
      <c r="A431" s="2" t="s">
        <v>819</v>
      </c>
      <c r="B431" s="2" t="s">
        <v>388</v>
      </c>
      <c r="C431" s="2">
        <v>32</v>
      </c>
      <c r="D431" s="2">
        <v>5.49</v>
      </c>
      <c r="E431" s="7">
        <v>4</v>
      </c>
      <c r="F431" s="7">
        <v>13</v>
      </c>
      <c r="G431" s="7">
        <v>0</v>
      </c>
      <c r="H431" s="7">
        <v>32</v>
      </c>
      <c r="I431" s="7">
        <v>24</v>
      </c>
      <c r="J431" s="7">
        <v>1</v>
      </c>
      <c r="K431" s="7">
        <v>1</v>
      </c>
      <c r="L431" s="7">
        <v>141</v>
      </c>
      <c r="N431" s="7">
        <v>147</v>
      </c>
      <c r="O431" s="7">
        <v>90</v>
      </c>
      <c r="P431" s="7">
        <v>86</v>
      </c>
      <c r="Q431" s="7">
        <v>19</v>
      </c>
      <c r="R431" s="7">
        <v>3</v>
      </c>
      <c r="S431" s="7">
        <v>67</v>
      </c>
      <c r="T431" s="7">
        <v>1</v>
      </c>
      <c r="U431" s="7">
        <v>83</v>
      </c>
      <c r="V431" s="2">
        <f t="shared" si="63"/>
        <v>63.706028005464489</v>
      </c>
      <c r="W431" s="7">
        <v>50</v>
      </c>
      <c r="X431" s="2">
        <f t="shared" si="56"/>
        <v>113.70602800546449</v>
      </c>
      <c r="Y431" s="2"/>
      <c r="Z431" s="2">
        <f t="shared" si="57"/>
        <v>640</v>
      </c>
      <c r="AA431" s="1">
        <f t="shared" si="58"/>
        <v>12.968750000000002</v>
      </c>
      <c r="AB431" s="1">
        <f t="shared" si="59"/>
        <v>10.9375</v>
      </c>
      <c r="AC431" s="1">
        <f t="shared" si="60"/>
        <v>2.96875</v>
      </c>
      <c r="AD431" s="2">
        <f t="shared" si="61"/>
        <v>20</v>
      </c>
      <c r="AE431" s="2">
        <f t="shared" si="62"/>
        <v>2.0312500000000018</v>
      </c>
      <c r="AF431" s="2">
        <f t="shared" si="64"/>
        <v>318.53014002732243</v>
      </c>
    </row>
    <row r="432" spans="1:32" x14ac:dyDescent="0.35">
      <c r="A432" s="2" t="s">
        <v>820</v>
      </c>
      <c r="B432" s="2" t="s">
        <v>390</v>
      </c>
      <c r="C432" s="2">
        <v>32</v>
      </c>
      <c r="D432" s="2">
        <v>4.12</v>
      </c>
      <c r="E432" s="7">
        <v>5</v>
      </c>
      <c r="F432" s="7">
        <v>4</v>
      </c>
      <c r="G432" s="7">
        <v>0</v>
      </c>
      <c r="H432" s="7">
        <v>63</v>
      </c>
      <c r="I432" s="7">
        <v>0</v>
      </c>
      <c r="J432" s="7">
        <v>0</v>
      </c>
      <c r="K432" s="7">
        <v>0</v>
      </c>
      <c r="L432" s="7">
        <v>54</v>
      </c>
      <c r="M432" s="7">
        <v>2</v>
      </c>
      <c r="N432" s="7">
        <v>44</v>
      </c>
      <c r="O432" s="7">
        <v>29</v>
      </c>
      <c r="P432" s="7">
        <v>25</v>
      </c>
      <c r="Q432" s="7">
        <v>4</v>
      </c>
      <c r="R432" s="7">
        <v>5</v>
      </c>
      <c r="S432" s="7">
        <v>15</v>
      </c>
      <c r="T432" s="7">
        <v>2</v>
      </c>
      <c r="U432" s="7">
        <v>56</v>
      </c>
      <c r="V432" s="2">
        <f t="shared" si="63"/>
        <v>21.829929420030659</v>
      </c>
      <c r="W432" s="7">
        <v>50</v>
      </c>
      <c r="X432" s="2">
        <f t="shared" si="56"/>
        <v>71.829929420030652</v>
      </c>
      <c r="Y432" s="2"/>
      <c r="Z432" s="2">
        <f t="shared" si="57"/>
        <v>228</v>
      </c>
      <c r="AA432" s="1">
        <f t="shared" si="58"/>
        <v>24.561403508771928</v>
      </c>
      <c r="AB432" s="1">
        <f t="shared" si="59"/>
        <v>8.7719298245614024</v>
      </c>
      <c r="AC432" s="1">
        <f t="shared" si="60"/>
        <v>1.7543859649122806</v>
      </c>
      <c r="AD432" s="2">
        <f t="shared" si="61"/>
        <v>7.125</v>
      </c>
      <c r="AE432" s="2">
        <f t="shared" si="62"/>
        <v>15.789473684210526</v>
      </c>
      <c r="AF432" s="2">
        <f t="shared" si="64"/>
        <v>109.1496471001533</v>
      </c>
    </row>
    <row r="433" spans="1:32" x14ac:dyDescent="0.35">
      <c r="A433" s="2" t="s">
        <v>821</v>
      </c>
      <c r="B433" s="2" t="s">
        <v>390</v>
      </c>
      <c r="C433" s="2">
        <v>32</v>
      </c>
      <c r="D433" s="2">
        <v>11.25</v>
      </c>
      <c r="E433" s="7">
        <v>0</v>
      </c>
      <c r="F433" s="7">
        <v>2</v>
      </c>
      <c r="G433" s="7">
        <v>0</v>
      </c>
      <c r="H433" s="7">
        <v>4</v>
      </c>
      <c r="I433" s="7">
        <v>0</v>
      </c>
      <c r="J433" s="7">
        <v>0</v>
      </c>
      <c r="K433" s="7">
        <v>0</v>
      </c>
      <c r="L433" s="7">
        <v>4</v>
      </c>
      <c r="N433" s="7">
        <v>11</v>
      </c>
      <c r="O433" s="7">
        <v>7</v>
      </c>
      <c r="P433" s="7">
        <v>5</v>
      </c>
      <c r="Q433" s="7">
        <v>2</v>
      </c>
      <c r="R433" s="7">
        <v>0</v>
      </c>
      <c r="S433" s="7">
        <v>1</v>
      </c>
      <c r="T433" s="7">
        <v>1</v>
      </c>
      <c r="U433" s="7">
        <v>4</v>
      </c>
      <c r="V433" s="2">
        <f t="shared" si="63"/>
        <v>1.6488888888888886</v>
      </c>
      <c r="W433" s="7">
        <v>50</v>
      </c>
      <c r="X433" s="2">
        <f t="shared" si="56"/>
        <v>51.648888888888891</v>
      </c>
      <c r="Y433" s="2"/>
      <c r="Z433" s="2">
        <f t="shared" si="57"/>
        <v>24</v>
      </c>
      <c r="AA433" s="1">
        <f t="shared" si="58"/>
        <v>16.666666666666664</v>
      </c>
      <c r="AB433" s="1">
        <f t="shared" si="59"/>
        <v>4.1666666666666661</v>
      </c>
      <c r="AC433" s="1">
        <f t="shared" si="60"/>
        <v>8.3333333333333321</v>
      </c>
      <c r="AD433" s="2">
        <f t="shared" si="61"/>
        <v>0.75</v>
      </c>
      <c r="AE433" s="2">
        <f t="shared" si="62"/>
        <v>12.499999999999998</v>
      </c>
      <c r="AF433" s="2">
        <f t="shared" si="64"/>
        <v>8.2444444444444436</v>
      </c>
    </row>
    <row r="434" spans="1:32" x14ac:dyDescent="0.35">
      <c r="A434" s="2" t="s">
        <v>822</v>
      </c>
      <c r="B434" s="2" t="s">
        <v>390</v>
      </c>
      <c r="C434" s="2">
        <v>32</v>
      </c>
      <c r="D434" s="2">
        <v>4.76</v>
      </c>
      <c r="E434" s="7">
        <v>0</v>
      </c>
      <c r="F434" s="7">
        <v>0</v>
      </c>
      <c r="G434" s="7">
        <v>0</v>
      </c>
      <c r="H434" s="7">
        <v>3</v>
      </c>
      <c r="I434" s="7">
        <v>0</v>
      </c>
      <c r="J434" s="7">
        <v>0</v>
      </c>
      <c r="K434" s="7">
        <v>0</v>
      </c>
      <c r="L434" s="7">
        <v>5</v>
      </c>
      <c r="M434" s="7">
        <v>2</v>
      </c>
      <c r="N434" s="7">
        <v>6</v>
      </c>
      <c r="O434" s="7">
        <v>3</v>
      </c>
      <c r="P434" s="7">
        <v>3</v>
      </c>
      <c r="Q434" s="7">
        <v>1</v>
      </c>
      <c r="R434" s="7">
        <v>0</v>
      </c>
      <c r="S434" s="7">
        <v>2</v>
      </c>
      <c r="T434" s="7">
        <v>0</v>
      </c>
      <c r="U434" s="7">
        <v>3</v>
      </c>
      <c r="V434" s="2">
        <f t="shared" si="63"/>
        <v>0.78473772321428581</v>
      </c>
      <c r="W434" s="7">
        <v>50</v>
      </c>
      <c r="X434" s="2">
        <f t="shared" si="56"/>
        <v>50.784737723214285</v>
      </c>
      <c r="Y434" s="2"/>
      <c r="Z434" s="2">
        <f t="shared" si="57"/>
        <v>25</v>
      </c>
      <c r="AA434" s="1">
        <f t="shared" si="58"/>
        <v>12</v>
      </c>
      <c r="AB434" s="1">
        <f t="shared" si="59"/>
        <v>8</v>
      </c>
      <c r="AC434" s="1">
        <f t="shared" si="60"/>
        <v>4</v>
      </c>
      <c r="AD434" s="2">
        <f t="shared" si="61"/>
        <v>0.78125</v>
      </c>
      <c r="AE434" s="2">
        <f t="shared" si="62"/>
        <v>4</v>
      </c>
      <c r="AF434" s="2">
        <f t="shared" si="64"/>
        <v>3.9236886160714288</v>
      </c>
    </row>
    <row r="435" spans="1:32" x14ac:dyDescent="0.35">
      <c r="A435" s="2" t="s">
        <v>823</v>
      </c>
      <c r="B435" s="2" t="s">
        <v>390</v>
      </c>
      <c r="C435" s="2">
        <v>32</v>
      </c>
      <c r="D435" s="2">
        <v>3.19</v>
      </c>
      <c r="E435" s="7">
        <v>0</v>
      </c>
      <c r="F435" s="7">
        <v>1</v>
      </c>
      <c r="G435" s="7">
        <v>0</v>
      </c>
      <c r="H435" s="7">
        <v>33</v>
      </c>
      <c r="I435" s="7">
        <v>2</v>
      </c>
      <c r="J435" s="7">
        <v>0</v>
      </c>
      <c r="K435" s="7">
        <v>0</v>
      </c>
      <c r="L435" s="7">
        <v>31</v>
      </c>
      <c r="N435" s="7">
        <v>35</v>
      </c>
      <c r="O435" s="7">
        <v>11</v>
      </c>
      <c r="P435" s="7">
        <v>11</v>
      </c>
      <c r="Q435" s="7">
        <v>0</v>
      </c>
      <c r="R435" s="7">
        <v>2</v>
      </c>
      <c r="S435" s="7">
        <v>12</v>
      </c>
      <c r="T435" s="7">
        <v>1</v>
      </c>
      <c r="U435" s="7">
        <v>27</v>
      </c>
      <c r="V435" s="2">
        <f t="shared" si="63"/>
        <v>3.7815928683385578</v>
      </c>
      <c r="W435" s="7">
        <v>50</v>
      </c>
      <c r="X435" s="2">
        <f t="shared" si="56"/>
        <v>53.781592868338556</v>
      </c>
      <c r="Y435" s="2"/>
      <c r="Z435" s="2">
        <f t="shared" si="57"/>
        <v>142</v>
      </c>
      <c r="AA435" s="1">
        <f t="shared" si="58"/>
        <v>19.014084507042252</v>
      </c>
      <c r="AB435" s="1">
        <f t="shared" si="59"/>
        <v>9.8591549295774641</v>
      </c>
      <c r="AC435" s="1">
        <f t="shared" si="60"/>
        <v>0</v>
      </c>
      <c r="AD435" s="2">
        <f t="shared" si="61"/>
        <v>4.4375</v>
      </c>
      <c r="AE435" s="2">
        <f t="shared" si="62"/>
        <v>9.1549295774647881</v>
      </c>
      <c r="AF435" s="2">
        <f t="shared" si="64"/>
        <v>18.907964341692789</v>
      </c>
    </row>
    <row r="436" spans="1:32" x14ac:dyDescent="0.35">
      <c r="A436" s="2" t="s">
        <v>824</v>
      </c>
      <c r="B436" s="2" t="s">
        <v>390</v>
      </c>
      <c r="C436" s="2">
        <v>32</v>
      </c>
      <c r="D436" s="2">
        <v>5.86</v>
      </c>
      <c r="E436" s="7">
        <v>3</v>
      </c>
      <c r="F436" s="7">
        <v>3</v>
      </c>
      <c r="G436" s="7">
        <v>0</v>
      </c>
      <c r="H436" s="7">
        <v>20</v>
      </c>
      <c r="I436" s="7">
        <v>6</v>
      </c>
      <c r="J436" s="7">
        <v>0</v>
      </c>
      <c r="K436" s="7">
        <v>0</v>
      </c>
      <c r="L436" s="7">
        <v>43</v>
      </c>
      <c r="N436" s="7">
        <v>38</v>
      </c>
      <c r="O436" s="7">
        <v>28</v>
      </c>
      <c r="P436" s="7">
        <v>28</v>
      </c>
      <c r="Q436" s="7">
        <v>9</v>
      </c>
      <c r="R436" s="7">
        <v>2</v>
      </c>
      <c r="S436" s="7">
        <v>13</v>
      </c>
      <c r="T436" s="7">
        <v>0</v>
      </c>
      <c r="U436" s="7">
        <v>37</v>
      </c>
      <c r="V436" s="2">
        <f t="shared" si="63"/>
        <v>20.513007550256908</v>
      </c>
      <c r="W436" s="7">
        <v>50</v>
      </c>
      <c r="X436" s="2">
        <f t="shared" si="56"/>
        <v>70.513007550256901</v>
      </c>
      <c r="Y436" s="2"/>
      <c r="Z436" s="2">
        <f t="shared" si="57"/>
        <v>182</v>
      </c>
      <c r="AA436" s="1">
        <f t="shared" si="58"/>
        <v>20.329670329670328</v>
      </c>
      <c r="AB436" s="1">
        <f t="shared" si="59"/>
        <v>8.2417582417582409</v>
      </c>
      <c r="AC436" s="1">
        <f t="shared" si="60"/>
        <v>4.9450549450549453</v>
      </c>
      <c r="AD436" s="2">
        <f t="shared" si="61"/>
        <v>5.6875</v>
      </c>
      <c r="AE436" s="2">
        <f t="shared" si="62"/>
        <v>12.087912087912088</v>
      </c>
      <c r="AF436" s="2">
        <f t="shared" si="64"/>
        <v>102.56503775128454</v>
      </c>
    </row>
    <row r="437" spans="1:32" x14ac:dyDescent="0.35">
      <c r="A437" s="2" t="s">
        <v>825</v>
      </c>
      <c r="B437" s="2" t="s">
        <v>390</v>
      </c>
      <c r="C437" s="2">
        <v>32</v>
      </c>
      <c r="D437" s="2">
        <v>6.57</v>
      </c>
      <c r="E437" s="7">
        <v>6</v>
      </c>
      <c r="F437" s="7">
        <v>0</v>
      </c>
      <c r="G437" s="7">
        <v>1</v>
      </c>
      <c r="H437" s="7">
        <v>26</v>
      </c>
      <c r="I437" s="7">
        <v>0</v>
      </c>
      <c r="J437" s="7">
        <v>0</v>
      </c>
      <c r="K437" s="7">
        <v>0</v>
      </c>
      <c r="L437" s="7">
        <v>24</v>
      </c>
      <c r="M437" s="7">
        <v>2</v>
      </c>
      <c r="N437" s="7">
        <v>25</v>
      </c>
      <c r="O437" s="7">
        <v>18</v>
      </c>
      <c r="P437" s="7">
        <v>18</v>
      </c>
      <c r="Q437" s="7">
        <v>1</v>
      </c>
      <c r="R437" s="7">
        <v>3</v>
      </c>
      <c r="S437" s="7">
        <v>7</v>
      </c>
      <c r="T437" s="7">
        <v>0</v>
      </c>
      <c r="U437" s="7">
        <v>17</v>
      </c>
      <c r="V437" s="2">
        <f t="shared" si="63"/>
        <v>1.9540602024946589</v>
      </c>
      <c r="W437" s="7">
        <v>50</v>
      </c>
      <c r="X437" s="2">
        <f t="shared" si="56"/>
        <v>51.954060202494659</v>
      </c>
      <c r="Y437" s="2"/>
      <c r="Z437" s="2">
        <f t="shared" si="57"/>
        <v>109</v>
      </c>
      <c r="AA437" s="1">
        <f t="shared" si="58"/>
        <v>15.596330275229359</v>
      </c>
      <c r="AB437" s="1">
        <f t="shared" si="59"/>
        <v>9.1743119266055047</v>
      </c>
      <c r="AC437" s="1">
        <f t="shared" si="60"/>
        <v>0.91743119266055051</v>
      </c>
      <c r="AD437" s="2">
        <f t="shared" si="61"/>
        <v>3.40625</v>
      </c>
      <c r="AE437" s="2">
        <f t="shared" si="62"/>
        <v>6.4220183486238547</v>
      </c>
      <c r="AF437" s="2">
        <f t="shared" si="64"/>
        <v>9.7703010124732952</v>
      </c>
    </row>
    <row r="438" spans="1:32" x14ac:dyDescent="0.35">
      <c r="A438" s="2" t="s">
        <v>826</v>
      </c>
      <c r="B438" s="2" t="s">
        <v>390</v>
      </c>
      <c r="C438" s="2">
        <v>32</v>
      </c>
      <c r="D438" s="2">
        <v>3.76</v>
      </c>
      <c r="E438" s="7">
        <v>0</v>
      </c>
      <c r="F438" s="7">
        <v>1</v>
      </c>
      <c r="G438" s="7">
        <v>0</v>
      </c>
      <c r="H438" s="7">
        <v>38</v>
      </c>
      <c r="I438" s="7">
        <v>0</v>
      </c>
      <c r="J438" s="7">
        <v>0</v>
      </c>
      <c r="K438" s="7">
        <v>0</v>
      </c>
      <c r="L438" s="7">
        <v>38</v>
      </c>
      <c r="M438" s="7">
        <v>1</v>
      </c>
      <c r="N438" s="7">
        <v>35</v>
      </c>
      <c r="O438" s="7">
        <v>17</v>
      </c>
      <c r="P438" s="7">
        <v>16</v>
      </c>
      <c r="Q438" s="7">
        <v>4</v>
      </c>
      <c r="R438" s="7">
        <v>2</v>
      </c>
      <c r="S438" s="7">
        <v>12</v>
      </c>
      <c r="T438" s="7">
        <v>1</v>
      </c>
      <c r="U438" s="7">
        <v>31</v>
      </c>
      <c r="V438" s="2">
        <f t="shared" si="63"/>
        <v>14.522675304878049</v>
      </c>
      <c r="W438" s="7">
        <v>50</v>
      </c>
      <c r="X438" s="2">
        <f t="shared" si="56"/>
        <v>64.522675304878049</v>
      </c>
      <c r="Y438" s="2"/>
      <c r="Z438" s="2">
        <f t="shared" si="57"/>
        <v>164</v>
      </c>
      <c r="AA438" s="1">
        <f t="shared" si="58"/>
        <v>18.902439024390244</v>
      </c>
      <c r="AB438" s="1">
        <f t="shared" si="59"/>
        <v>8.536585365853659</v>
      </c>
      <c r="AC438" s="1">
        <f t="shared" si="60"/>
        <v>2.4390243902439024</v>
      </c>
      <c r="AD438" s="2">
        <f t="shared" si="61"/>
        <v>5.125</v>
      </c>
      <c r="AE438" s="2">
        <f t="shared" si="62"/>
        <v>10.365853658536585</v>
      </c>
      <c r="AF438" s="2">
        <f t="shared" si="64"/>
        <v>72.613376524390247</v>
      </c>
    </row>
    <row r="439" spans="1:32" x14ac:dyDescent="0.35">
      <c r="A439" s="2" t="s">
        <v>827</v>
      </c>
      <c r="B439" s="2" t="s">
        <v>388</v>
      </c>
      <c r="C439" s="2">
        <v>32</v>
      </c>
      <c r="D439" s="2">
        <v>6.28</v>
      </c>
      <c r="E439" s="7">
        <v>3</v>
      </c>
      <c r="F439" s="7">
        <v>2</v>
      </c>
      <c r="G439" s="7">
        <v>0</v>
      </c>
      <c r="H439" s="7">
        <v>9</v>
      </c>
      <c r="I439" s="7">
        <v>7</v>
      </c>
      <c r="J439" s="7">
        <v>0</v>
      </c>
      <c r="K439" s="7">
        <v>0</v>
      </c>
      <c r="L439" s="7">
        <v>38</v>
      </c>
      <c r="M439" s="7">
        <v>2</v>
      </c>
      <c r="N439" s="7">
        <v>48</v>
      </c>
      <c r="O439" s="7">
        <v>29</v>
      </c>
      <c r="P439" s="7">
        <v>27</v>
      </c>
      <c r="Q439" s="7">
        <v>8</v>
      </c>
      <c r="R439" s="7">
        <v>1</v>
      </c>
      <c r="S439" s="7">
        <v>14</v>
      </c>
      <c r="T439" s="7">
        <v>0</v>
      </c>
      <c r="U439" s="7">
        <v>32</v>
      </c>
      <c r="V439" s="2">
        <f t="shared" si="63"/>
        <v>14.703469957333288</v>
      </c>
      <c r="W439" s="7">
        <v>50</v>
      </c>
      <c r="X439" s="2">
        <f t="shared" si="56"/>
        <v>64.703469957333283</v>
      </c>
      <c r="Y439" s="2"/>
      <c r="Z439" s="2">
        <f t="shared" si="57"/>
        <v>179</v>
      </c>
      <c r="AA439" s="1">
        <f t="shared" si="58"/>
        <v>17.877094972067038</v>
      </c>
      <c r="AB439" s="1">
        <f t="shared" si="59"/>
        <v>8.3798882681564244</v>
      </c>
      <c r="AC439" s="1">
        <f t="shared" si="60"/>
        <v>4.4692737430167595</v>
      </c>
      <c r="AD439" s="2">
        <f t="shared" si="61"/>
        <v>5.59375</v>
      </c>
      <c r="AE439" s="2">
        <f t="shared" si="62"/>
        <v>9.4972067039106136</v>
      </c>
      <c r="AF439" s="2">
        <f t="shared" si="64"/>
        <v>73.517349786666443</v>
      </c>
    </row>
    <row r="440" spans="1:32" x14ac:dyDescent="0.35">
      <c r="A440" s="2" t="s">
        <v>828</v>
      </c>
      <c r="B440" s="2" t="s">
        <v>390</v>
      </c>
      <c r="C440" s="2">
        <v>32</v>
      </c>
      <c r="D440" s="2">
        <v>2.73</v>
      </c>
      <c r="E440" s="7">
        <v>2</v>
      </c>
      <c r="F440" s="7">
        <v>5</v>
      </c>
      <c r="G440" s="7">
        <v>2</v>
      </c>
      <c r="H440" s="7">
        <v>48</v>
      </c>
      <c r="I440" s="7">
        <v>5</v>
      </c>
      <c r="J440" s="7">
        <v>0</v>
      </c>
      <c r="K440" s="7">
        <v>0</v>
      </c>
      <c r="L440" s="7">
        <v>92</v>
      </c>
      <c r="M440" s="7">
        <v>1</v>
      </c>
      <c r="N440" s="7">
        <v>94</v>
      </c>
      <c r="O440" s="7">
        <v>36</v>
      </c>
      <c r="P440" s="7">
        <v>28</v>
      </c>
      <c r="Q440" s="7">
        <v>5</v>
      </c>
      <c r="R440" s="7">
        <v>5</v>
      </c>
      <c r="S440" s="7">
        <v>31</v>
      </c>
      <c r="T440" s="7">
        <v>2</v>
      </c>
      <c r="U440" s="7">
        <v>91</v>
      </c>
      <c r="V440" s="2">
        <f t="shared" si="63"/>
        <v>54.470382341476089</v>
      </c>
      <c r="W440" s="7">
        <v>50</v>
      </c>
      <c r="X440" s="2">
        <f t="shared" si="56"/>
        <v>104.4703823414761</v>
      </c>
      <c r="Y440" s="2"/>
      <c r="Z440" s="2">
        <f t="shared" si="57"/>
        <v>407</v>
      </c>
      <c r="AA440" s="1">
        <f t="shared" si="58"/>
        <v>22.358722358722357</v>
      </c>
      <c r="AB440" s="1">
        <f t="shared" si="59"/>
        <v>8.8452088452088447</v>
      </c>
      <c r="AC440" s="1">
        <f t="shared" si="60"/>
        <v>1.2285012285012284</v>
      </c>
      <c r="AD440" s="2">
        <f t="shared" si="61"/>
        <v>12.71875</v>
      </c>
      <c r="AE440" s="2">
        <f t="shared" si="62"/>
        <v>13.513513513513512</v>
      </c>
      <c r="AF440" s="2">
        <f t="shared" si="64"/>
        <v>272.35191170738045</v>
      </c>
    </row>
    <row r="441" spans="1:32" x14ac:dyDescent="0.35">
      <c r="A441" s="2" t="s">
        <v>829</v>
      </c>
      <c r="B441" s="2" t="s">
        <v>390</v>
      </c>
      <c r="C441" s="2">
        <v>32</v>
      </c>
      <c r="D441" s="2">
        <v>11.17</v>
      </c>
      <c r="E441" s="7">
        <v>0</v>
      </c>
      <c r="F441" s="7">
        <v>1</v>
      </c>
      <c r="G441" s="7">
        <v>0</v>
      </c>
      <c r="H441" s="7">
        <v>13</v>
      </c>
      <c r="I441" s="7">
        <v>0</v>
      </c>
      <c r="J441" s="7">
        <v>0</v>
      </c>
      <c r="K441" s="7">
        <v>0</v>
      </c>
      <c r="L441" s="7">
        <v>9</v>
      </c>
      <c r="M441" s="7">
        <v>2</v>
      </c>
      <c r="N441" s="7">
        <v>8</v>
      </c>
      <c r="O441" s="7">
        <v>12</v>
      </c>
      <c r="P441" s="7">
        <v>12</v>
      </c>
      <c r="Q441" s="7">
        <v>0</v>
      </c>
      <c r="R441" s="7">
        <v>1</v>
      </c>
      <c r="S441" s="7">
        <v>9</v>
      </c>
      <c r="T441" s="7">
        <v>0</v>
      </c>
      <c r="U441" s="7">
        <v>11</v>
      </c>
      <c r="V441" s="2">
        <f t="shared" si="63"/>
        <v>9.4578810429722521E-2</v>
      </c>
      <c r="W441" s="7">
        <v>50</v>
      </c>
      <c r="X441" s="2">
        <f t="shared" si="56"/>
        <v>50.094578810429724</v>
      </c>
      <c r="Y441" s="2"/>
      <c r="Z441" s="2">
        <f t="shared" si="57"/>
        <v>47</v>
      </c>
      <c r="AA441" s="1">
        <f t="shared" si="58"/>
        <v>23.404255319148938</v>
      </c>
      <c r="AB441" s="1">
        <f t="shared" si="59"/>
        <v>21.276595744680851</v>
      </c>
      <c r="AC441" s="1">
        <f t="shared" si="60"/>
        <v>0</v>
      </c>
      <c r="AD441" s="2">
        <f t="shared" si="61"/>
        <v>1.46875</v>
      </c>
      <c r="AE441" s="2">
        <f t="shared" si="62"/>
        <v>2.1276595744680868</v>
      </c>
      <c r="AF441" s="2">
        <f t="shared" si="64"/>
        <v>0.47289405214861258</v>
      </c>
    </row>
    <row r="442" spans="1:32" x14ac:dyDescent="0.35">
      <c r="A442" s="2" t="s">
        <v>830</v>
      </c>
      <c r="B442" s="2" t="s">
        <v>390</v>
      </c>
      <c r="C442" s="2">
        <v>32</v>
      </c>
      <c r="D442" s="2">
        <v>7.94</v>
      </c>
      <c r="E442" s="7">
        <v>0</v>
      </c>
      <c r="F442" s="7">
        <v>0</v>
      </c>
      <c r="G442" s="7">
        <v>0</v>
      </c>
      <c r="H442" s="7">
        <v>5</v>
      </c>
      <c r="I442" s="7">
        <v>0</v>
      </c>
      <c r="J442" s="7">
        <v>0</v>
      </c>
      <c r="K442" s="7">
        <v>0</v>
      </c>
      <c r="L442" s="7">
        <v>5</v>
      </c>
      <c r="M442" s="7">
        <v>2</v>
      </c>
      <c r="N442" s="7">
        <v>11</v>
      </c>
      <c r="O442" s="7">
        <v>5</v>
      </c>
      <c r="P442" s="7">
        <v>5</v>
      </c>
      <c r="Q442" s="7">
        <v>0</v>
      </c>
      <c r="R442" s="7">
        <v>0</v>
      </c>
      <c r="S442" s="7">
        <v>2</v>
      </c>
      <c r="T442" s="7">
        <v>0</v>
      </c>
      <c r="U442" s="7">
        <v>5</v>
      </c>
      <c r="V442" s="2">
        <f t="shared" si="63"/>
        <v>0.25828479219143563</v>
      </c>
      <c r="W442" s="7">
        <v>50</v>
      </c>
      <c r="X442" s="2">
        <f t="shared" si="56"/>
        <v>50.258284792191432</v>
      </c>
      <c r="Y442" s="2"/>
      <c r="Z442" s="2">
        <f t="shared" si="57"/>
        <v>30</v>
      </c>
      <c r="AA442" s="1">
        <f t="shared" si="58"/>
        <v>16.666666666666664</v>
      </c>
      <c r="AB442" s="1">
        <f t="shared" si="59"/>
        <v>6.666666666666667</v>
      </c>
      <c r="AC442" s="1">
        <f t="shared" si="60"/>
        <v>0</v>
      </c>
      <c r="AD442" s="2">
        <f t="shared" si="61"/>
        <v>0.9375</v>
      </c>
      <c r="AE442" s="2">
        <f t="shared" si="62"/>
        <v>9.9999999999999964</v>
      </c>
      <c r="AF442" s="2">
        <f t="shared" si="64"/>
        <v>1.2914239609571783</v>
      </c>
    </row>
    <row r="443" spans="1:32" x14ac:dyDescent="0.35">
      <c r="A443" s="2" t="s">
        <v>831</v>
      </c>
      <c r="B443" s="2" t="s">
        <v>390</v>
      </c>
      <c r="C443" s="2">
        <v>32</v>
      </c>
      <c r="D443" s="2">
        <v>8.23</v>
      </c>
      <c r="E443" s="7">
        <v>2</v>
      </c>
      <c r="F443" s="7">
        <v>4</v>
      </c>
      <c r="G443" s="7">
        <v>8</v>
      </c>
      <c r="H443" s="7">
        <v>49</v>
      </c>
      <c r="I443" s="7">
        <v>0</v>
      </c>
      <c r="J443" s="7">
        <v>0</v>
      </c>
      <c r="K443" s="7">
        <v>0</v>
      </c>
      <c r="L443" s="7">
        <v>42</v>
      </c>
      <c r="M443" s="7">
        <v>2</v>
      </c>
      <c r="N443" s="7">
        <v>45</v>
      </c>
      <c r="O443" s="7">
        <v>40</v>
      </c>
      <c r="P443" s="7">
        <v>39</v>
      </c>
      <c r="Q443" s="7">
        <v>10</v>
      </c>
      <c r="R443" s="7">
        <v>3</v>
      </c>
      <c r="S443" s="7">
        <v>17</v>
      </c>
      <c r="T443" s="7">
        <v>1</v>
      </c>
      <c r="U443" s="7">
        <v>47</v>
      </c>
      <c r="V443" s="2">
        <f t="shared" si="63"/>
        <v>18.138607651655132</v>
      </c>
      <c r="W443" s="7">
        <v>50</v>
      </c>
      <c r="X443" s="2">
        <f t="shared" si="56"/>
        <v>68.138607651655136</v>
      </c>
      <c r="Y443" s="2"/>
      <c r="Z443" s="2">
        <f t="shared" si="57"/>
        <v>193</v>
      </c>
      <c r="AA443" s="1">
        <f t="shared" si="58"/>
        <v>24.352331606217618</v>
      </c>
      <c r="AB443" s="1">
        <f t="shared" si="59"/>
        <v>10.362694300518134</v>
      </c>
      <c r="AC443" s="1">
        <f t="shared" si="60"/>
        <v>5.1813471502590671</v>
      </c>
      <c r="AD443" s="2">
        <f t="shared" si="61"/>
        <v>6.03125</v>
      </c>
      <c r="AE443" s="2">
        <f t="shared" si="62"/>
        <v>13.989637305699484</v>
      </c>
      <c r="AF443" s="2">
        <f t="shared" si="64"/>
        <v>90.693038258275664</v>
      </c>
    </row>
    <row r="444" spans="1:32" x14ac:dyDescent="0.35">
      <c r="A444" s="2" t="s">
        <v>832</v>
      </c>
      <c r="B444" s="2" t="s">
        <v>390</v>
      </c>
      <c r="C444" s="2">
        <v>32</v>
      </c>
      <c r="D444" s="2">
        <v>5.12</v>
      </c>
      <c r="E444" s="7">
        <v>2</v>
      </c>
      <c r="F444" s="7">
        <v>1</v>
      </c>
      <c r="G444" s="7">
        <v>0</v>
      </c>
      <c r="H444" s="7">
        <v>37</v>
      </c>
      <c r="I444" s="7">
        <v>1</v>
      </c>
      <c r="J444" s="7">
        <v>0</v>
      </c>
      <c r="K444" s="7">
        <v>0</v>
      </c>
      <c r="L444" s="7">
        <v>51</v>
      </c>
      <c r="N444" s="7">
        <v>57</v>
      </c>
      <c r="O444" s="7">
        <v>30</v>
      </c>
      <c r="P444" s="7">
        <v>29</v>
      </c>
      <c r="Q444" s="7">
        <v>8</v>
      </c>
      <c r="R444" s="7">
        <v>3</v>
      </c>
      <c r="S444" s="7">
        <v>18</v>
      </c>
      <c r="T444" s="7">
        <v>1</v>
      </c>
      <c r="U444" s="7">
        <v>39</v>
      </c>
      <c r="V444" s="2">
        <f t="shared" si="63"/>
        <v>18.891964701863078</v>
      </c>
      <c r="W444" s="7">
        <v>50</v>
      </c>
      <c r="X444" s="2">
        <f t="shared" si="56"/>
        <v>68.891964701863074</v>
      </c>
      <c r="Y444" s="2"/>
      <c r="Z444" s="2">
        <f t="shared" si="57"/>
        <v>231</v>
      </c>
      <c r="AA444" s="1">
        <f t="shared" si="58"/>
        <v>16.883116883116884</v>
      </c>
      <c r="AB444" s="1">
        <f t="shared" si="59"/>
        <v>9.0909090909090917</v>
      </c>
      <c r="AC444" s="1">
        <f t="shared" si="60"/>
        <v>3.4632034632034632</v>
      </c>
      <c r="AD444" s="2">
        <f t="shared" si="61"/>
        <v>7.21875</v>
      </c>
      <c r="AE444" s="2">
        <f t="shared" si="62"/>
        <v>7.7922077922077921</v>
      </c>
      <c r="AF444" s="2">
        <f t="shared" si="64"/>
        <v>94.459823509315385</v>
      </c>
    </row>
    <row r="445" spans="1:32" x14ac:dyDescent="0.35">
      <c r="A445" s="2" t="s">
        <v>833</v>
      </c>
      <c r="B445" s="2" t="s">
        <v>390</v>
      </c>
      <c r="C445" s="2">
        <v>32</v>
      </c>
      <c r="D445" s="2">
        <v>7.42</v>
      </c>
      <c r="E445" s="7">
        <v>0</v>
      </c>
      <c r="F445" s="7">
        <v>0</v>
      </c>
      <c r="G445" s="7">
        <v>0</v>
      </c>
      <c r="H445" s="7">
        <v>10</v>
      </c>
      <c r="I445" s="7">
        <v>0</v>
      </c>
      <c r="J445" s="7">
        <v>0</v>
      </c>
      <c r="K445" s="7">
        <v>0</v>
      </c>
      <c r="L445" s="7">
        <v>13</v>
      </c>
      <c r="M445" s="7">
        <v>1</v>
      </c>
      <c r="N445" s="7">
        <v>19</v>
      </c>
      <c r="O445" s="7">
        <v>12</v>
      </c>
      <c r="P445" s="7">
        <v>11</v>
      </c>
      <c r="Q445" s="7">
        <v>2</v>
      </c>
      <c r="R445" s="7">
        <v>1</v>
      </c>
      <c r="S445" s="7">
        <v>6</v>
      </c>
      <c r="T445" s="7">
        <v>0</v>
      </c>
      <c r="U445" s="7">
        <v>12</v>
      </c>
      <c r="V445" s="2">
        <f t="shared" si="63"/>
        <v>2.159515258719269</v>
      </c>
      <c r="W445" s="7">
        <v>50</v>
      </c>
      <c r="X445" s="2">
        <f t="shared" si="56"/>
        <v>52.159515258719267</v>
      </c>
      <c r="Y445" s="2"/>
      <c r="Z445" s="2">
        <f t="shared" si="57"/>
        <v>66</v>
      </c>
      <c r="AA445" s="1">
        <f t="shared" si="58"/>
        <v>18.181818181818183</v>
      </c>
      <c r="AB445" s="1">
        <f t="shared" si="59"/>
        <v>10.606060606060606</v>
      </c>
      <c r="AC445" s="1">
        <f t="shared" si="60"/>
        <v>3.0303030303030303</v>
      </c>
      <c r="AD445" s="2">
        <f t="shared" si="61"/>
        <v>2.0625</v>
      </c>
      <c r="AE445" s="2">
        <f t="shared" si="62"/>
        <v>7.5757575757575779</v>
      </c>
      <c r="AF445" s="2">
        <f t="shared" si="64"/>
        <v>10.797576293596345</v>
      </c>
    </row>
    <row r="446" spans="1:32" x14ac:dyDescent="0.35">
      <c r="A446" s="2" t="s">
        <v>834</v>
      </c>
      <c r="B446" s="2" t="s">
        <v>390</v>
      </c>
      <c r="C446" s="2">
        <v>32</v>
      </c>
      <c r="D446" s="2">
        <v>2.7</v>
      </c>
      <c r="E446" s="7">
        <v>2</v>
      </c>
      <c r="F446" s="7">
        <v>0</v>
      </c>
      <c r="G446" s="7">
        <v>0</v>
      </c>
      <c r="H446" s="7">
        <v>11</v>
      </c>
      <c r="I446" s="7">
        <v>0</v>
      </c>
      <c r="J446" s="7">
        <v>0</v>
      </c>
      <c r="K446" s="7">
        <v>0</v>
      </c>
      <c r="L446" s="7">
        <v>10</v>
      </c>
      <c r="N446" s="7">
        <v>7</v>
      </c>
      <c r="O446" s="7">
        <v>4</v>
      </c>
      <c r="P446" s="7">
        <v>3</v>
      </c>
      <c r="Q446" s="7">
        <v>1</v>
      </c>
      <c r="R446" s="7">
        <v>1</v>
      </c>
      <c r="S446" s="7">
        <v>3</v>
      </c>
      <c r="T446" s="7">
        <v>1</v>
      </c>
      <c r="U446" s="7">
        <v>10</v>
      </c>
      <c r="V446" s="2">
        <f t="shared" si="63"/>
        <v>5.1946085281165306</v>
      </c>
      <c r="W446" s="7">
        <v>50</v>
      </c>
      <c r="X446" s="2">
        <f t="shared" si="56"/>
        <v>55.194608528116532</v>
      </c>
      <c r="Y446" s="2"/>
      <c r="Z446" s="2">
        <f t="shared" si="57"/>
        <v>41</v>
      </c>
      <c r="AA446" s="1">
        <f t="shared" si="58"/>
        <v>24.390243902439025</v>
      </c>
      <c r="AB446" s="1">
        <f t="shared" si="59"/>
        <v>9.7560975609756095</v>
      </c>
      <c r="AC446" s="1">
        <f t="shared" si="60"/>
        <v>2.4390243902439024</v>
      </c>
      <c r="AD446" s="2">
        <f t="shared" si="61"/>
        <v>1.28125</v>
      </c>
      <c r="AE446" s="2">
        <f t="shared" si="62"/>
        <v>14.634146341463415</v>
      </c>
      <c r="AF446" s="2">
        <f t="shared" si="64"/>
        <v>25.973042640582655</v>
      </c>
    </row>
    <row r="447" spans="1:32" x14ac:dyDescent="0.35">
      <c r="A447" s="2" t="s">
        <v>835</v>
      </c>
      <c r="B447" s="2" t="s">
        <v>390</v>
      </c>
      <c r="C447" s="2">
        <v>32</v>
      </c>
      <c r="D447" s="2">
        <v>7.11</v>
      </c>
      <c r="E447" s="7">
        <v>1</v>
      </c>
      <c r="F447" s="7">
        <v>1</v>
      </c>
      <c r="G447" s="7">
        <v>0</v>
      </c>
      <c r="H447" s="7">
        <v>3</v>
      </c>
      <c r="I447" s="7">
        <v>1</v>
      </c>
      <c r="J447" s="7">
        <v>0</v>
      </c>
      <c r="K447" s="7">
        <v>0</v>
      </c>
      <c r="L447" s="7">
        <v>6</v>
      </c>
      <c r="M447" s="7">
        <v>1</v>
      </c>
      <c r="N447" s="7">
        <v>12</v>
      </c>
      <c r="O447" s="7">
        <v>5</v>
      </c>
      <c r="P447" s="7">
        <v>5</v>
      </c>
      <c r="Q447" s="7">
        <v>1</v>
      </c>
      <c r="R447" s="7">
        <v>0</v>
      </c>
      <c r="S447" s="7">
        <v>4</v>
      </c>
      <c r="T447" s="7">
        <v>0</v>
      </c>
      <c r="U447" s="7">
        <v>4</v>
      </c>
      <c r="V447" s="2">
        <f t="shared" si="63"/>
        <v>0.12979628164556961</v>
      </c>
      <c r="W447" s="7">
        <v>50</v>
      </c>
      <c r="X447" s="2">
        <f t="shared" si="56"/>
        <v>50.129796281645568</v>
      </c>
      <c r="Y447" s="2"/>
      <c r="Z447" s="2">
        <f t="shared" si="57"/>
        <v>35</v>
      </c>
      <c r="AA447" s="1">
        <f t="shared" si="58"/>
        <v>11.428571428571429</v>
      </c>
      <c r="AB447" s="1">
        <f t="shared" si="59"/>
        <v>11.428571428571429</v>
      </c>
      <c r="AC447" s="1">
        <f t="shared" si="60"/>
        <v>2.8571428571428572</v>
      </c>
      <c r="AD447" s="2">
        <f t="shared" si="61"/>
        <v>1.09375</v>
      </c>
      <c r="AE447" s="2">
        <f t="shared" si="62"/>
        <v>0</v>
      </c>
      <c r="AF447" s="2">
        <f t="shared" si="64"/>
        <v>0.648981408227848</v>
      </c>
    </row>
    <row r="448" spans="1:32" x14ac:dyDescent="0.35">
      <c r="A448" s="2" t="s">
        <v>836</v>
      </c>
      <c r="B448" s="2" t="s">
        <v>388</v>
      </c>
      <c r="C448" s="2">
        <v>32</v>
      </c>
      <c r="D448" s="2">
        <v>4.08</v>
      </c>
      <c r="E448" s="7">
        <v>5</v>
      </c>
      <c r="F448" s="7">
        <v>8</v>
      </c>
      <c r="G448" s="7">
        <v>1</v>
      </c>
      <c r="H448" s="7">
        <v>34</v>
      </c>
      <c r="I448" s="7">
        <v>21</v>
      </c>
      <c r="J448" s="7">
        <v>0</v>
      </c>
      <c r="K448" s="7">
        <v>0</v>
      </c>
      <c r="L448" s="7">
        <v>123</v>
      </c>
      <c r="M448" s="7">
        <v>2</v>
      </c>
      <c r="N448" s="7">
        <v>132</v>
      </c>
      <c r="O448" s="7">
        <v>62</v>
      </c>
      <c r="P448" s="7">
        <v>56</v>
      </c>
      <c r="Q448" s="7">
        <v>21</v>
      </c>
      <c r="R448" s="7">
        <v>4</v>
      </c>
      <c r="S448" s="7">
        <v>42</v>
      </c>
      <c r="T448" s="7">
        <v>0</v>
      </c>
      <c r="U448" s="7">
        <v>86</v>
      </c>
      <c r="V448" s="2">
        <f t="shared" si="63"/>
        <v>99.184210628197633</v>
      </c>
      <c r="W448" s="7">
        <v>50</v>
      </c>
      <c r="X448" s="2">
        <f t="shared" si="56"/>
        <v>149.18421062819763</v>
      </c>
      <c r="Y448" s="2"/>
      <c r="Z448" s="2">
        <f t="shared" si="57"/>
        <v>549</v>
      </c>
      <c r="AA448" s="1">
        <f t="shared" si="58"/>
        <v>15.664845173041893</v>
      </c>
      <c r="AB448" s="1">
        <f t="shared" si="59"/>
        <v>8.3788706739526422</v>
      </c>
      <c r="AC448" s="1">
        <f t="shared" si="60"/>
        <v>3.8251366120218582</v>
      </c>
      <c r="AD448" s="2">
        <f t="shared" si="61"/>
        <v>17.15625</v>
      </c>
      <c r="AE448" s="2">
        <f t="shared" si="62"/>
        <v>7.2859744990892512</v>
      </c>
      <c r="AF448" s="2">
        <f t="shared" si="64"/>
        <v>495.92105314098814</v>
      </c>
    </row>
    <row r="449" spans="1:32" x14ac:dyDescent="0.35">
      <c r="A449" s="2" t="s">
        <v>837</v>
      </c>
      <c r="B449" s="2" t="s">
        <v>390</v>
      </c>
      <c r="C449" s="2">
        <v>32</v>
      </c>
      <c r="D449" s="2">
        <v>14.54</v>
      </c>
      <c r="E449" s="7">
        <v>0</v>
      </c>
      <c r="F449" s="7">
        <v>1</v>
      </c>
      <c r="G449" s="7">
        <v>0</v>
      </c>
      <c r="H449" s="7">
        <v>4</v>
      </c>
      <c r="I449" s="7">
        <v>0</v>
      </c>
      <c r="J449" s="7">
        <v>0</v>
      </c>
      <c r="K449" s="7">
        <v>0</v>
      </c>
      <c r="L449" s="7">
        <v>4</v>
      </c>
      <c r="M449" s="7">
        <v>1</v>
      </c>
      <c r="N449" s="7">
        <v>9</v>
      </c>
      <c r="O449" s="7">
        <v>7</v>
      </c>
      <c r="P449" s="7">
        <v>7</v>
      </c>
      <c r="Q449" s="7">
        <v>0</v>
      </c>
      <c r="R449" s="7">
        <v>0</v>
      </c>
      <c r="S449" s="7">
        <v>3</v>
      </c>
      <c r="T449" s="7">
        <v>0</v>
      </c>
      <c r="U449" s="7">
        <v>0</v>
      </c>
      <c r="V449" s="2">
        <f t="shared" si="63"/>
        <v>-0.12055912568775792</v>
      </c>
      <c r="W449" s="7">
        <v>50</v>
      </c>
      <c r="X449" s="2">
        <f t="shared" si="56"/>
        <v>49.879440874312245</v>
      </c>
      <c r="Y449" s="2"/>
      <c r="Z449" s="2">
        <f t="shared" si="57"/>
        <v>25</v>
      </c>
      <c r="AA449" s="1">
        <f t="shared" si="58"/>
        <v>0</v>
      </c>
      <c r="AB449" s="1">
        <f t="shared" si="59"/>
        <v>12</v>
      </c>
      <c r="AC449" s="1">
        <f t="shared" si="60"/>
        <v>0</v>
      </c>
      <c r="AD449" s="2">
        <f t="shared" si="61"/>
        <v>0.78125</v>
      </c>
      <c r="AE449" s="2">
        <f t="shared" si="62"/>
        <v>-12</v>
      </c>
      <c r="AF449" s="2">
        <f t="shared" si="64"/>
        <v>-0.60279562843878964</v>
      </c>
    </row>
    <row r="450" spans="1:32" x14ac:dyDescent="0.35">
      <c r="A450" s="2" t="s">
        <v>838</v>
      </c>
      <c r="B450" s="2" t="s">
        <v>415</v>
      </c>
      <c r="C450" s="2">
        <v>32</v>
      </c>
      <c r="D450" s="2">
        <v>3</v>
      </c>
      <c r="E450" s="7">
        <v>0</v>
      </c>
      <c r="F450" s="7">
        <v>0</v>
      </c>
      <c r="G450" s="7">
        <v>1</v>
      </c>
      <c r="H450" s="7">
        <v>1</v>
      </c>
      <c r="I450" s="7">
        <v>0</v>
      </c>
      <c r="J450" s="7">
        <v>0</v>
      </c>
      <c r="K450" s="7">
        <v>0</v>
      </c>
      <c r="L450" s="7">
        <v>3</v>
      </c>
      <c r="N450" s="7">
        <v>3</v>
      </c>
      <c r="O450" s="7">
        <v>1</v>
      </c>
      <c r="P450" s="7">
        <v>1</v>
      </c>
      <c r="Q450" s="7">
        <v>1</v>
      </c>
      <c r="R450" s="7">
        <v>0</v>
      </c>
      <c r="S450" s="7">
        <v>1</v>
      </c>
      <c r="T450" s="7">
        <v>0</v>
      </c>
      <c r="U450" s="7">
        <v>3</v>
      </c>
      <c r="V450" s="2">
        <f t="shared" si="63"/>
        <v>3.7174328926282052</v>
      </c>
      <c r="W450" s="7">
        <v>50</v>
      </c>
      <c r="X450" s="2">
        <f t="shared" si="56"/>
        <v>53.717432892628203</v>
      </c>
      <c r="Y450" s="2"/>
      <c r="Z450" s="2">
        <f t="shared" si="57"/>
        <v>13</v>
      </c>
      <c r="AA450" s="1">
        <f t="shared" si="58"/>
        <v>23.076923076923077</v>
      </c>
      <c r="AB450" s="1">
        <f t="shared" si="59"/>
        <v>7.6923076923076925</v>
      </c>
      <c r="AC450" s="1">
        <f t="shared" si="60"/>
        <v>7.6923076923076925</v>
      </c>
      <c r="AD450" s="2">
        <f t="shared" si="61"/>
        <v>0.40625</v>
      </c>
      <c r="AE450" s="2">
        <f t="shared" si="62"/>
        <v>15.384615384615383</v>
      </c>
      <c r="AF450" s="2">
        <f t="shared" si="64"/>
        <v>18.587164463141026</v>
      </c>
    </row>
    <row r="451" spans="1:32" x14ac:dyDescent="0.35">
      <c r="A451" s="2" t="s">
        <v>839</v>
      </c>
      <c r="B451" s="2" t="s">
        <v>390</v>
      </c>
      <c r="C451" s="2">
        <v>33</v>
      </c>
      <c r="D451" s="2">
        <v>3.14</v>
      </c>
      <c r="E451" s="7">
        <v>4</v>
      </c>
      <c r="F451" s="7">
        <v>3</v>
      </c>
      <c r="G451" s="7">
        <v>1</v>
      </c>
      <c r="H451" s="7">
        <v>55</v>
      </c>
      <c r="I451" s="7">
        <v>3</v>
      </c>
      <c r="J451" s="7">
        <v>0</v>
      </c>
      <c r="K451" s="7">
        <v>0</v>
      </c>
      <c r="L451" s="7">
        <v>51</v>
      </c>
      <c r="M451" s="7">
        <v>2</v>
      </c>
      <c r="N451" s="7">
        <v>39</v>
      </c>
      <c r="O451" s="7">
        <v>23</v>
      </c>
      <c r="P451" s="7">
        <v>18</v>
      </c>
      <c r="Q451" s="7">
        <v>1</v>
      </c>
      <c r="R451" s="7">
        <v>3</v>
      </c>
      <c r="S451" s="7">
        <v>26</v>
      </c>
      <c r="T451" s="7">
        <v>5</v>
      </c>
      <c r="U451" s="7">
        <v>43</v>
      </c>
      <c r="V451" s="2">
        <f t="shared" si="63"/>
        <v>8.1268088405325809</v>
      </c>
      <c r="W451" s="7">
        <v>50</v>
      </c>
      <c r="X451" s="2">
        <f t="shared" ref="X451:X514" si="65">V451+W451</f>
        <v>58.126808840532583</v>
      </c>
      <c r="Y451" s="2"/>
      <c r="Z451" s="2">
        <f t="shared" ref="Z451:Z514" si="66">((L451*3)+M451)+(R451+S451)+N451</f>
        <v>223</v>
      </c>
      <c r="AA451" s="1">
        <f t="shared" ref="AA451:AA514" si="67">(U451/Z451)*100</f>
        <v>19.282511210762333</v>
      </c>
      <c r="AB451" s="1">
        <f t="shared" ref="AB451:AB514" si="68">((R451+S451)/Z451)*100</f>
        <v>13.004484304932735</v>
      </c>
      <c r="AC451" s="1">
        <f t="shared" ref="AC451:AC514" si="69">(Q451/Z451)*100</f>
        <v>0.44843049327354262</v>
      </c>
      <c r="AD451" s="2">
        <f t="shared" ref="AD451:AD514" si="70">(Z451/C451)</f>
        <v>6.7575757575757578</v>
      </c>
      <c r="AE451" s="2">
        <f t="shared" ref="AE451:AE514" si="71">AA451-AB451</f>
        <v>6.2780269058295985</v>
      </c>
      <c r="AF451" s="2">
        <f t="shared" si="64"/>
        <v>40.634044202662906</v>
      </c>
    </row>
    <row r="452" spans="1:32" x14ac:dyDescent="0.35">
      <c r="A452" s="2" t="s">
        <v>840</v>
      </c>
      <c r="B452" s="2" t="s">
        <v>390</v>
      </c>
      <c r="C452" s="2">
        <v>33</v>
      </c>
      <c r="D452" s="2">
        <v>5.52</v>
      </c>
      <c r="E452" s="7">
        <v>2</v>
      </c>
      <c r="F452" s="7">
        <v>4</v>
      </c>
      <c r="G452" s="7">
        <v>1</v>
      </c>
      <c r="H452" s="7">
        <v>39</v>
      </c>
      <c r="I452" s="7">
        <v>0</v>
      </c>
      <c r="J452" s="7">
        <v>0</v>
      </c>
      <c r="K452" s="7">
        <v>0</v>
      </c>
      <c r="L452" s="7">
        <v>31</v>
      </c>
      <c r="N452" s="7">
        <v>28</v>
      </c>
      <c r="O452" s="7">
        <v>22</v>
      </c>
      <c r="P452" s="7">
        <v>19</v>
      </c>
      <c r="Q452" s="7">
        <v>8</v>
      </c>
      <c r="R452" s="7">
        <v>2</v>
      </c>
      <c r="S452" s="7">
        <v>19</v>
      </c>
      <c r="T452" s="7">
        <v>1</v>
      </c>
      <c r="U452" s="7">
        <v>35</v>
      </c>
      <c r="V452" s="2">
        <f t="shared" si="63"/>
        <v>14.64731937759829</v>
      </c>
      <c r="W452" s="7">
        <v>50</v>
      </c>
      <c r="X452" s="2">
        <f t="shared" si="65"/>
        <v>64.647319377598293</v>
      </c>
      <c r="Y452" s="2"/>
      <c r="Z452" s="2">
        <f t="shared" si="66"/>
        <v>142</v>
      </c>
      <c r="AA452" s="1">
        <f t="shared" si="67"/>
        <v>24.647887323943664</v>
      </c>
      <c r="AB452" s="1">
        <f t="shared" si="68"/>
        <v>14.788732394366196</v>
      </c>
      <c r="AC452" s="1">
        <f t="shared" si="69"/>
        <v>5.6338028169014089</v>
      </c>
      <c r="AD452" s="2">
        <f t="shared" si="70"/>
        <v>4.3030303030303028</v>
      </c>
      <c r="AE452" s="2">
        <f t="shared" si="71"/>
        <v>9.8591549295774676</v>
      </c>
      <c r="AF452" s="2">
        <f t="shared" si="64"/>
        <v>73.236596887991453</v>
      </c>
    </row>
    <row r="453" spans="1:32" x14ac:dyDescent="0.35">
      <c r="A453" s="2" t="s">
        <v>841</v>
      </c>
      <c r="B453" s="2" t="s">
        <v>390</v>
      </c>
      <c r="C453" s="2">
        <v>33</v>
      </c>
      <c r="D453" s="2">
        <v>8.1</v>
      </c>
      <c r="E453" s="7">
        <v>0</v>
      </c>
      <c r="F453" s="7">
        <v>0</v>
      </c>
      <c r="G453" s="7">
        <v>0</v>
      </c>
      <c r="H453" s="7">
        <v>4</v>
      </c>
      <c r="I453" s="7">
        <v>0</v>
      </c>
      <c r="J453" s="7">
        <v>0</v>
      </c>
      <c r="K453" s="7">
        <v>0</v>
      </c>
      <c r="L453" s="7">
        <v>3</v>
      </c>
      <c r="M453" s="7">
        <v>1</v>
      </c>
      <c r="N453" s="7">
        <v>7</v>
      </c>
      <c r="O453" s="7">
        <v>3</v>
      </c>
      <c r="P453" s="7">
        <v>3</v>
      </c>
      <c r="Q453" s="7">
        <v>1</v>
      </c>
      <c r="R453" s="7">
        <v>0</v>
      </c>
      <c r="S453" s="7">
        <v>1</v>
      </c>
      <c r="T453" s="7">
        <v>0</v>
      </c>
      <c r="U453" s="7">
        <v>3</v>
      </c>
      <c r="V453" s="2">
        <f t="shared" si="63"/>
        <v>1.0291618013279065</v>
      </c>
      <c r="W453" s="7">
        <v>50</v>
      </c>
      <c r="X453" s="2">
        <f t="shared" si="65"/>
        <v>51.029161801327909</v>
      </c>
      <c r="Y453" s="2"/>
      <c r="Z453" s="2">
        <f t="shared" si="66"/>
        <v>18</v>
      </c>
      <c r="AA453" s="1">
        <f t="shared" si="67"/>
        <v>16.666666666666664</v>
      </c>
      <c r="AB453" s="1">
        <f t="shared" si="68"/>
        <v>5.5555555555555554</v>
      </c>
      <c r="AC453" s="1">
        <f t="shared" si="69"/>
        <v>5.5555555555555554</v>
      </c>
      <c r="AD453" s="2">
        <f t="shared" si="70"/>
        <v>0.54545454545454541</v>
      </c>
      <c r="AE453" s="2">
        <f t="shared" si="71"/>
        <v>11.111111111111109</v>
      </c>
      <c r="AF453" s="2">
        <f t="shared" si="64"/>
        <v>5.1458090066395323</v>
      </c>
    </row>
    <row r="454" spans="1:32" x14ac:dyDescent="0.35">
      <c r="A454" s="2" t="s">
        <v>842</v>
      </c>
      <c r="B454" s="2" t="s">
        <v>390</v>
      </c>
      <c r="C454" s="2">
        <v>33</v>
      </c>
      <c r="D454" s="2">
        <v>4.5</v>
      </c>
      <c r="E454" s="7">
        <v>0</v>
      </c>
      <c r="F454" s="7">
        <v>0</v>
      </c>
      <c r="G454" s="7">
        <v>0</v>
      </c>
      <c r="H454" s="7">
        <v>4</v>
      </c>
      <c r="I454" s="7">
        <v>0</v>
      </c>
      <c r="J454" s="7">
        <v>0</v>
      </c>
      <c r="K454" s="7">
        <v>0</v>
      </c>
      <c r="L454" s="7">
        <v>6</v>
      </c>
      <c r="N454" s="7">
        <v>4</v>
      </c>
      <c r="O454" s="7">
        <v>3</v>
      </c>
      <c r="P454" s="7">
        <v>3</v>
      </c>
      <c r="Q454" s="7">
        <v>1</v>
      </c>
      <c r="R454" s="7">
        <v>0</v>
      </c>
      <c r="S454" s="7">
        <v>3</v>
      </c>
      <c r="T454" s="7">
        <v>0</v>
      </c>
      <c r="U454" s="7">
        <v>6</v>
      </c>
      <c r="V454" s="2">
        <f t="shared" si="63"/>
        <v>2.147740026527905</v>
      </c>
      <c r="W454" s="7">
        <v>50</v>
      </c>
      <c r="X454" s="2">
        <f t="shared" si="65"/>
        <v>52.147740026527906</v>
      </c>
      <c r="Y454" s="2"/>
      <c r="Z454" s="2">
        <f t="shared" si="66"/>
        <v>25</v>
      </c>
      <c r="AA454" s="1">
        <f t="shared" si="67"/>
        <v>24</v>
      </c>
      <c r="AB454" s="1">
        <f t="shared" si="68"/>
        <v>12</v>
      </c>
      <c r="AC454" s="1">
        <f t="shared" si="69"/>
        <v>4</v>
      </c>
      <c r="AD454" s="2">
        <f t="shared" si="70"/>
        <v>0.75757575757575757</v>
      </c>
      <c r="AE454" s="2">
        <f t="shared" si="71"/>
        <v>12</v>
      </c>
      <c r="AF454" s="2">
        <f t="shared" si="64"/>
        <v>10.738700132639526</v>
      </c>
    </row>
    <row r="455" spans="1:32" x14ac:dyDescent="0.35">
      <c r="A455" s="2" t="s">
        <v>843</v>
      </c>
      <c r="B455" s="2" t="s">
        <v>390</v>
      </c>
      <c r="C455" s="2">
        <v>33</v>
      </c>
      <c r="D455" s="2">
        <v>7.71</v>
      </c>
      <c r="E455" s="7">
        <v>1</v>
      </c>
      <c r="F455" s="7">
        <v>1</v>
      </c>
      <c r="G455" s="7">
        <v>0</v>
      </c>
      <c r="H455" s="7">
        <v>6</v>
      </c>
      <c r="I455" s="7">
        <v>0</v>
      </c>
      <c r="J455" s="7">
        <v>0</v>
      </c>
      <c r="K455" s="7">
        <v>0</v>
      </c>
      <c r="L455" s="7">
        <v>14</v>
      </c>
      <c r="N455" s="7">
        <v>15</v>
      </c>
      <c r="O455" s="7">
        <v>12</v>
      </c>
      <c r="P455" s="7">
        <v>12</v>
      </c>
      <c r="Q455" s="7">
        <v>5</v>
      </c>
      <c r="R455" s="7">
        <v>0</v>
      </c>
      <c r="S455" s="7">
        <v>6</v>
      </c>
      <c r="T455" s="7">
        <v>0</v>
      </c>
      <c r="U455" s="7">
        <v>12</v>
      </c>
      <c r="V455" s="2">
        <f t="shared" si="63"/>
        <v>5.0597201145485542</v>
      </c>
      <c r="W455" s="7">
        <v>50</v>
      </c>
      <c r="X455" s="2">
        <f t="shared" si="65"/>
        <v>55.059720114548554</v>
      </c>
      <c r="Y455" s="2"/>
      <c r="Z455" s="2">
        <f t="shared" si="66"/>
        <v>63</v>
      </c>
      <c r="AA455" s="1">
        <f t="shared" si="67"/>
        <v>19.047619047619047</v>
      </c>
      <c r="AB455" s="1">
        <f t="shared" si="68"/>
        <v>9.5238095238095237</v>
      </c>
      <c r="AC455" s="1">
        <f t="shared" si="69"/>
        <v>7.9365079365079358</v>
      </c>
      <c r="AD455" s="2">
        <f t="shared" si="70"/>
        <v>1.9090909090909092</v>
      </c>
      <c r="AE455" s="2">
        <f t="shared" si="71"/>
        <v>9.5238095238095237</v>
      </c>
      <c r="AF455" s="2">
        <f t="shared" si="64"/>
        <v>25.298600572742771</v>
      </c>
    </row>
    <row r="456" spans="1:32" x14ac:dyDescent="0.35">
      <c r="A456" s="2" t="s">
        <v>844</v>
      </c>
      <c r="B456" s="2" t="s">
        <v>390</v>
      </c>
      <c r="C456" s="2">
        <v>33</v>
      </c>
      <c r="D456" s="2">
        <v>4.0599999999999996</v>
      </c>
      <c r="E456" s="7">
        <v>2</v>
      </c>
      <c r="F456" s="7">
        <v>5</v>
      </c>
      <c r="G456" s="7">
        <v>9</v>
      </c>
      <c r="H456" s="7">
        <v>52</v>
      </c>
      <c r="I456" s="7">
        <v>0</v>
      </c>
      <c r="J456" s="7">
        <v>0</v>
      </c>
      <c r="K456" s="7">
        <v>0</v>
      </c>
      <c r="L456" s="7">
        <v>51</v>
      </c>
      <c r="N456" s="7">
        <v>41</v>
      </c>
      <c r="O456" s="7">
        <v>30</v>
      </c>
      <c r="P456" s="7">
        <v>23</v>
      </c>
      <c r="Q456" s="7">
        <v>4</v>
      </c>
      <c r="R456" s="7">
        <v>3</v>
      </c>
      <c r="S456" s="7">
        <v>28</v>
      </c>
      <c r="T456" s="7">
        <v>5</v>
      </c>
      <c r="U456" s="7">
        <v>38</v>
      </c>
      <c r="V456" s="2">
        <f t="shared" ref="V456:V519" si="72">(AF456*2)/10</f>
        <v>9.2637827747545618</v>
      </c>
      <c r="W456" s="7">
        <v>50</v>
      </c>
      <c r="X456" s="2">
        <f t="shared" si="65"/>
        <v>59.26378277475456</v>
      </c>
      <c r="Y456" s="2"/>
      <c r="Z456" s="2">
        <f t="shared" si="66"/>
        <v>225</v>
      </c>
      <c r="AA456" s="1">
        <f t="shared" si="67"/>
        <v>16.888888888888889</v>
      </c>
      <c r="AB456" s="1">
        <f t="shared" si="68"/>
        <v>13.777777777777779</v>
      </c>
      <c r="AC456" s="1">
        <f t="shared" si="69"/>
        <v>1.7777777777777777</v>
      </c>
      <c r="AD456" s="2">
        <f t="shared" si="70"/>
        <v>6.8181818181818183</v>
      </c>
      <c r="AE456" s="2">
        <f t="shared" si="71"/>
        <v>3.1111111111111107</v>
      </c>
      <c r="AF456" s="2">
        <f t="shared" si="64"/>
        <v>46.318913873772807</v>
      </c>
    </row>
    <row r="457" spans="1:32" x14ac:dyDescent="0.35">
      <c r="A457" s="2" t="s">
        <v>845</v>
      </c>
      <c r="B457" s="2" t="s">
        <v>388</v>
      </c>
      <c r="C457" s="2">
        <v>33</v>
      </c>
      <c r="D457" s="2">
        <v>3.22</v>
      </c>
      <c r="E457" s="7">
        <v>2</v>
      </c>
      <c r="F457" s="7">
        <v>2</v>
      </c>
      <c r="G457" s="7">
        <v>0</v>
      </c>
      <c r="H457" s="7">
        <v>9</v>
      </c>
      <c r="I457" s="7">
        <v>9</v>
      </c>
      <c r="J457" s="7">
        <v>0</v>
      </c>
      <c r="K457" s="7">
        <v>0</v>
      </c>
      <c r="L457" s="7">
        <v>44</v>
      </c>
      <c r="M457" s="7">
        <v>2</v>
      </c>
      <c r="N457" s="7">
        <v>38</v>
      </c>
      <c r="O457" s="7">
        <v>16</v>
      </c>
      <c r="P457" s="7">
        <v>16</v>
      </c>
      <c r="Q457" s="7">
        <v>6</v>
      </c>
      <c r="R457" s="7">
        <v>0</v>
      </c>
      <c r="S457" s="7">
        <v>15</v>
      </c>
      <c r="T457" s="7">
        <v>0</v>
      </c>
      <c r="U457" s="7">
        <v>29</v>
      </c>
      <c r="V457" s="2">
        <f t="shared" si="72"/>
        <v>19.483616179733367</v>
      </c>
      <c r="W457" s="7">
        <v>50</v>
      </c>
      <c r="X457" s="2">
        <f t="shared" si="65"/>
        <v>69.48361617973336</v>
      </c>
      <c r="Y457" s="2"/>
      <c r="Z457" s="2">
        <f t="shared" si="66"/>
        <v>187</v>
      </c>
      <c r="AA457" s="1">
        <f t="shared" si="67"/>
        <v>15.508021390374333</v>
      </c>
      <c r="AB457" s="1">
        <f t="shared" si="68"/>
        <v>8.0213903743315509</v>
      </c>
      <c r="AC457" s="1">
        <f t="shared" si="69"/>
        <v>3.2085561497326207</v>
      </c>
      <c r="AD457" s="2">
        <f t="shared" si="70"/>
        <v>5.666666666666667</v>
      </c>
      <c r="AE457" s="2">
        <f t="shared" si="71"/>
        <v>7.4866310160427822</v>
      </c>
      <c r="AF457" s="2">
        <f t="shared" si="64"/>
        <v>97.418080898666844</v>
      </c>
    </row>
    <row r="458" spans="1:32" x14ac:dyDescent="0.35">
      <c r="A458" s="2" t="s">
        <v>846</v>
      </c>
      <c r="B458" s="2" t="s">
        <v>390</v>
      </c>
      <c r="C458" s="2">
        <v>33</v>
      </c>
      <c r="D458" s="2">
        <v>3.78</v>
      </c>
      <c r="E458" s="7">
        <v>0</v>
      </c>
      <c r="F458" s="7">
        <v>0</v>
      </c>
      <c r="G458" s="7">
        <v>0</v>
      </c>
      <c r="H458" s="7">
        <v>15</v>
      </c>
      <c r="I458" s="7">
        <v>0</v>
      </c>
      <c r="J458" s="7">
        <v>0</v>
      </c>
      <c r="K458" s="7">
        <v>0</v>
      </c>
      <c r="L458" s="7">
        <v>16</v>
      </c>
      <c r="M458" s="7">
        <v>2</v>
      </c>
      <c r="N458" s="7">
        <v>17</v>
      </c>
      <c r="O458" s="7">
        <v>7</v>
      </c>
      <c r="P458" s="7">
        <v>7</v>
      </c>
      <c r="Q458" s="7">
        <v>2</v>
      </c>
      <c r="R458" s="7">
        <v>2</v>
      </c>
      <c r="S458" s="7">
        <v>5</v>
      </c>
      <c r="T458" s="7">
        <v>0</v>
      </c>
      <c r="U458" s="7">
        <v>15</v>
      </c>
      <c r="V458" s="2">
        <f t="shared" si="72"/>
        <v>5.7344659364861368</v>
      </c>
      <c r="W458" s="7">
        <v>50</v>
      </c>
      <c r="X458" s="2">
        <f t="shared" si="65"/>
        <v>55.734465936486139</v>
      </c>
      <c r="Y458" s="2"/>
      <c r="Z458" s="2">
        <f t="shared" si="66"/>
        <v>74</v>
      </c>
      <c r="AA458" s="1">
        <f t="shared" si="67"/>
        <v>20.27027027027027</v>
      </c>
      <c r="AB458" s="1">
        <f t="shared" si="68"/>
        <v>9.4594594594594597</v>
      </c>
      <c r="AC458" s="1">
        <f t="shared" si="69"/>
        <v>2.7027027027027026</v>
      </c>
      <c r="AD458" s="2">
        <f t="shared" si="70"/>
        <v>2.2424242424242422</v>
      </c>
      <c r="AE458" s="2">
        <f t="shared" si="71"/>
        <v>10.810810810810811</v>
      </c>
      <c r="AF458" s="2">
        <f t="shared" si="64"/>
        <v>28.672329682430686</v>
      </c>
    </row>
    <row r="459" spans="1:32" x14ac:dyDescent="0.35">
      <c r="A459" s="2" t="s">
        <v>847</v>
      </c>
      <c r="B459" s="2" t="s">
        <v>390</v>
      </c>
      <c r="C459" s="2">
        <v>33</v>
      </c>
      <c r="D459" s="2">
        <v>5.79</v>
      </c>
      <c r="E459" s="7">
        <v>0</v>
      </c>
      <c r="F459" s="7">
        <v>1</v>
      </c>
      <c r="G459" s="7">
        <v>0</v>
      </c>
      <c r="H459" s="7">
        <v>21</v>
      </c>
      <c r="I459" s="7">
        <v>0</v>
      </c>
      <c r="J459" s="7">
        <v>0</v>
      </c>
      <c r="K459" s="7">
        <v>0</v>
      </c>
      <c r="L459" s="7">
        <v>18</v>
      </c>
      <c r="M459" s="7">
        <v>2</v>
      </c>
      <c r="N459" s="7">
        <v>23</v>
      </c>
      <c r="O459" s="7">
        <v>13</v>
      </c>
      <c r="P459" s="7">
        <v>12</v>
      </c>
      <c r="Q459" s="7">
        <v>2</v>
      </c>
      <c r="R459" s="7">
        <v>0</v>
      </c>
      <c r="S459" s="7">
        <v>11</v>
      </c>
      <c r="T459" s="7">
        <v>2</v>
      </c>
      <c r="U459" s="7">
        <v>15</v>
      </c>
      <c r="V459" s="2">
        <f t="shared" si="72"/>
        <v>2.1770010779274394</v>
      </c>
      <c r="W459" s="7">
        <v>50</v>
      </c>
      <c r="X459" s="2">
        <f t="shared" si="65"/>
        <v>52.177001077927443</v>
      </c>
      <c r="Y459" s="2"/>
      <c r="Z459" s="2">
        <f t="shared" si="66"/>
        <v>90</v>
      </c>
      <c r="AA459" s="1">
        <f t="shared" si="67"/>
        <v>16.666666666666664</v>
      </c>
      <c r="AB459" s="1">
        <f t="shared" si="68"/>
        <v>12.222222222222221</v>
      </c>
      <c r="AC459" s="1">
        <f t="shared" si="69"/>
        <v>2.2222222222222223</v>
      </c>
      <c r="AD459" s="2">
        <f t="shared" si="70"/>
        <v>2.7272727272727271</v>
      </c>
      <c r="AE459" s="2">
        <f t="shared" si="71"/>
        <v>4.4444444444444429</v>
      </c>
      <c r="AF459" s="2">
        <f t="shared" si="64"/>
        <v>10.885005389637197</v>
      </c>
    </row>
    <row r="460" spans="1:32" x14ac:dyDescent="0.35">
      <c r="A460" s="2" t="s">
        <v>848</v>
      </c>
      <c r="B460" s="2" t="s">
        <v>390</v>
      </c>
      <c r="C460" s="2">
        <v>33</v>
      </c>
      <c r="D460" s="2">
        <v>6.38</v>
      </c>
      <c r="E460" s="7">
        <v>1</v>
      </c>
      <c r="F460" s="7">
        <v>0</v>
      </c>
      <c r="G460" s="7">
        <v>0</v>
      </c>
      <c r="H460" s="7">
        <v>23</v>
      </c>
      <c r="I460" s="7">
        <v>0</v>
      </c>
      <c r="J460" s="7">
        <v>0</v>
      </c>
      <c r="K460" s="7">
        <v>0</v>
      </c>
      <c r="L460" s="7">
        <v>18</v>
      </c>
      <c r="M460" s="7">
        <v>1</v>
      </c>
      <c r="N460" s="7">
        <v>16</v>
      </c>
      <c r="O460" s="7">
        <v>16</v>
      </c>
      <c r="P460" s="7">
        <v>13</v>
      </c>
      <c r="Q460" s="7">
        <v>4</v>
      </c>
      <c r="R460" s="7">
        <v>0</v>
      </c>
      <c r="S460" s="7">
        <v>10</v>
      </c>
      <c r="T460" s="7">
        <v>0</v>
      </c>
      <c r="U460" s="7">
        <v>22</v>
      </c>
      <c r="V460" s="2">
        <f t="shared" si="72"/>
        <v>7.8907212782010934</v>
      </c>
      <c r="W460" s="7">
        <v>50</v>
      </c>
      <c r="X460" s="2">
        <f t="shared" si="65"/>
        <v>57.890721278201092</v>
      </c>
      <c r="Y460" s="2"/>
      <c r="Z460" s="2">
        <f t="shared" si="66"/>
        <v>81</v>
      </c>
      <c r="AA460" s="1">
        <f t="shared" si="67"/>
        <v>27.160493827160494</v>
      </c>
      <c r="AB460" s="1">
        <f t="shared" si="68"/>
        <v>12.345679012345679</v>
      </c>
      <c r="AC460" s="1">
        <f t="shared" si="69"/>
        <v>4.9382716049382713</v>
      </c>
      <c r="AD460" s="2">
        <f t="shared" si="70"/>
        <v>2.4545454545454546</v>
      </c>
      <c r="AE460" s="2">
        <f t="shared" si="71"/>
        <v>14.814814814814815</v>
      </c>
      <c r="AF460" s="2">
        <f t="shared" ref="AF460:AF523" si="73">(AD460+AE460)/(D460/(1+AC460))*AD460</f>
        <v>39.453606391005465</v>
      </c>
    </row>
    <row r="461" spans="1:32" x14ac:dyDescent="0.35">
      <c r="A461" s="2" t="s">
        <v>849</v>
      </c>
      <c r="B461" s="2" t="s">
        <v>390</v>
      </c>
      <c r="C461" s="2">
        <v>33</v>
      </c>
      <c r="D461" s="2">
        <v>3.01</v>
      </c>
      <c r="E461" s="7">
        <v>3</v>
      </c>
      <c r="F461" s="7">
        <v>2</v>
      </c>
      <c r="G461" s="7">
        <v>1</v>
      </c>
      <c r="H461" s="7">
        <v>68</v>
      </c>
      <c r="I461" s="7">
        <v>1</v>
      </c>
      <c r="J461" s="7">
        <v>0</v>
      </c>
      <c r="K461" s="7">
        <v>0</v>
      </c>
      <c r="L461" s="7">
        <v>71</v>
      </c>
      <c r="M461" s="7">
        <v>2</v>
      </c>
      <c r="N461" s="7">
        <v>45</v>
      </c>
      <c r="O461" s="7">
        <v>25</v>
      </c>
      <c r="P461" s="7">
        <v>24</v>
      </c>
      <c r="Q461" s="7">
        <v>6</v>
      </c>
      <c r="R461" s="7">
        <v>2</v>
      </c>
      <c r="S461" s="7">
        <v>19</v>
      </c>
      <c r="T461" s="7">
        <v>1</v>
      </c>
      <c r="U461" s="7">
        <v>84</v>
      </c>
      <c r="V461" s="2">
        <f t="shared" si="72"/>
        <v>54.875275909034841</v>
      </c>
      <c r="W461" s="7">
        <v>50</v>
      </c>
      <c r="X461" s="2">
        <f t="shared" si="65"/>
        <v>104.87527590903484</v>
      </c>
      <c r="Y461" s="2"/>
      <c r="Z461" s="2">
        <f t="shared" si="66"/>
        <v>281</v>
      </c>
      <c r="AA461" s="1">
        <f t="shared" si="67"/>
        <v>29.893238434163699</v>
      </c>
      <c r="AB461" s="1">
        <f t="shared" si="68"/>
        <v>7.4733096085409247</v>
      </c>
      <c r="AC461" s="1">
        <f t="shared" si="69"/>
        <v>2.1352313167259789</v>
      </c>
      <c r="AD461" s="2">
        <f t="shared" si="70"/>
        <v>8.5151515151515156</v>
      </c>
      <c r="AE461" s="2">
        <f t="shared" si="71"/>
        <v>22.419928825622776</v>
      </c>
      <c r="AF461" s="2">
        <f t="shared" si="73"/>
        <v>274.37637954517419</v>
      </c>
    </row>
    <row r="462" spans="1:32" x14ac:dyDescent="0.35">
      <c r="A462" s="2" t="s">
        <v>850</v>
      </c>
      <c r="B462" s="2" t="s">
        <v>390</v>
      </c>
      <c r="C462" s="2">
        <v>33</v>
      </c>
      <c r="D462" s="2">
        <v>4.8899999999999997</v>
      </c>
      <c r="E462" s="7">
        <v>2</v>
      </c>
      <c r="F462" s="7">
        <v>2</v>
      </c>
      <c r="G462" s="7">
        <v>1</v>
      </c>
      <c r="H462" s="7">
        <v>49</v>
      </c>
      <c r="I462" s="7">
        <v>0</v>
      </c>
      <c r="J462" s="7">
        <v>0</v>
      </c>
      <c r="K462" s="7">
        <v>0</v>
      </c>
      <c r="L462" s="7">
        <v>46</v>
      </c>
      <c r="N462" s="7">
        <v>35</v>
      </c>
      <c r="O462" s="7">
        <v>26</v>
      </c>
      <c r="P462" s="7">
        <v>25</v>
      </c>
      <c r="Q462" s="7">
        <v>8</v>
      </c>
      <c r="R462" s="7">
        <v>0</v>
      </c>
      <c r="S462" s="7">
        <v>27</v>
      </c>
      <c r="T462" s="7">
        <v>1</v>
      </c>
      <c r="U462" s="7">
        <v>49</v>
      </c>
      <c r="V462" s="2">
        <f t="shared" si="72"/>
        <v>21.144706030372515</v>
      </c>
      <c r="W462" s="7">
        <v>50</v>
      </c>
      <c r="X462" s="2">
        <f t="shared" si="65"/>
        <v>71.144706030372518</v>
      </c>
      <c r="Y462" s="2"/>
      <c r="Z462" s="2">
        <f t="shared" si="66"/>
        <v>200</v>
      </c>
      <c r="AA462" s="1">
        <f t="shared" si="67"/>
        <v>24.5</v>
      </c>
      <c r="AB462" s="1">
        <f t="shared" si="68"/>
        <v>13.5</v>
      </c>
      <c r="AC462" s="1">
        <f t="shared" si="69"/>
        <v>4</v>
      </c>
      <c r="AD462" s="2">
        <f t="shared" si="70"/>
        <v>6.0606060606060606</v>
      </c>
      <c r="AE462" s="2">
        <f t="shared" si="71"/>
        <v>11</v>
      </c>
      <c r="AF462" s="2">
        <f t="shared" si="73"/>
        <v>105.72353015186258</v>
      </c>
    </row>
    <row r="463" spans="1:32" x14ac:dyDescent="0.35">
      <c r="A463" s="2" t="s">
        <v>851</v>
      </c>
      <c r="B463" s="2" t="s">
        <v>390</v>
      </c>
      <c r="C463" s="2">
        <v>33</v>
      </c>
      <c r="D463" s="2">
        <v>3.14</v>
      </c>
      <c r="E463" s="7">
        <v>6</v>
      </c>
      <c r="F463" s="7">
        <v>1</v>
      </c>
      <c r="G463" s="7">
        <v>0</v>
      </c>
      <c r="H463" s="7">
        <v>71</v>
      </c>
      <c r="I463" s="7">
        <v>1</v>
      </c>
      <c r="J463" s="7">
        <v>0</v>
      </c>
      <c r="K463" s="7">
        <v>0</v>
      </c>
      <c r="L463" s="7">
        <v>71</v>
      </c>
      <c r="M463" s="7">
        <v>2</v>
      </c>
      <c r="N463" s="7">
        <v>66</v>
      </c>
      <c r="O463" s="7">
        <v>29</v>
      </c>
      <c r="P463" s="7">
        <v>25</v>
      </c>
      <c r="Q463" s="7">
        <v>5</v>
      </c>
      <c r="R463" s="7">
        <v>2</v>
      </c>
      <c r="S463" s="7">
        <v>30</v>
      </c>
      <c r="T463" s="7">
        <v>3</v>
      </c>
      <c r="U463" s="7">
        <v>63</v>
      </c>
      <c r="V463" s="2">
        <f t="shared" si="72"/>
        <v>30.425127379845804</v>
      </c>
      <c r="W463" s="7">
        <v>50</v>
      </c>
      <c r="X463" s="2">
        <f t="shared" si="65"/>
        <v>80.425127379845804</v>
      </c>
      <c r="Y463" s="2"/>
      <c r="Z463" s="2">
        <f t="shared" si="66"/>
        <v>313</v>
      </c>
      <c r="AA463" s="1">
        <f t="shared" si="67"/>
        <v>20.12779552715655</v>
      </c>
      <c r="AB463" s="1">
        <f t="shared" si="68"/>
        <v>10.223642172523961</v>
      </c>
      <c r="AC463" s="1">
        <f t="shared" si="69"/>
        <v>1.5974440894568689</v>
      </c>
      <c r="AD463" s="2">
        <f t="shared" si="70"/>
        <v>9.4848484848484844</v>
      </c>
      <c r="AE463" s="2">
        <f t="shared" si="71"/>
        <v>9.9041533546325891</v>
      </c>
      <c r="AF463" s="2">
        <f t="shared" si="73"/>
        <v>152.12563689922902</v>
      </c>
    </row>
    <row r="464" spans="1:32" x14ac:dyDescent="0.35">
      <c r="A464" s="2" t="s">
        <v>852</v>
      </c>
      <c r="B464" s="2" t="s">
        <v>390</v>
      </c>
      <c r="C464" s="2">
        <v>33</v>
      </c>
      <c r="D464" s="2">
        <v>7.9</v>
      </c>
      <c r="E464" s="7">
        <v>1</v>
      </c>
      <c r="F464" s="7">
        <v>2</v>
      </c>
      <c r="G464" s="7">
        <v>0</v>
      </c>
      <c r="H464" s="7">
        <v>24</v>
      </c>
      <c r="I464" s="7">
        <v>0</v>
      </c>
      <c r="J464" s="7">
        <v>0</v>
      </c>
      <c r="K464" s="7">
        <v>0</v>
      </c>
      <c r="L464" s="7">
        <v>27</v>
      </c>
      <c r="M464" s="7">
        <v>1</v>
      </c>
      <c r="N464" s="7">
        <v>34</v>
      </c>
      <c r="O464" s="7">
        <v>25</v>
      </c>
      <c r="P464" s="7">
        <v>24</v>
      </c>
      <c r="Q464" s="7">
        <v>6</v>
      </c>
      <c r="R464" s="7">
        <v>1</v>
      </c>
      <c r="S464" s="7">
        <v>18</v>
      </c>
      <c r="T464" s="7">
        <v>0</v>
      </c>
      <c r="U464" s="7">
        <v>24</v>
      </c>
      <c r="V464" s="2">
        <f t="shared" si="72"/>
        <v>4.3951211385043383</v>
      </c>
      <c r="W464" s="7">
        <v>50</v>
      </c>
      <c r="X464" s="2">
        <f t="shared" si="65"/>
        <v>54.395121138504336</v>
      </c>
      <c r="Y464" s="2"/>
      <c r="Z464" s="2">
        <f t="shared" si="66"/>
        <v>135</v>
      </c>
      <c r="AA464" s="1">
        <f t="shared" si="67"/>
        <v>17.777777777777779</v>
      </c>
      <c r="AB464" s="1">
        <f t="shared" si="68"/>
        <v>14.074074074074074</v>
      </c>
      <c r="AC464" s="1">
        <f t="shared" si="69"/>
        <v>4.4444444444444446</v>
      </c>
      <c r="AD464" s="2">
        <f t="shared" si="70"/>
        <v>4.0909090909090908</v>
      </c>
      <c r="AE464" s="2">
        <f t="shared" si="71"/>
        <v>3.7037037037037042</v>
      </c>
      <c r="AF464" s="2">
        <f t="shared" si="73"/>
        <v>21.97560569252169</v>
      </c>
    </row>
    <row r="465" spans="1:32" x14ac:dyDescent="0.35">
      <c r="A465" s="2" t="s">
        <v>853</v>
      </c>
      <c r="B465" s="2" t="s">
        <v>390</v>
      </c>
      <c r="C465" s="2">
        <v>33</v>
      </c>
      <c r="D465" s="2">
        <v>5.3</v>
      </c>
      <c r="E465" s="7">
        <v>4</v>
      </c>
      <c r="F465" s="7">
        <v>6</v>
      </c>
      <c r="G465" s="7">
        <v>3</v>
      </c>
      <c r="H465" s="7">
        <v>65</v>
      </c>
      <c r="I465" s="7">
        <v>0</v>
      </c>
      <c r="J465" s="7">
        <v>0</v>
      </c>
      <c r="K465" s="7">
        <v>0</v>
      </c>
      <c r="L465" s="7">
        <v>56</v>
      </c>
      <c r="N465" s="7">
        <v>56</v>
      </c>
      <c r="O465" s="7">
        <v>39</v>
      </c>
      <c r="P465" s="7">
        <v>33</v>
      </c>
      <c r="Q465" s="7">
        <v>7</v>
      </c>
      <c r="R465" s="7">
        <v>0</v>
      </c>
      <c r="S465" s="7">
        <v>32</v>
      </c>
      <c r="T465" s="7">
        <v>0</v>
      </c>
      <c r="U465" s="7">
        <v>58</v>
      </c>
      <c r="V465" s="2">
        <f t="shared" si="72"/>
        <v>19.583324670374417</v>
      </c>
      <c r="W465" s="7">
        <v>50</v>
      </c>
      <c r="X465" s="2">
        <f t="shared" si="65"/>
        <v>69.583324670374424</v>
      </c>
      <c r="Y465" s="2"/>
      <c r="Z465" s="2">
        <f t="shared" si="66"/>
        <v>256</v>
      </c>
      <c r="AA465" s="1">
        <f t="shared" si="67"/>
        <v>22.65625</v>
      </c>
      <c r="AB465" s="1">
        <f t="shared" si="68"/>
        <v>12.5</v>
      </c>
      <c r="AC465" s="1">
        <f t="shared" si="69"/>
        <v>2.734375</v>
      </c>
      <c r="AD465" s="2">
        <f t="shared" si="70"/>
        <v>7.7575757575757578</v>
      </c>
      <c r="AE465" s="2">
        <f t="shared" si="71"/>
        <v>10.15625</v>
      </c>
      <c r="AF465" s="2">
        <f t="shared" si="73"/>
        <v>97.916623351872076</v>
      </c>
    </row>
    <row r="466" spans="1:32" x14ac:dyDescent="0.35">
      <c r="A466" s="2" t="s">
        <v>854</v>
      </c>
      <c r="B466" s="2" t="s">
        <v>390</v>
      </c>
      <c r="C466" s="2">
        <v>33</v>
      </c>
      <c r="D466" s="2">
        <v>2.63</v>
      </c>
      <c r="E466" s="7">
        <v>2</v>
      </c>
      <c r="F466" s="7">
        <v>2</v>
      </c>
      <c r="G466" s="7">
        <v>0</v>
      </c>
      <c r="H466" s="7">
        <v>43</v>
      </c>
      <c r="I466" s="7">
        <v>0</v>
      </c>
      <c r="J466" s="7">
        <v>0</v>
      </c>
      <c r="K466" s="7">
        <v>0</v>
      </c>
      <c r="L466" s="7">
        <v>37</v>
      </c>
      <c r="M466" s="7">
        <v>2</v>
      </c>
      <c r="N466" s="7">
        <v>32</v>
      </c>
      <c r="O466" s="7">
        <v>11</v>
      </c>
      <c r="P466" s="7">
        <v>11</v>
      </c>
      <c r="Q466" s="7">
        <v>3</v>
      </c>
      <c r="R466" s="7">
        <v>4</v>
      </c>
      <c r="S466" s="7">
        <v>13</v>
      </c>
      <c r="T466" s="7">
        <v>2</v>
      </c>
      <c r="U466" s="7">
        <v>44</v>
      </c>
      <c r="V466" s="2">
        <f t="shared" si="72"/>
        <v>22.970388293582211</v>
      </c>
      <c r="W466" s="7">
        <v>50</v>
      </c>
      <c r="X466" s="2">
        <f t="shared" si="65"/>
        <v>72.970388293582204</v>
      </c>
      <c r="Y466" s="2"/>
      <c r="Z466" s="2">
        <f t="shared" si="66"/>
        <v>162</v>
      </c>
      <c r="AA466" s="1">
        <f t="shared" si="67"/>
        <v>27.160493827160494</v>
      </c>
      <c r="AB466" s="1">
        <f t="shared" si="68"/>
        <v>10.493827160493826</v>
      </c>
      <c r="AC466" s="1">
        <f t="shared" si="69"/>
        <v>1.8518518518518516</v>
      </c>
      <c r="AD466" s="2">
        <f t="shared" si="70"/>
        <v>4.9090909090909092</v>
      </c>
      <c r="AE466" s="2">
        <f t="shared" si="71"/>
        <v>16.666666666666668</v>
      </c>
      <c r="AF466" s="2">
        <f t="shared" si="73"/>
        <v>114.85194146791106</v>
      </c>
    </row>
    <row r="467" spans="1:32" x14ac:dyDescent="0.35">
      <c r="A467" s="2" t="s">
        <v>855</v>
      </c>
      <c r="B467" s="2" t="s">
        <v>390</v>
      </c>
      <c r="C467" s="2">
        <v>33</v>
      </c>
      <c r="D467" s="2">
        <v>11.37</v>
      </c>
      <c r="E467" s="7">
        <v>0</v>
      </c>
      <c r="F467" s="7">
        <v>0</v>
      </c>
      <c r="G467" s="7">
        <v>0</v>
      </c>
      <c r="H467" s="7">
        <v>5</v>
      </c>
      <c r="I467" s="7">
        <v>0</v>
      </c>
      <c r="J467" s="7">
        <v>0</v>
      </c>
      <c r="K467" s="7">
        <v>0</v>
      </c>
      <c r="L467" s="7">
        <v>6</v>
      </c>
      <c r="M467" s="7">
        <v>1</v>
      </c>
      <c r="N467" s="7">
        <v>10</v>
      </c>
      <c r="O467" s="7">
        <v>8</v>
      </c>
      <c r="P467" s="7">
        <v>8</v>
      </c>
      <c r="Q467" s="7">
        <v>3</v>
      </c>
      <c r="R467" s="7">
        <v>0</v>
      </c>
      <c r="S467" s="7">
        <v>4</v>
      </c>
      <c r="T467" s="7">
        <v>0</v>
      </c>
      <c r="U467" s="7">
        <v>7</v>
      </c>
      <c r="V467" s="2">
        <f t="shared" si="72"/>
        <v>1.7911424147931705</v>
      </c>
      <c r="W467" s="7">
        <v>50</v>
      </c>
      <c r="X467" s="2">
        <f t="shared" si="65"/>
        <v>51.791142414793171</v>
      </c>
      <c r="Y467" s="2"/>
      <c r="Z467" s="2">
        <f t="shared" si="66"/>
        <v>33</v>
      </c>
      <c r="AA467" s="1">
        <f t="shared" si="67"/>
        <v>21.212121212121211</v>
      </c>
      <c r="AB467" s="1">
        <f t="shared" si="68"/>
        <v>12.121212121212121</v>
      </c>
      <c r="AC467" s="1">
        <f t="shared" si="69"/>
        <v>9.0909090909090917</v>
      </c>
      <c r="AD467" s="2">
        <f t="shared" si="70"/>
        <v>1</v>
      </c>
      <c r="AE467" s="2">
        <f t="shared" si="71"/>
        <v>9.0909090909090899</v>
      </c>
      <c r="AF467" s="2">
        <f t="shared" si="73"/>
        <v>8.9557120739658522</v>
      </c>
    </row>
    <row r="468" spans="1:32" x14ac:dyDescent="0.35">
      <c r="A468" s="2" t="s">
        <v>856</v>
      </c>
      <c r="B468" s="2" t="s">
        <v>390</v>
      </c>
      <c r="C468" s="2">
        <v>33</v>
      </c>
      <c r="D468" s="2">
        <v>3.92</v>
      </c>
      <c r="E468" s="7">
        <v>3</v>
      </c>
      <c r="F468" s="7">
        <v>2</v>
      </c>
      <c r="G468" s="7">
        <v>1</v>
      </c>
      <c r="H468" s="7">
        <v>48</v>
      </c>
      <c r="I468" s="7">
        <v>0</v>
      </c>
      <c r="J468" s="7">
        <v>0</v>
      </c>
      <c r="K468" s="7">
        <v>0</v>
      </c>
      <c r="L468" s="7">
        <v>41</v>
      </c>
      <c r="M468" s="7">
        <v>1</v>
      </c>
      <c r="N468" s="7">
        <v>42</v>
      </c>
      <c r="O468" s="7">
        <v>21</v>
      </c>
      <c r="P468" s="7">
        <v>18</v>
      </c>
      <c r="Q468" s="7">
        <v>4</v>
      </c>
      <c r="R468" s="7">
        <v>2</v>
      </c>
      <c r="S468" s="7">
        <v>13</v>
      </c>
      <c r="T468" s="7">
        <v>2</v>
      </c>
      <c r="U468" s="7">
        <v>36</v>
      </c>
      <c r="V468" s="2">
        <f t="shared" si="72"/>
        <v>15.348764606675203</v>
      </c>
      <c r="W468" s="7">
        <v>50</v>
      </c>
      <c r="X468" s="2">
        <f t="shared" si="65"/>
        <v>65.348764606675203</v>
      </c>
      <c r="Y468" s="2"/>
      <c r="Z468" s="2">
        <f t="shared" si="66"/>
        <v>181</v>
      </c>
      <c r="AA468" s="1">
        <f t="shared" si="67"/>
        <v>19.88950276243094</v>
      </c>
      <c r="AB468" s="1">
        <f t="shared" si="68"/>
        <v>8.2872928176795568</v>
      </c>
      <c r="AC468" s="1">
        <f t="shared" si="69"/>
        <v>2.2099447513812152</v>
      </c>
      <c r="AD468" s="2">
        <f t="shared" si="70"/>
        <v>5.4848484848484844</v>
      </c>
      <c r="AE468" s="2">
        <f t="shared" si="71"/>
        <v>11.602209944751383</v>
      </c>
      <c r="AF468" s="2">
        <f t="shared" si="73"/>
        <v>76.743823033376017</v>
      </c>
    </row>
    <row r="469" spans="1:32" x14ac:dyDescent="0.35">
      <c r="A469" s="2" t="s">
        <v>857</v>
      </c>
      <c r="B469" s="2" t="s">
        <v>390</v>
      </c>
      <c r="C469" s="2">
        <v>33</v>
      </c>
      <c r="D469" s="2">
        <v>3.97</v>
      </c>
      <c r="E469" s="7">
        <v>3</v>
      </c>
      <c r="F469" s="7">
        <v>2</v>
      </c>
      <c r="G469" s="7">
        <v>0</v>
      </c>
      <c r="H469" s="7">
        <v>47</v>
      </c>
      <c r="I469" s="7">
        <v>2</v>
      </c>
      <c r="J469" s="7">
        <v>0</v>
      </c>
      <c r="K469" s="7">
        <v>0</v>
      </c>
      <c r="L469" s="7">
        <v>47</v>
      </c>
      <c r="M469" s="7">
        <v>2</v>
      </c>
      <c r="N469" s="7">
        <v>46</v>
      </c>
      <c r="O469" s="7">
        <v>23</v>
      </c>
      <c r="P469" s="7">
        <v>21</v>
      </c>
      <c r="Q469" s="7">
        <v>6</v>
      </c>
      <c r="R469" s="7">
        <v>6</v>
      </c>
      <c r="S469" s="7">
        <v>18</v>
      </c>
      <c r="T469" s="7">
        <v>1</v>
      </c>
      <c r="U469" s="7">
        <v>37</v>
      </c>
      <c r="V469" s="2">
        <f t="shared" si="72"/>
        <v>15.585859530618075</v>
      </c>
      <c r="W469" s="7">
        <v>50</v>
      </c>
      <c r="X469" s="2">
        <f t="shared" si="65"/>
        <v>65.58585953061808</v>
      </c>
      <c r="Y469" s="2"/>
      <c r="Z469" s="2">
        <f t="shared" si="66"/>
        <v>213</v>
      </c>
      <c r="AA469" s="1">
        <f t="shared" si="67"/>
        <v>17.370892018779344</v>
      </c>
      <c r="AB469" s="1">
        <f t="shared" si="68"/>
        <v>11.267605633802818</v>
      </c>
      <c r="AC469" s="1">
        <f t="shared" si="69"/>
        <v>2.8169014084507045</v>
      </c>
      <c r="AD469" s="2">
        <f t="shared" si="70"/>
        <v>6.4545454545454541</v>
      </c>
      <c r="AE469" s="2">
        <f t="shared" si="71"/>
        <v>6.103286384976526</v>
      </c>
      <c r="AF469" s="2">
        <f t="shared" si="73"/>
        <v>77.929297653090373</v>
      </c>
    </row>
    <row r="470" spans="1:32" x14ac:dyDescent="0.35">
      <c r="A470" s="2" t="s">
        <v>858</v>
      </c>
      <c r="B470" s="2" t="s">
        <v>390</v>
      </c>
      <c r="C470" s="2">
        <v>33</v>
      </c>
      <c r="D470" s="2">
        <v>4.58</v>
      </c>
      <c r="E470" s="7">
        <v>0</v>
      </c>
      <c r="F470" s="7">
        <v>1</v>
      </c>
      <c r="G470" s="7">
        <v>1</v>
      </c>
      <c r="H470" s="7">
        <v>19</v>
      </c>
      <c r="I470" s="7">
        <v>6</v>
      </c>
      <c r="J470" s="7">
        <v>0</v>
      </c>
      <c r="K470" s="7">
        <v>0</v>
      </c>
      <c r="L470" s="7">
        <v>55</v>
      </c>
      <c r="N470" s="7">
        <v>57</v>
      </c>
      <c r="O470" s="7">
        <v>29</v>
      </c>
      <c r="P470" s="7">
        <v>28</v>
      </c>
      <c r="Q470" s="7">
        <v>8</v>
      </c>
      <c r="R470" s="7">
        <v>3</v>
      </c>
      <c r="S470" s="7">
        <v>23</v>
      </c>
      <c r="T470" s="7">
        <v>1</v>
      </c>
      <c r="U470" s="7">
        <v>34</v>
      </c>
      <c r="V470" s="2">
        <f t="shared" si="72"/>
        <v>14.895492853207767</v>
      </c>
      <c r="W470" s="7">
        <v>50</v>
      </c>
      <c r="X470" s="2">
        <f t="shared" si="65"/>
        <v>64.89549285320777</v>
      </c>
      <c r="Y470" s="2"/>
      <c r="Z470" s="2">
        <f t="shared" si="66"/>
        <v>248</v>
      </c>
      <c r="AA470" s="1">
        <f t="shared" si="67"/>
        <v>13.709677419354838</v>
      </c>
      <c r="AB470" s="1">
        <f t="shared" si="68"/>
        <v>10.483870967741936</v>
      </c>
      <c r="AC470" s="1">
        <f t="shared" si="69"/>
        <v>3.225806451612903</v>
      </c>
      <c r="AD470" s="2">
        <f t="shared" si="70"/>
        <v>7.5151515151515156</v>
      </c>
      <c r="AE470" s="2">
        <f t="shared" si="71"/>
        <v>3.2258064516129021</v>
      </c>
      <c r="AF470" s="2">
        <f t="shared" si="73"/>
        <v>74.477464266038837</v>
      </c>
    </row>
    <row r="471" spans="1:32" x14ac:dyDescent="0.35">
      <c r="A471" s="2" t="s">
        <v>859</v>
      </c>
      <c r="B471" s="2" t="s">
        <v>390</v>
      </c>
      <c r="C471" s="2">
        <v>33</v>
      </c>
      <c r="D471" s="2">
        <v>4.3600000000000003</v>
      </c>
      <c r="E471" s="7">
        <v>3</v>
      </c>
      <c r="F471" s="7">
        <v>1</v>
      </c>
      <c r="G471" s="7">
        <v>1</v>
      </c>
      <c r="H471" s="7">
        <v>19</v>
      </c>
      <c r="I471" s="7">
        <v>8</v>
      </c>
      <c r="J471" s="7">
        <v>0</v>
      </c>
      <c r="K471" s="7">
        <v>0</v>
      </c>
      <c r="L471" s="7">
        <v>64</v>
      </c>
      <c r="N471" s="7">
        <v>58</v>
      </c>
      <c r="O471" s="7">
        <v>31</v>
      </c>
      <c r="P471" s="7">
        <v>31</v>
      </c>
      <c r="Q471" s="7">
        <v>13</v>
      </c>
      <c r="R471" s="7">
        <v>2</v>
      </c>
      <c r="S471" s="7">
        <v>19</v>
      </c>
      <c r="T471" s="7">
        <v>0</v>
      </c>
      <c r="U471" s="7">
        <v>55</v>
      </c>
      <c r="V471" s="2">
        <f t="shared" si="72"/>
        <v>45.33111693615988</v>
      </c>
      <c r="W471" s="7">
        <v>50</v>
      </c>
      <c r="X471" s="2">
        <f t="shared" si="65"/>
        <v>95.331116936159873</v>
      </c>
      <c r="Y471" s="2"/>
      <c r="Z471" s="2">
        <f t="shared" si="66"/>
        <v>271</v>
      </c>
      <c r="AA471" s="1">
        <f t="shared" si="67"/>
        <v>20.29520295202952</v>
      </c>
      <c r="AB471" s="1">
        <f t="shared" si="68"/>
        <v>7.7490774907749085</v>
      </c>
      <c r="AC471" s="1">
        <f t="shared" si="69"/>
        <v>4.7970479704797047</v>
      </c>
      <c r="AD471" s="2">
        <f t="shared" si="70"/>
        <v>8.2121212121212128</v>
      </c>
      <c r="AE471" s="2">
        <f t="shared" si="71"/>
        <v>12.546125461254611</v>
      </c>
      <c r="AF471" s="2">
        <f t="shared" si="73"/>
        <v>226.65558468079939</v>
      </c>
    </row>
    <row r="472" spans="1:32" x14ac:dyDescent="0.35">
      <c r="A472" s="2" t="s">
        <v>860</v>
      </c>
      <c r="B472" s="2" t="s">
        <v>390</v>
      </c>
      <c r="C472" s="2">
        <v>33</v>
      </c>
      <c r="D472" s="2">
        <v>2.4500000000000002</v>
      </c>
      <c r="E472" s="7">
        <v>2</v>
      </c>
      <c r="F472" s="7">
        <v>1</v>
      </c>
      <c r="G472" s="7">
        <v>0</v>
      </c>
      <c r="H472" s="7">
        <v>26</v>
      </c>
      <c r="I472" s="7">
        <v>1</v>
      </c>
      <c r="J472" s="7">
        <v>0</v>
      </c>
      <c r="K472" s="7">
        <v>0</v>
      </c>
      <c r="L472" s="7">
        <v>22</v>
      </c>
      <c r="N472" s="7">
        <v>16</v>
      </c>
      <c r="O472" s="7">
        <v>7</v>
      </c>
      <c r="P472" s="7">
        <v>6</v>
      </c>
      <c r="Q472" s="7">
        <v>3</v>
      </c>
      <c r="R472" s="7">
        <v>1</v>
      </c>
      <c r="S472" s="7">
        <v>10</v>
      </c>
      <c r="T472" s="7">
        <v>3</v>
      </c>
      <c r="U472" s="7">
        <v>20</v>
      </c>
      <c r="V472" s="2">
        <f t="shared" si="72"/>
        <v>12.147857170060771</v>
      </c>
      <c r="W472" s="7">
        <v>50</v>
      </c>
      <c r="X472" s="2">
        <f t="shared" si="65"/>
        <v>62.147857170060774</v>
      </c>
      <c r="Y472" s="2"/>
      <c r="Z472" s="2">
        <f t="shared" si="66"/>
        <v>93</v>
      </c>
      <c r="AA472" s="1">
        <f t="shared" si="67"/>
        <v>21.50537634408602</v>
      </c>
      <c r="AB472" s="1">
        <f t="shared" si="68"/>
        <v>11.827956989247312</v>
      </c>
      <c r="AC472" s="1">
        <f t="shared" si="69"/>
        <v>3.225806451612903</v>
      </c>
      <c r="AD472" s="2">
        <f t="shared" si="70"/>
        <v>2.8181818181818183</v>
      </c>
      <c r="AE472" s="2">
        <f t="shared" si="71"/>
        <v>9.6774193548387082</v>
      </c>
      <c r="AF472" s="2">
        <f t="shared" si="73"/>
        <v>60.739285850303858</v>
      </c>
    </row>
    <row r="473" spans="1:32" x14ac:dyDescent="0.35">
      <c r="A473" s="2" t="s">
        <v>861</v>
      </c>
      <c r="B473" s="2" t="s">
        <v>390</v>
      </c>
      <c r="C473" s="2">
        <v>34</v>
      </c>
      <c r="D473" s="2">
        <v>6.14</v>
      </c>
      <c r="E473" s="7">
        <v>0</v>
      </c>
      <c r="F473" s="7">
        <v>0</v>
      </c>
      <c r="G473" s="7">
        <v>0</v>
      </c>
      <c r="H473" s="7">
        <v>12</v>
      </c>
      <c r="I473" s="7">
        <v>0</v>
      </c>
      <c r="J473" s="7">
        <v>0</v>
      </c>
      <c r="K473" s="7">
        <v>0</v>
      </c>
      <c r="L473" s="7">
        <v>14</v>
      </c>
      <c r="M473" s="7">
        <v>2</v>
      </c>
      <c r="N473" s="7">
        <v>17</v>
      </c>
      <c r="O473" s="7">
        <v>10</v>
      </c>
      <c r="P473" s="7">
        <v>10</v>
      </c>
      <c r="Q473" s="7">
        <v>3</v>
      </c>
      <c r="R473" s="7">
        <v>0</v>
      </c>
      <c r="S473" s="7">
        <v>2</v>
      </c>
      <c r="T473" s="7">
        <v>0</v>
      </c>
      <c r="U473" s="7">
        <v>10</v>
      </c>
      <c r="V473" s="2">
        <f t="shared" si="72"/>
        <v>5.0604919108858342</v>
      </c>
      <c r="W473" s="7">
        <v>50</v>
      </c>
      <c r="X473" s="2">
        <f t="shared" si="65"/>
        <v>55.060491910885837</v>
      </c>
      <c r="Y473" s="2"/>
      <c r="Z473" s="2">
        <f t="shared" si="66"/>
        <v>63</v>
      </c>
      <c r="AA473" s="1">
        <f t="shared" si="67"/>
        <v>15.873015873015872</v>
      </c>
      <c r="AB473" s="1">
        <f t="shared" si="68"/>
        <v>3.1746031746031744</v>
      </c>
      <c r="AC473" s="1">
        <f t="shared" si="69"/>
        <v>4.7619047619047619</v>
      </c>
      <c r="AD473" s="2">
        <f t="shared" si="70"/>
        <v>1.8529411764705883</v>
      </c>
      <c r="AE473" s="2">
        <f t="shared" si="71"/>
        <v>12.698412698412698</v>
      </c>
      <c r="AF473" s="2">
        <f t="shared" si="73"/>
        <v>25.30245955442917</v>
      </c>
    </row>
    <row r="474" spans="1:32" x14ac:dyDescent="0.35">
      <c r="A474" s="2" t="s">
        <v>862</v>
      </c>
      <c r="B474" s="2" t="s">
        <v>390</v>
      </c>
      <c r="C474" s="2">
        <v>34</v>
      </c>
      <c r="D474" s="2">
        <v>2.31</v>
      </c>
      <c r="E474" s="7">
        <v>4</v>
      </c>
      <c r="F474" s="7">
        <v>3</v>
      </c>
      <c r="G474" s="7">
        <v>9</v>
      </c>
      <c r="H474" s="7">
        <v>71</v>
      </c>
      <c r="I474" s="7">
        <v>2</v>
      </c>
      <c r="J474" s="7">
        <v>0</v>
      </c>
      <c r="K474" s="7">
        <v>0</v>
      </c>
      <c r="L474" s="7">
        <v>74</v>
      </c>
      <c r="N474" s="7">
        <v>40</v>
      </c>
      <c r="O474" s="7">
        <v>21</v>
      </c>
      <c r="P474" s="7">
        <v>19</v>
      </c>
      <c r="Q474" s="7">
        <v>5</v>
      </c>
      <c r="R474" s="7">
        <v>6</v>
      </c>
      <c r="S474" s="7">
        <v>20</v>
      </c>
      <c r="T474" s="7">
        <v>0</v>
      </c>
      <c r="U474" s="7">
        <v>74</v>
      </c>
      <c r="V474" s="2">
        <f t="shared" si="72"/>
        <v>50.440939299070777</v>
      </c>
      <c r="W474" s="7">
        <v>50</v>
      </c>
      <c r="X474" s="2">
        <f t="shared" si="65"/>
        <v>100.44093929907078</v>
      </c>
      <c r="Y474" s="2"/>
      <c r="Z474" s="2">
        <f t="shared" si="66"/>
        <v>288</v>
      </c>
      <c r="AA474" s="1">
        <f t="shared" si="67"/>
        <v>25.694444444444443</v>
      </c>
      <c r="AB474" s="1">
        <f t="shared" si="68"/>
        <v>9.0277777777777768</v>
      </c>
      <c r="AC474" s="1">
        <f t="shared" si="69"/>
        <v>1.7361111111111112</v>
      </c>
      <c r="AD474" s="2">
        <f t="shared" si="70"/>
        <v>8.4705882352941178</v>
      </c>
      <c r="AE474" s="2">
        <f t="shared" si="71"/>
        <v>16.666666666666664</v>
      </c>
      <c r="AF474" s="2">
        <f t="shared" si="73"/>
        <v>252.20469649535389</v>
      </c>
    </row>
    <row r="475" spans="1:32" x14ac:dyDescent="0.35">
      <c r="A475" s="2" t="s">
        <v>863</v>
      </c>
      <c r="B475" s="2" t="s">
        <v>390</v>
      </c>
      <c r="C475" s="2">
        <v>34</v>
      </c>
      <c r="D475" s="2">
        <v>6.2</v>
      </c>
      <c r="E475" s="7">
        <v>0</v>
      </c>
      <c r="F475" s="7">
        <v>1</v>
      </c>
      <c r="G475" s="7">
        <v>0</v>
      </c>
      <c r="H475" s="7">
        <v>20</v>
      </c>
      <c r="I475" s="7">
        <v>0</v>
      </c>
      <c r="J475" s="7">
        <v>0</v>
      </c>
      <c r="K475" s="7">
        <v>0</v>
      </c>
      <c r="L475" s="7">
        <v>24</v>
      </c>
      <c r="M475" s="7">
        <v>2</v>
      </c>
      <c r="N475" s="7">
        <v>31</v>
      </c>
      <c r="O475" s="7">
        <v>18</v>
      </c>
      <c r="P475" s="7">
        <v>17</v>
      </c>
      <c r="Q475" s="7">
        <v>4</v>
      </c>
      <c r="R475" s="7">
        <v>2</v>
      </c>
      <c r="S475" s="7">
        <v>6</v>
      </c>
      <c r="T475" s="7">
        <v>0</v>
      </c>
      <c r="U475" s="7">
        <v>18</v>
      </c>
      <c r="V475" s="2">
        <f t="shared" si="72"/>
        <v>5.9248516101374307</v>
      </c>
      <c r="W475" s="7">
        <v>50</v>
      </c>
      <c r="X475" s="2">
        <f t="shared" si="65"/>
        <v>55.924851610137431</v>
      </c>
      <c r="Y475" s="2"/>
      <c r="Z475" s="2">
        <f t="shared" si="66"/>
        <v>113</v>
      </c>
      <c r="AA475" s="1">
        <f t="shared" si="67"/>
        <v>15.929203539823009</v>
      </c>
      <c r="AB475" s="1">
        <f t="shared" si="68"/>
        <v>7.0796460176991154</v>
      </c>
      <c r="AC475" s="1">
        <f t="shared" si="69"/>
        <v>3.5398230088495577</v>
      </c>
      <c r="AD475" s="2">
        <f t="shared" si="70"/>
        <v>3.3235294117647061</v>
      </c>
      <c r="AE475" s="2">
        <f t="shared" si="71"/>
        <v>8.8495575221238933</v>
      </c>
      <c r="AF475" s="2">
        <f t="shared" si="73"/>
        <v>29.624258050687153</v>
      </c>
    </row>
    <row r="476" spans="1:32" x14ac:dyDescent="0.35">
      <c r="A476" s="2" t="s">
        <v>864</v>
      </c>
      <c r="B476" s="2" t="s">
        <v>390</v>
      </c>
      <c r="C476" s="2">
        <v>34</v>
      </c>
      <c r="D476" s="2">
        <v>7.94</v>
      </c>
      <c r="E476" s="7">
        <v>0</v>
      </c>
      <c r="F476" s="7">
        <v>2</v>
      </c>
      <c r="G476" s="7">
        <v>0</v>
      </c>
      <c r="H476" s="7">
        <v>8</v>
      </c>
      <c r="I476" s="7">
        <v>0</v>
      </c>
      <c r="J476" s="7">
        <v>0</v>
      </c>
      <c r="K476" s="7">
        <v>0</v>
      </c>
      <c r="L476" s="7">
        <v>5</v>
      </c>
      <c r="M476" s="7">
        <v>2</v>
      </c>
      <c r="N476" s="7">
        <v>5</v>
      </c>
      <c r="O476" s="7">
        <v>5</v>
      </c>
      <c r="P476" s="7">
        <v>5</v>
      </c>
      <c r="Q476" s="7">
        <v>0</v>
      </c>
      <c r="R476" s="7">
        <v>0</v>
      </c>
      <c r="S476" s="7">
        <v>8</v>
      </c>
      <c r="T476" s="7">
        <v>0</v>
      </c>
      <c r="U476" s="7">
        <v>3</v>
      </c>
      <c r="V476" s="2">
        <f t="shared" si="72"/>
        <v>-0.35081449975159718</v>
      </c>
      <c r="W476" s="7">
        <v>50</v>
      </c>
      <c r="X476" s="2">
        <f t="shared" si="65"/>
        <v>49.6491855002484</v>
      </c>
      <c r="Y476" s="2"/>
      <c r="Z476" s="2">
        <f t="shared" si="66"/>
        <v>30</v>
      </c>
      <c r="AA476" s="1">
        <f t="shared" si="67"/>
        <v>10</v>
      </c>
      <c r="AB476" s="1">
        <f t="shared" si="68"/>
        <v>26.666666666666668</v>
      </c>
      <c r="AC476" s="1">
        <f t="shared" si="69"/>
        <v>0</v>
      </c>
      <c r="AD476" s="2">
        <f t="shared" si="70"/>
        <v>0.88235294117647056</v>
      </c>
      <c r="AE476" s="2">
        <f t="shared" si="71"/>
        <v>-16.666666666666668</v>
      </c>
      <c r="AF476" s="2">
        <f t="shared" si="73"/>
        <v>-1.7540724987579859</v>
      </c>
    </row>
    <row r="477" spans="1:32" x14ac:dyDescent="0.35">
      <c r="A477" s="2" t="s">
        <v>865</v>
      </c>
      <c r="B477" s="2" t="s">
        <v>390</v>
      </c>
      <c r="C477" s="2">
        <v>34</v>
      </c>
      <c r="D477" s="2">
        <v>2.16</v>
      </c>
      <c r="E477" s="7">
        <v>0</v>
      </c>
      <c r="F477" s="7">
        <v>0</v>
      </c>
      <c r="G477" s="7">
        <v>0</v>
      </c>
      <c r="H477" s="7">
        <v>13</v>
      </c>
      <c r="I477" s="7">
        <v>1</v>
      </c>
      <c r="J477" s="7">
        <v>0</v>
      </c>
      <c r="K477" s="7">
        <v>0</v>
      </c>
      <c r="L477" s="7">
        <v>16</v>
      </c>
      <c r="M477" s="7">
        <v>2</v>
      </c>
      <c r="N477" s="7">
        <v>10</v>
      </c>
      <c r="O477" s="7">
        <v>4</v>
      </c>
      <c r="P477" s="7">
        <v>4</v>
      </c>
      <c r="Q477" s="7">
        <v>1</v>
      </c>
      <c r="R477" s="7">
        <v>2</v>
      </c>
      <c r="S477" s="7">
        <v>5</v>
      </c>
      <c r="T477" s="7">
        <v>0</v>
      </c>
      <c r="U477" s="7">
        <v>14</v>
      </c>
      <c r="V477" s="2">
        <f t="shared" si="72"/>
        <v>5.6477787437284928</v>
      </c>
      <c r="W477" s="7">
        <v>50</v>
      </c>
      <c r="X477" s="2">
        <f t="shared" si="65"/>
        <v>55.647778743728495</v>
      </c>
      <c r="Y477" s="2"/>
      <c r="Z477" s="2">
        <f t="shared" si="66"/>
        <v>67</v>
      </c>
      <c r="AA477" s="1">
        <f t="shared" si="67"/>
        <v>20.8955223880597</v>
      </c>
      <c r="AB477" s="1">
        <f t="shared" si="68"/>
        <v>10.44776119402985</v>
      </c>
      <c r="AC477" s="1">
        <f t="shared" si="69"/>
        <v>1.4925373134328357</v>
      </c>
      <c r="AD477" s="2">
        <f t="shared" si="70"/>
        <v>1.9705882352941178</v>
      </c>
      <c r="AE477" s="2">
        <f t="shared" si="71"/>
        <v>10.44776119402985</v>
      </c>
      <c r="AF477" s="2">
        <f t="shared" si="73"/>
        <v>28.238893718642462</v>
      </c>
    </row>
    <row r="478" spans="1:32" x14ac:dyDescent="0.35">
      <c r="A478" s="2" t="s">
        <v>866</v>
      </c>
      <c r="B478" s="2" t="s">
        <v>390</v>
      </c>
      <c r="C478" s="2">
        <v>34</v>
      </c>
      <c r="D478" s="2">
        <v>4.08</v>
      </c>
      <c r="E478" s="7">
        <v>3</v>
      </c>
      <c r="F478" s="7">
        <v>3</v>
      </c>
      <c r="G478" s="7">
        <v>2</v>
      </c>
      <c r="H478" s="7">
        <v>24</v>
      </c>
      <c r="I478" s="7">
        <v>3</v>
      </c>
      <c r="J478" s="7">
        <v>0</v>
      </c>
      <c r="K478" s="7">
        <v>0</v>
      </c>
      <c r="L478" s="7">
        <v>46</v>
      </c>
      <c r="M478" s="7">
        <v>1</v>
      </c>
      <c r="N478" s="7">
        <v>50</v>
      </c>
      <c r="O478" s="7">
        <v>25</v>
      </c>
      <c r="P478" s="7">
        <v>21</v>
      </c>
      <c r="Q478" s="7">
        <v>6</v>
      </c>
      <c r="R478" s="7">
        <v>0</v>
      </c>
      <c r="S478" s="7">
        <v>15</v>
      </c>
      <c r="T478" s="7">
        <v>4</v>
      </c>
      <c r="U478" s="7">
        <v>49</v>
      </c>
      <c r="V478" s="2">
        <f t="shared" si="72"/>
        <v>26.274509803921557</v>
      </c>
      <c r="W478" s="7">
        <v>50</v>
      </c>
      <c r="X478" s="2">
        <f t="shared" si="65"/>
        <v>76.274509803921561</v>
      </c>
      <c r="Y478" s="2"/>
      <c r="Z478" s="2">
        <f t="shared" si="66"/>
        <v>204</v>
      </c>
      <c r="AA478" s="1">
        <f t="shared" si="67"/>
        <v>24.019607843137255</v>
      </c>
      <c r="AB478" s="1">
        <f t="shared" si="68"/>
        <v>7.3529411764705888</v>
      </c>
      <c r="AC478" s="1">
        <f t="shared" si="69"/>
        <v>2.9411764705882351</v>
      </c>
      <c r="AD478" s="2">
        <f t="shared" si="70"/>
        <v>6</v>
      </c>
      <c r="AE478" s="2">
        <f t="shared" si="71"/>
        <v>16.666666666666664</v>
      </c>
      <c r="AF478" s="2">
        <f t="shared" si="73"/>
        <v>131.37254901960779</v>
      </c>
    </row>
    <row r="479" spans="1:32" x14ac:dyDescent="0.35">
      <c r="A479" s="2" t="s">
        <v>867</v>
      </c>
      <c r="B479" s="2" t="s">
        <v>390</v>
      </c>
      <c r="C479" s="2">
        <v>34</v>
      </c>
      <c r="D479" s="2">
        <v>3.86</v>
      </c>
      <c r="E479" s="7">
        <v>1</v>
      </c>
      <c r="F479" s="7">
        <v>2</v>
      </c>
      <c r="G479" s="7">
        <v>3</v>
      </c>
      <c r="H479" s="7">
        <v>22</v>
      </c>
      <c r="I479" s="7">
        <v>0</v>
      </c>
      <c r="J479" s="7">
        <v>0</v>
      </c>
      <c r="K479" s="7">
        <v>0</v>
      </c>
      <c r="L479" s="7">
        <v>21</v>
      </c>
      <c r="N479" s="7">
        <v>13</v>
      </c>
      <c r="O479" s="7">
        <v>10</v>
      </c>
      <c r="P479" s="7">
        <v>9</v>
      </c>
      <c r="Q479" s="7">
        <v>2</v>
      </c>
      <c r="R479" s="7">
        <v>1</v>
      </c>
      <c r="S479" s="7">
        <v>12</v>
      </c>
      <c r="T479" s="7">
        <v>1</v>
      </c>
      <c r="U479" s="7">
        <v>25</v>
      </c>
      <c r="V479" s="2">
        <f t="shared" si="72"/>
        <v>7.0910228794318018</v>
      </c>
      <c r="W479" s="7">
        <v>50</v>
      </c>
      <c r="X479" s="2">
        <f t="shared" si="65"/>
        <v>57.091022879431804</v>
      </c>
      <c r="Y479" s="2"/>
      <c r="Z479" s="2">
        <f t="shared" si="66"/>
        <v>89</v>
      </c>
      <c r="AA479" s="1">
        <f t="shared" si="67"/>
        <v>28.08988764044944</v>
      </c>
      <c r="AB479" s="1">
        <f t="shared" si="68"/>
        <v>14.606741573033707</v>
      </c>
      <c r="AC479" s="1">
        <f t="shared" si="69"/>
        <v>2.2471910112359552</v>
      </c>
      <c r="AD479" s="2">
        <f t="shared" si="70"/>
        <v>2.6176470588235294</v>
      </c>
      <c r="AE479" s="2">
        <f t="shared" si="71"/>
        <v>13.483146067415733</v>
      </c>
      <c r="AF479" s="2">
        <f t="shared" si="73"/>
        <v>35.455114397159008</v>
      </c>
    </row>
    <row r="480" spans="1:32" x14ac:dyDescent="0.35">
      <c r="A480" s="2" t="s">
        <v>868</v>
      </c>
      <c r="B480" s="2" t="s">
        <v>390</v>
      </c>
      <c r="C480" s="2">
        <v>34</v>
      </c>
      <c r="D480" s="2">
        <v>7.13</v>
      </c>
      <c r="E480" s="7">
        <v>1</v>
      </c>
      <c r="F480" s="7">
        <v>0</v>
      </c>
      <c r="G480" s="7">
        <v>0</v>
      </c>
      <c r="H480" s="7">
        <v>19</v>
      </c>
      <c r="I480" s="7">
        <v>0</v>
      </c>
      <c r="J480" s="7">
        <v>0</v>
      </c>
      <c r="K480" s="7">
        <v>0</v>
      </c>
      <c r="L480" s="7">
        <v>17</v>
      </c>
      <c r="M480" s="7">
        <v>2</v>
      </c>
      <c r="N480" s="7">
        <v>23</v>
      </c>
      <c r="O480" s="7">
        <v>14</v>
      </c>
      <c r="P480" s="7">
        <v>14</v>
      </c>
      <c r="Q480" s="7">
        <v>2</v>
      </c>
      <c r="R480" s="7">
        <v>1</v>
      </c>
      <c r="S480" s="7">
        <v>12</v>
      </c>
      <c r="T480" s="7">
        <v>0</v>
      </c>
      <c r="U480" s="7">
        <v>9</v>
      </c>
      <c r="V480" s="2">
        <f t="shared" si="72"/>
        <v>-0.44746836440424237</v>
      </c>
      <c r="W480" s="7">
        <v>50</v>
      </c>
      <c r="X480" s="2">
        <f t="shared" si="65"/>
        <v>49.552531635595756</v>
      </c>
      <c r="Y480" s="2"/>
      <c r="Z480" s="2">
        <f t="shared" si="66"/>
        <v>89</v>
      </c>
      <c r="AA480" s="1">
        <f t="shared" si="67"/>
        <v>10.112359550561797</v>
      </c>
      <c r="AB480" s="1">
        <f t="shared" si="68"/>
        <v>14.606741573033707</v>
      </c>
      <c r="AC480" s="1">
        <f t="shared" si="69"/>
        <v>2.2471910112359552</v>
      </c>
      <c r="AD480" s="2">
        <f t="shared" si="70"/>
        <v>2.6176470588235294</v>
      </c>
      <c r="AE480" s="2">
        <f t="shared" si="71"/>
        <v>-4.4943820224719104</v>
      </c>
      <c r="AF480" s="2">
        <f t="shared" si="73"/>
        <v>-2.2373418220212118</v>
      </c>
    </row>
    <row r="481" spans="1:32" x14ac:dyDescent="0.35">
      <c r="A481" s="2" t="s">
        <v>869</v>
      </c>
      <c r="B481" s="2" t="s">
        <v>390</v>
      </c>
      <c r="C481" s="2">
        <v>34</v>
      </c>
      <c r="D481" s="2">
        <v>5.56</v>
      </c>
      <c r="E481" s="7">
        <v>3</v>
      </c>
      <c r="F481" s="7">
        <v>2</v>
      </c>
      <c r="G481" s="7">
        <v>1</v>
      </c>
      <c r="H481" s="7">
        <v>45</v>
      </c>
      <c r="I481" s="7">
        <v>0</v>
      </c>
      <c r="J481" s="7">
        <v>0</v>
      </c>
      <c r="K481" s="7">
        <v>0</v>
      </c>
      <c r="L481" s="7">
        <v>43</v>
      </c>
      <c r="M481" s="7">
        <v>2</v>
      </c>
      <c r="N481" s="7">
        <v>51</v>
      </c>
      <c r="O481" s="7">
        <v>28</v>
      </c>
      <c r="P481" s="7">
        <v>27</v>
      </c>
      <c r="Q481" s="7">
        <v>14</v>
      </c>
      <c r="R481" s="7">
        <v>2</v>
      </c>
      <c r="S481" s="7">
        <v>13</v>
      </c>
      <c r="T481" s="7">
        <v>2</v>
      </c>
      <c r="U481" s="7">
        <v>35</v>
      </c>
      <c r="V481" s="2">
        <f t="shared" si="72"/>
        <v>26.942873309242582</v>
      </c>
      <c r="W481" s="7">
        <v>50</v>
      </c>
      <c r="X481" s="2">
        <f t="shared" si="65"/>
        <v>76.942873309242586</v>
      </c>
      <c r="Y481" s="2"/>
      <c r="Z481" s="2">
        <f t="shared" si="66"/>
        <v>197</v>
      </c>
      <c r="AA481" s="1">
        <f t="shared" si="67"/>
        <v>17.766497461928935</v>
      </c>
      <c r="AB481" s="1">
        <f t="shared" si="68"/>
        <v>7.6142131979695442</v>
      </c>
      <c r="AC481" s="1">
        <f t="shared" si="69"/>
        <v>7.1065989847715745</v>
      </c>
      <c r="AD481" s="2">
        <f t="shared" si="70"/>
        <v>5.7941176470588234</v>
      </c>
      <c r="AE481" s="2">
        <f t="shared" si="71"/>
        <v>10.152284263959391</v>
      </c>
      <c r="AF481" s="2">
        <f t="shared" si="73"/>
        <v>134.71436654621291</v>
      </c>
    </row>
    <row r="482" spans="1:32" x14ac:dyDescent="0.35">
      <c r="A482" s="2" t="s">
        <v>870</v>
      </c>
      <c r="B482" s="2" t="s">
        <v>388</v>
      </c>
      <c r="C482" s="2">
        <v>34</v>
      </c>
      <c r="D482" s="2">
        <v>5.52</v>
      </c>
      <c r="E482" s="7">
        <v>5</v>
      </c>
      <c r="F482" s="7">
        <v>10</v>
      </c>
      <c r="G482" s="7">
        <v>0</v>
      </c>
      <c r="H482" s="7">
        <v>27</v>
      </c>
      <c r="I482" s="7">
        <v>23</v>
      </c>
      <c r="J482" s="7">
        <v>0</v>
      </c>
      <c r="K482" s="7">
        <v>0</v>
      </c>
      <c r="L482" s="7">
        <v>122</v>
      </c>
      <c r="M482" s="7">
        <v>1</v>
      </c>
      <c r="N482" s="7">
        <v>129</v>
      </c>
      <c r="O482" s="7">
        <v>77</v>
      </c>
      <c r="P482" s="7">
        <v>75</v>
      </c>
      <c r="Q482" s="7">
        <v>25</v>
      </c>
      <c r="R482" s="7">
        <v>9</v>
      </c>
      <c r="S482" s="7">
        <v>40</v>
      </c>
      <c r="T482" s="7">
        <v>0</v>
      </c>
      <c r="U482" s="7">
        <v>86</v>
      </c>
      <c r="V482" s="2">
        <f t="shared" si="72"/>
        <v>74.043090246962521</v>
      </c>
      <c r="W482" s="7">
        <v>50</v>
      </c>
      <c r="X482" s="2">
        <f t="shared" si="65"/>
        <v>124.04309024696252</v>
      </c>
      <c r="Y482" s="2"/>
      <c r="Z482" s="2">
        <f t="shared" si="66"/>
        <v>545</v>
      </c>
      <c r="AA482" s="1">
        <f t="shared" si="67"/>
        <v>15.779816513761469</v>
      </c>
      <c r="AB482" s="1">
        <f t="shared" si="68"/>
        <v>8.9908256880733948</v>
      </c>
      <c r="AC482" s="1">
        <f t="shared" si="69"/>
        <v>4.5871559633027523</v>
      </c>
      <c r="AD482" s="2">
        <f t="shared" si="70"/>
        <v>16.029411764705884</v>
      </c>
      <c r="AE482" s="2">
        <f t="shared" si="71"/>
        <v>6.7889908256880744</v>
      </c>
      <c r="AF482" s="2">
        <f t="shared" si="73"/>
        <v>370.21545123481258</v>
      </c>
    </row>
    <row r="483" spans="1:32" x14ac:dyDescent="0.35">
      <c r="A483" s="2" t="s">
        <v>871</v>
      </c>
      <c r="B483" s="2" t="s">
        <v>390</v>
      </c>
      <c r="C483" s="2">
        <v>34</v>
      </c>
      <c r="D483" s="2">
        <v>2.77</v>
      </c>
      <c r="E483" s="7">
        <v>0</v>
      </c>
      <c r="F483" s="7">
        <v>0</v>
      </c>
      <c r="G483" s="7">
        <v>0</v>
      </c>
      <c r="H483" s="7">
        <v>7</v>
      </c>
      <c r="I483" s="7">
        <v>0</v>
      </c>
      <c r="J483" s="7">
        <v>0</v>
      </c>
      <c r="K483" s="7">
        <v>0</v>
      </c>
      <c r="L483" s="7">
        <v>13</v>
      </c>
      <c r="N483" s="7">
        <v>12</v>
      </c>
      <c r="O483" s="7">
        <v>5</v>
      </c>
      <c r="P483" s="7">
        <v>4</v>
      </c>
      <c r="Q483" s="7">
        <v>0</v>
      </c>
      <c r="R483" s="7">
        <v>0</v>
      </c>
      <c r="S483" s="7">
        <v>5</v>
      </c>
      <c r="T483" s="7">
        <v>0</v>
      </c>
      <c r="U483" s="7">
        <v>6</v>
      </c>
      <c r="V483" s="2">
        <f t="shared" si="72"/>
        <v>0.40822954792449984</v>
      </c>
      <c r="W483" s="7">
        <v>50</v>
      </c>
      <c r="X483" s="2">
        <f t="shared" si="65"/>
        <v>50.408229547924499</v>
      </c>
      <c r="Y483" s="2"/>
      <c r="Z483" s="2">
        <f t="shared" si="66"/>
        <v>56</v>
      </c>
      <c r="AA483" s="1">
        <f t="shared" si="67"/>
        <v>10.714285714285714</v>
      </c>
      <c r="AB483" s="1">
        <f t="shared" si="68"/>
        <v>8.9285714285714288</v>
      </c>
      <c r="AC483" s="1">
        <f t="shared" si="69"/>
        <v>0</v>
      </c>
      <c r="AD483" s="2">
        <f t="shared" si="70"/>
        <v>1.6470588235294117</v>
      </c>
      <c r="AE483" s="2">
        <f t="shared" si="71"/>
        <v>1.7857142857142847</v>
      </c>
      <c r="AF483" s="2">
        <f t="shared" si="73"/>
        <v>2.0411477396224993</v>
      </c>
    </row>
    <row r="484" spans="1:32" x14ac:dyDescent="0.35">
      <c r="A484" s="2" t="s">
        <v>872</v>
      </c>
      <c r="B484" s="2" t="s">
        <v>390</v>
      </c>
      <c r="C484" s="2">
        <v>34</v>
      </c>
      <c r="D484" s="2">
        <v>4.84</v>
      </c>
      <c r="E484" s="7">
        <v>6</v>
      </c>
      <c r="F484" s="7">
        <v>7</v>
      </c>
      <c r="G484" s="7">
        <v>2</v>
      </c>
      <c r="H484" s="7">
        <v>59</v>
      </c>
      <c r="I484" s="7">
        <v>0</v>
      </c>
      <c r="J484" s="7">
        <v>0</v>
      </c>
      <c r="K484" s="7">
        <v>0</v>
      </c>
      <c r="L484" s="7">
        <v>48</v>
      </c>
      <c r="M484" s="7">
        <v>1</v>
      </c>
      <c r="N484" s="7">
        <v>57</v>
      </c>
      <c r="O484" s="7">
        <v>31</v>
      </c>
      <c r="P484" s="7">
        <v>26</v>
      </c>
      <c r="Q484" s="7">
        <v>5</v>
      </c>
      <c r="R484" s="7">
        <v>4</v>
      </c>
      <c r="S484" s="7">
        <v>17</v>
      </c>
      <c r="T484" s="7">
        <v>0</v>
      </c>
      <c r="U484" s="7">
        <v>54</v>
      </c>
      <c r="V484" s="2">
        <f t="shared" si="72"/>
        <v>18.76656848660447</v>
      </c>
      <c r="W484" s="7">
        <v>50</v>
      </c>
      <c r="X484" s="2">
        <f t="shared" si="65"/>
        <v>68.76656848660447</v>
      </c>
      <c r="Y484" s="2"/>
      <c r="Z484" s="2">
        <f t="shared" si="66"/>
        <v>223</v>
      </c>
      <c r="AA484" s="1">
        <f t="shared" si="67"/>
        <v>24.215246636771301</v>
      </c>
      <c r="AB484" s="1">
        <f t="shared" si="68"/>
        <v>9.4170403587443943</v>
      </c>
      <c r="AC484" s="1">
        <f t="shared" si="69"/>
        <v>2.2421524663677128</v>
      </c>
      <c r="AD484" s="2">
        <f t="shared" si="70"/>
        <v>6.5588235294117645</v>
      </c>
      <c r="AE484" s="2">
        <f t="shared" si="71"/>
        <v>14.798206278026907</v>
      </c>
      <c r="AF484" s="2">
        <f t="shared" si="73"/>
        <v>93.83284243302235</v>
      </c>
    </row>
    <row r="485" spans="1:32" x14ac:dyDescent="0.35">
      <c r="A485" s="2" t="s">
        <v>873</v>
      </c>
      <c r="B485" s="2" t="s">
        <v>390</v>
      </c>
      <c r="C485" s="2">
        <v>34</v>
      </c>
      <c r="D485" s="2">
        <v>15.83</v>
      </c>
      <c r="E485" s="7">
        <v>0</v>
      </c>
      <c r="F485" s="7">
        <v>1</v>
      </c>
      <c r="G485" s="7">
        <v>0</v>
      </c>
      <c r="H485" s="7">
        <v>10</v>
      </c>
      <c r="I485" s="7">
        <v>0</v>
      </c>
      <c r="J485" s="7">
        <v>0</v>
      </c>
      <c r="K485" s="7">
        <v>0</v>
      </c>
      <c r="L485" s="7">
        <v>9</v>
      </c>
      <c r="M485" s="7">
        <v>2</v>
      </c>
      <c r="N485" s="7">
        <v>26</v>
      </c>
      <c r="O485" s="7">
        <v>17</v>
      </c>
      <c r="P485" s="7">
        <v>17</v>
      </c>
      <c r="Q485" s="7">
        <v>5</v>
      </c>
      <c r="R485" s="7">
        <v>1</v>
      </c>
      <c r="S485" s="7">
        <v>3</v>
      </c>
      <c r="T485" s="7">
        <v>1</v>
      </c>
      <c r="U485" s="7">
        <v>8</v>
      </c>
      <c r="V485" s="2">
        <f t="shared" si="72"/>
        <v>1.7687413772209433</v>
      </c>
      <c r="W485" s="7">
        <v>50</v>
      </c>
      <c r="X485" s="2">
        <f t="shared" si="65"/>
        <v>51.768741377220941</v>
      </c>
      <c r="Y485" s="2"/>
      <c r="Z485" s="2">
        <f t="shared" si="66"/>
        <v>59</v>
      </c>
      <c r="AA485" s="1">
        <f t="shared" si="67"/>
        <v>13.559322033898304</v>
      </c>
      <c r="AB485" s="1">
        <f t="shared" si="68"/>
        <v>6.7796610169491522</v>
      </c>
      <c r="AC485" s="1">
        <f t="shared" si="69"/>
        <v>8.4745762711864394</v>
      </c>
      <c r="AD485" s="2">
        <f t="shared" si="70"/>
        <v>1.7352941176470589</v>
      </c>
      <c r="AE485" s="2">
        <f t="shared" si="71"/>
        <v>6.7796610169491522</v>
      </c>
      <c r="AF485" s="2">
        <f t="shared" si="73"/>
        <v>8.8437068861047159</v>
      </c>
    </row>
    <row r="486" spans="1:32" x14ac:dyDescent="0.35">
      <c r="A486" s="2" t="s">
        <v>874</v>
      </c>
      <c r="B486" s="2" t="s">
        <v>390</v>
      </c>
      <c r="C486" s="2">
        <v>34</v>
      </c>
      <c r="D486" s="2">
        <v>4.26</v>
      </c>
      <c r="E486" s="7">
        <v>0</v>
      </c>
      <c r="F486" s="7">
        <v>0</v>
      </c>
      <c r="G486" s="7">
        <v>0</v>
      </c>
      <c r="H486" s="7">
        <v>7</v>
      </c>
      <c r="I486" s="7">
        <v>0</v>
      </c>
      <c r="J486" s="7">
        <v>0</v>
      </c>
      <c r="K486" s="7">
        <v>0</v>
      </c>
      <c r="L486" s="7">
        <v>6</v>
      </c>
      <c r="M486" s="7">
        <v>1</v>
      </c>
      <c r="N486" s="7">
        <v>11</v>
      </c>
      <c r="O486" s="7">
        <v>3</v>
      </c>
      <c r="P486" s="7">
        <v>3</v>
      </c>
      <c r="Q486" s="7">
        <v>0</v>
      </c>
      <c r="R486" s="7">
        <v>0</v>
      </c>
      <c r="S486" s="7">
        <v>5</v>
      </c>
      <c r="T486" s="7">
        <v>0</v>
      </c>
      <c r="U486" s="7">
        <v>7</v>
      </c>
      <c r="V486" s="2">
        <f t="shared" si="72"/>
        <v>0.32591744237048592</v>
      </c>
      <c r="W486" s="7">
        <v>50</v>
      </c>
      <c r="X486" s="2">
        <f t="shared" si="65"/>
        <v>50.325917442370489</v>
      </c>
      <c r="Y486" s="2"/>
      <c r="Z486" s="2">
        <f t="shared" si="66"/>
        <v>35</v>
      </c>
      <c r="AA486" s="1">
        <f t="shared" si="67"/>
        <v>20</v>
      </c>
      <c r="AB486" s="1">
        <f t="shared" si="68"/>
        <v>14.285714285714285</v>
      </c>
      <c r="AC486" s="1">
        <f t="shared" si="69"/>
        <v>0</v>
      </c>
      <c r="AD486" s="2">
        <f t="shared" si="70"/>
        <v>1.0294117647058822</v>
      </c>
      <c r="AE486" s="2">
        <f t="shared" si="71"/>
        <v>5.7142857142857153</v>
      </c>
      <c r="AF486" s="2">
        <f t="shared" si="73"/>
        <v>1.6295872118524295</v>
      </c>
    </row>
    <row r="487" spans="1:32" x14ac:dyDescent="0.35">
      <c r="A487" s="2" t="s">
        <v>875</v>
      </c>
      <c r="B487" s="2" t="s">
        <v>390</v>
      </c>
      <c r="C487" s="2">
        <v>34</v>
      </c>
      <c r="D487" s="2">
        <v>3.84</v>
      </c>
      <c r="E487" s="7">
        <v>3</v>
      </c>
      <c r="F487" s="7">
        <v>4</v>
      </c>
      <c r="G487" s="7">
        <v>0</v>
      </c>
      <c r="H487" s="7">
        <v>73</v>
      </c>
      <c r="I487" s="7">
        <v>0</v>
      </c>
      <c r="J487" s="7">
        <v>0</v>
      </c>
      <c r="K487" s="7">
        <v>0</v>
      </c>
      <c r="L487" s="7">
        <v>70</v>
      </c>
      <c r="M487" s="7">
        <v>1</v>
      </c>
      <c r="N487" s="7">
        <v>68</v>
      </c>
      <c r="O487" s="7">
        <v>35</v>
      </c>
      <c r="P487" s="7">
        <v>30</v>
      </c>
      <c r="Q487" s="7">
        <v>5</v>
      </c>
      <c r="R487" s="7">
        <v>2</v>
      </c>
      <c r="S487" s="7">
        <v>21</v>
      </c>
      <c r="T487" s="7">
        <v>3</v>
      </c>
      <c r="U487" s="7">
        <v>58</v>
      </c>
      <c r="V487" s="2">
        <f t="shared" si="72"/>
        <v>25.150657238937651</v>
      </c>
      <c r="W487" s="7">
        <v>50</v>
      </c>
      <c r="X487" s="2">
        <f t="shared" si="65"/>
        <v>75.150657238937654</v>
      </c>
      <c r="Y487" s="2"/>
      <c r="Z487" s="2">
        <f t="shared" si="66"/>
        <v>302</v>
      </c>
      <c r="AA487" s="1">
        <f t="shared" si="67"/>
        <v>19.205298013245034</v>
      </c>
      <c r="AB487" s="1">
        <f t="shared" si="68"/>
        <v>7.6158940397350996</v>
      </c>
      <c r="AC487" s="1">
        <f t="shared" si="69"/>
        <v>1.6556291390728477</v>
      </c>
      <c r="AD487" s="2">
        <f t="shared" si="70"/>
        <v>8.882352941176471</v>
      </c>
      <c r="AE487" s="2">
        <f t="shared" si="71"/>
        <v>11.589403973509935</v>
      </c>
      <c r="AF487" s="2">
        <f t="shared" si="73"/>
        <v>125.75328619468826</v>
      </c>
    </row>
    <row r="488" spans="1:32" x14ac:dyDescent="0.35">
      <c r="A488" s="2" t="s">
        <v>876</v>
      </c>
      <c r="B488" s="2" t="s">
        <v>390</v>
      </c>
      <c r="C488" s="2">
        <v>34</v>
      </c>
      <c r="D488" s="2">
        <v>4.4800000000000004</v>
      </c>
      <c r="E488" s="7">
        <v>1</v>
      </c>
      <c r="F488" s="7">
        <v>2</v>
      </c>
      <c r="G488" s="7">
        <v>0</v>
      </c>
      <c r="H488" s="7">
        <v>59</v>
      </c>
      <c r="I488" s="7">
        <v>0</v>
      </c>
      <c r="J488" s="7">
        <v>0</v>
      </c>
      <c r="K488" s="7">
        <v>0</v>
      </c>
      <c r="L488" s="7">
        <v>60</v>
      </c>
      <c r="M488" s="7">
        <v>1</v>
      </c>
      <c r="N488" s="7">
        <v>42</v>
      </c>
      <c r="O488" s="7">
        <v>34</v>
      </c>
      <c r="P488" s="7">
        <v>30</v>
      </c>
      <c r="Q488" s="7">
        <v>5</v>
      </c>
      <c r="R488" s="7">
        <v>0</v>
      </c>
      <c r="S488" s="7">
        <v>37</v>
      </c>
      <c r="T488" s="7">
        <v>2</v>
      </c>
      <c r="U488" s="7">
        <v>58</v>
      </c>
      <c r="V488" s="2">
        <f t="shared" si="72"/>
        <v>15.690948325031377</v>
      </c>
      <c r="W488" s="7">
        <v>50</v>
      </c>
      <c r="X488" s="2">
        <f t="shared" si="65"/>
        <v>65.690948325031371</v>
      </c>
      <c r="Y488" s="2"/>
      <c r="Z488" s="2">
        <f t="shared" si="66"/>
        <v>260</v>
      </c>
      <c r="AA488" s="1">
        <f t="shared" si="67"/>
        <v>22.30769230769231</v>
      </c>
      <c r="AB488" s="1">
        <f t="shared" si="68"/>
        <v>14.23076923076923</v>
      </c>
      <c r="AC488" s="1">
        <f t="shared" si="69"/>
        <v>1.9230769230769231</v>
      </c>
      <c r="AD488" s="2">
        <f t="shared" si="70"/>
        <v>7.6470588235294121</v>
      </c>
      <c r="AE488" s="2">
        <f t="shared" si="71"/>
        <v>8.0769230769230802</v>
      </c>
      <c r="AF488" s="2">
        <f t="shared" si="73"/>
        <v>78.454741625156885</v>
      </c>
    </row>
    <row r="489" spans="1:32" x14ac:dyDescent="0.35">
      <c r="A489" s="2" t="s">
        <v>877</v>
      </c>
      <c r="B489" s="2" t="s">
        <v>390</v>
      </c>
      <c r="C489" s="2">
        <v>34</v>
      </c>
      <c r="D489" s="2">
        <v>1.99</v>
      </c>
      <c r="E489" s="7">
        <v>2</v>
      </c>
      <c r="F489" s="7">
        <v>0</v>
      </c>
      <c r="G489" s="7">
        <v>0</v>
      </c>
      <c r="H489" s="7">
        <v>30</v>
      </c>
      <c r="I489" s="7">
        <v>0</v>
      </c>
      <c r="J489" s="7">
        <v>0</v>
      </c>
      <c r="K489" s="7">
        <v>0</v>
      </c>
      <c r="L489" s="7">
        <v>31</v>
      </c>
      <c r="M489" s="7">
        <v>2</v>
      </c>
      <c r="N489" s="7">
        <v>25</v>
      </c>
      <c r="O489" s="7">
        <v>11</v>
      </c>
      <c r="P489" s="7">
        <v>7</v>
      </c>
      <c r="Q489" s="7">
        <v>0</v>
      </c>
      <c r="R489" s="7">
        <v>1</v>
      </c>
      <c r="S489" s="7">
        <v>7</v>
      </c>
      <c r="T489" s="7">
        <v>0</v>
      </c>
      <c r="U489" s="7">
        <v>32</v>
      </c>
      <c r="V489" s="2">
        <f t="shared" si="72"/>
        <v>8.5187181582653757</v>
      </c>
      <c r="W489" s="7">
        <v>50</v>
      </c>
      <c r="X489" s="2">
        <f t="shared" si="65"/>
        <v>58.518718158265372</v>
      </c>
      <c r="Y489" s="2"/>
      <c r="Z489" s="2">
        <f t="shared" si="66"/>
        <v>128</v>
      </c>
      <c r="AA489" s="1">
        <f t="shared" si="67"/>
        <v>25</v>
      </c>
      <c r="AB489" s="1">
        <f t="shared" si="68"/>
        <v>6.25</v>
      </c>
      <c r="AC489" s="1">
        <f t="shared" si="69"/>
        <v>0</v>
      </c>
      <c r="AD489" s="2">
        <f t="shared" si="70"/>
        <v>3.7647058823529411</v>
      </c>
      <c r="AE489" s="2">
        <f t="shared" si="71"/>
        <v>18.75</v>
      </c>
      <c r="AF489" s="2">
        <f t="shared" si="73"/>
        <v>42.593590791326882</v>
      </c>
    </row>
    <row r="490" spans="1:32" x14ac:dyDescent="0.35">
      <c r="A490" s="2" t="s">
        <v>878</v>
      </c>
      <c r="B490" s="2" t="s">
        <v>415</v>
      </c>
      <c r="C490" s="2">
        <v>34</v>
      </c>
      <c r="D490" s="2">
        <v>2.88</v>
      </c>
      <c r="E490" s="7">
        <v>2</v>
      </c>
      <c r="F490" s="7">
        <v>4</v>
      </c>
      <c r="G490" s="7">
        <v>32</v>
      </c>
      <c r="H490" s="7">
        <v>70</v>
      </c>
      <c r="I490" s="7">
        <v>0</v>
      </c>
      <c r="J490" s="7">
        <v>0</v>
      </c>
      <c r="K490" s="7">
        <v>0</v>
      </c>
      <c r="L490" s="7">
        <v>68</v>
      </c>
      <c r="M490" s="7">
        <v>2</v>
      </c>
      <c r="N490" s="7">
        <v>41</v>
      </c>
      <c r="O490" s="7">
        <v>26</v>
      </c>
      <c r="P490" s="7">
        <v>22</v>
      </c>
      <c r="Q490" s="7">
        <v>10</v>
      </c>
      <c r="R490" s="7">
        <v>2</v>
      </c>
      <c r="S490" s="7">
        <v>22</v>
      </c>
      <c r="T490" s="7">
        <v>0</v>
      </c>
      <c r="U490" s="7">
        <v>81</v>
      </c>
      <c r="V490" s="2">
        <f t="shared" si="72"/>
        <v>75.293766297308295</v>
      </c>
      <c r="W490" s="7">
        <v>50</v>
      </c>
      <c r="X490" s="2">
        <f t="shared" si="65"/>
        <v>125.2937662973083</v>
      </c>
      <c r="Y490" s="2"/>
      <c r="Z490" s="2">
        <f t="shared" si="66"/>
        <v>271</v>
      </c>
      <c r="AA490" s="1">
        <f t="shared" si="67"/>
        <v>29.889298892988929</v>
      </c>
      <c r="AB490" s="1">
        <f t="shared" si="68"/>
        <v>8.8560885608856079</v>
      </c>
      <c r="AC490" s="1">
        <f t="shared" si="69"/>
        <v>3.6900369003690034</v>
      </c>
      <c r="AD490" s="2">
        <f t="shared" si="70"/>
        <v>7.9705882352941178</v>
      </c>
      <c r="AE490" s="2">
        <f t="shared" si="71"/>
        <v>21.033210332103323</v>
      </c>
      <c r="AF490" s="2">
        <f t="shared" si="73"/>
        <v>376.46883148654149</v>
      </c>
    </row>
    <row r="491" spans="1:32" x14ac:dyDescent="0.35">
      <c r="A491" s="2" t="s">
        <v>879</v>
      </c>
      <c r="B491" s="2" t="s">
        <v>390</v>
      </c>
      <c r="C491" s="2">
        <v>34</v>
      </c>
      <c r="D491" s="2">
        <v>7.71</v>
      </c>
      <c r="E491" s="7">
        <v>0</v>
      </c>
      <c r="F491" s="7">
        <v>0</v>
      </c>
      <c r="G491" s="7">
        <v>0</v>
      </c>
      <c r="H491" s="7">
        <v>15</v>
      </c>
      <c r="I491" s="7">
        <v>0</v>
      </c>
      <c r="J491" s="7">
        <v>0</v>
      </c>
      <c r="K491" s="7">
        <v>0</v>
      </c>
      <c r="L491" s="7">
        <v>21</v>
      </c>
      <c r="N491" s="7">
        <v>32</v>
      </c>
      <c r="O491" s="7">
        <v>20</v>
      </c>
      <c r="P491" s="7">
        <v>18</v>
      </c>
      <c r="Q491" s="7">
        <v>4</v>
      </c>
      <c r="R491" s="7">
        <v>0</v>
      </c>
      <c r="S491" s="7">
        <v>10</v>
      </c>
      <c r="T491" s="7">
        <v>0</v>
      </c>
      <c r="U491" s="7">
        <v>22</v>
      </c>
      <c r="V491" s="2">
        <f t="shared" si="72"/>
        <v>5.5931848592034665</v>
      </c>
      <c r="W491" s="7">
        <v>50</v>
      </c>
      <c r="X491" s="2">
        <f t="shared" si="65"/>
        <v>55.593184859203468</v>
      </c>
      <c r="Y491" s="2"/>
      <c r="Z491" s="2">
        <f t="shared" si="66"/>
        <v>105</v>
      </c>
      <c r="AA491" s="1">
        <f t="shared" si="67"/>
        <v>20.952380952380953</v>
      </c>
      <c r="AB491" s="1">
        <f t="shared" si="68"/>
        <v>9.5238095238095237</v>
      </c>
      <c r="AC491" s="1">
        <f t="shared" si="69"/>
        <v>3.8095238095238098</v>
      </c>
      <c r="AD491" s="2">
        <f t="shared" si="70"/>
        <v>3.0882352941176472</v>
      </c>
      <c r="AE491" s="2">
        <f t="shared" si="71"/>
        <v>11.428571428571429</v>
      </c>
      <c r="AF491" s="2">
        <f t="shared" si="73"/>
        <v>27.965924296017334</v>
      </c>
    </row>
    <row r="492" spans="1:32" x14ac:dyDescent="0.35">
      <c r="A492" s="2" t="s">
        <v>880</v>
      </c>
      <c r="B492" s="2" t="s">
        <v>388</v>
      </c>
      <c r="C492" s="2">
        <v>34</v>
      </c>
      <c r="D492" s="2">
        <v>6.23</v>
      </c>
      <c r="E492" s="7">
        <v>3</v>
      </c>
      <c r="F492" s="7">
        <v>2</v>
      </c>
      <c r="G492" s="7">
        <v>0</v>
      </c>
      <c r="H492" s="7">
        <v>9</v>
      </c>
      <c r="I492" s="7">
        <v>9</v>
      </c>
      <c r="J492" s="7">
        <v>0</v>
      </c>
      <c r="K492" s="7">
        <v>0</v>
      </c>
      <c r="L492" s="7">
        <v>39</v>
      </c>
      <c r="N492" s="7">
        <v>44</v>
      </c>
      <c r="O492" s="7">
        <v>27</v>
      </c>
      <c r="P492" s="7">
        <v>27</v>
      </c>
      <c r="Q492" s="7">
        <v>6</v>
      </c>
      <c r="R492" s="7">
        <v>2</v>
      </c>
      <c r="S492" s="7">
        <v>16</v>
      </c>
      <c r="T492" s="7">
        <v>0</v>
      </c>
      <c r="U492" s="7">
        <v>26</v>
      </c>
      <c r="V492" s="2">
        <f t="shared" si="72"/>
        <v>7.1596356606203342</v>
      </c>
      <c r="W492" s="7">
        <v>50</v>
      </c>
      <c r="X492" s="2">
        <f t="shared" si="65"/>
        <v>57.159635660620332</v>
      </c>
      <c r="Y492" s="2"/>
      <c r="Z492" s="2">
        <f t="shared" si="66"/>
        <v>179</v>
      </c>
      <c r="AA492" s="1">
        <f t="shared" si="67"/>
        <v>14.52513966480447</v>
      </c>
      <c r="AB492" s="1">
        <f t="shared" si="68"/>
        <v>10.05586592178771</v>
      </c>
      <c r="AC492" s="1">
        <f t="shared" si="69"/>
        <v>3.3519553072625698</v>
      </c>
      <c r="AD492" s="2">
        <f t="shared" si="70"/>
        <v>5.2647058823529411</v>
      </c>
      <c r="AE492" s="2">
        <f t="shared" si="71"/>
        <v>4.4692737430167604</v>
      </c>
      <c r="AF492" s="2">
        <f t="shared" si="73"/>
        <v>35.798178303101672</v>
      </c>
    </row>
    <row r="493" spans="1:32" x14ac:dyDescent="0.35">
      <c r="A493" s="2" t="s">
        <v>881</v>
      </c>
      <c r="B493" s="2" t="s">
        <v>390</v>
      </c>
      <c r="C493" s="2">
        <v>34</v>
      </c>
      <c r="D493" s="2">
        <v>3.9</v>
      </c>
      <c r="E493" s="7">
        <v>1</v>
      </c>
      <c r="F493" s="7">
        <v>5</v>
      </c>
      <c r="G493" s="7">
        <v>4</v>
      </c>
      <c r="H493" s="7">
        <v>54</v>
      </c>
      <c r="I493" s="7">
        <v>1</v>
      </c>
      <c r="J493" s="7">
        <v>0</v>
      </c>
      <c r="K493" s="7">
        <v>0</v>
      </c>
      <c r="L493" s="7">
        <v>60</v>
      </c>
      <c r="N493" s="7">
        <v>68</v>
      </c>
      <c r="O493" s="7">
        <v>32</v>
      </c>
      <c r="P493" s="7">
        <v>26</v>
      </c>
      <c r="Q493" s="7">
        <v>2</v>
      </c>
      <c r="R493" s="7">
        <v>4</v>
      </c>
      <c r="S493" s="7">
        <v>18</v>
      </c>
      <c r="T493" s="7">
        <v>3</v>
      </c>
      <c r="U493" s="7">
        <v>49</v>
      </c>
      <c r="V493" s="2">
        <f t="shared" si="72"/>
        <v>12.718481057581405</v>
      </c>
      <c r="W493" s="7">
        <v>50</v>
      </c>
      <c r="X493" s="2">
        <f t="shared" si="65"/>
        <v>62.718481057581407</v>
      </c>
      <c r="Y493" s="2"/>
      <c r="Z493" s="2">
        <f t="shared" si="66"/>
        <v>270</v>
      </c>
      <c r="AA493" s="1">
        <f t="shared" si="67"/>
        <v>18.148148148148149</v>
      </c>
      <c r="AB493" s="1">
        <f t="shared" si="68"/>
        <v>8.1481481481481488</v>
      </c>
      <c r="AC493" s="1">
        <f t="shared" si="69"/>
        <v>0.74074074074074081</v>
      </c>
      <c r="AD493" s="2">
        <f t="shared" si="70"/>
        <v>7.9411764705882355</v>
      </c>
      <c r="AE493" s="2">
        <f t="shared" si="71"/>
        <v>10</v>
      </c>
      <c r="AF493" s="2">
        <f t="shared" si="73"/>
        <v>63.592405287907027</v>
      </c>
    </row>
    <row r="494" spans="1:32" x14ac:dyDescent="0.35">
      <c r="A494" s="2" t="s">
        <v>882</v>
      </c>
      <c r="B494" s="2" t="s">
        <v>390</v>
      </c>
      <c r="C494" s="2">
        <v>35</v>
      </c>
      <c r="D494" s="2">
        <v>6.11</v>
      </c>
      <c r="E494" s="7">
        <v>1</v>
      </c>
      <c r="F494" s="7">
        <v>1</v>
      </c>
      <c r="G494" s="7">
        <v>0</v>
      </c>
      <c r="H494" s="7">
        <v>21</v>
      </c>
      <c r="I494" s="7">
        <v>0</v>
      </c>
      <c r="J494" s="7">
        <v>0</v>
      </c>
      <c r="K494" s="7">
        <v>0</v>
      </c>
      <c r="L494" s="7">
        <v>17</v>
      </c>
      <c r="M494" s="7">
        <v>2</v>
      </c>
      <c r="N494" s="7">
        <v>23</v>
      </c>
      <c r="O494" s="7">
        <v>12</v>
      </c>
      <c r="P494" s="7">
        <v>12</v>
      </c>
      <c r="Q494" s="7">
        <v>5</v>
      </c>
      <c r="R494" s="7">
        <v>1</v>
      </c>
      <c r="S494" s="7">
        <v>9</v>
      </c>
      <c r="T494" s="7">
        <v>0</v>
      </c>
      <c r="U494" s="7">
        <v>8</v>
      </c>
      <c r="V494" s="2">
        <f t="shared" si="72"/>
        <v>7.2101956148044391E-2</v>
      </c>
      <c r="W494" s="7">
        <v>50</v>
      </c>
      <c r="X494" s="2">
        <f t="shared" si="65"/>
        <v>50.072101956148046</v>
      </c>
      <c r="Y494" s="2"/>
      <c r="Z494" s="2">
        <f t="shared" si="66"/>
        <v>86</v>
      </c>
      <c r="AA494" s="1">
        <f t="shared" si="67"/>
        <v>9.3023255813953494</v>
      </c>
      <c r="AB494" s="1">
        <f t="shared" si="68"/>
        <v>11.627906976744185</v>
      </c>
      <c r="AC494" s="1">
        <f t="shared" si="69"/>
        <v>5.8139534883720927</v>
      </c>
      <c r="AD494" s="2">
        <f t="shared" si="70"/>
        <v>2.4571428571428573</v>
      </c>
      <c r="AE494" s="2">
        <f t="shared" si="71"/>
        <v>-2.325581395348836</v>
      </c>
      <c r="AF494" s="2">
        <f t="shared" si="73"/>
        <v>0.36050978074022194</v>
      </c>
    </row>
    <row r="495" spans="1:32" x14ac:dyDescent="0.35">
      <c r="A495" s="2" t="s">
        <v>883</v>
      </c>
      <c r="B495" s="2" t="s">
        <v>388</v>
      </c>
      <c r="C495" s="2">
        <v>35</v>
      </c>
      <c r="D495" s="2">
        <v>4.5599999999999996</v>
      </c>
      <c r="E495" s="7">
        <v>2</v>
      </c>
      <c r="F495" s="7">
        <v>8</v>
      </c>
      <c r="G495" s="7">
        <v>0</v>
      </c>
      <c r="H495" s="7">
        <v>26</v>
      </c>
      <c r="I495" s="7">
        <v>26</v>
      </c>
      <c r="J495" s="7">
        <v>0</v>
      </c>
      <c r="K495" s="7">
        <v>0</v>
      </c>
      <c r="L495" s="7">
        <v>136</v>
      </c>
      <c r="M495" s="7">
        <v>1</v>
      </c>
      <c r="N495" s="7">
        <v>135</v>
      </c>
      <c r="O495" s="7">
        <v>73</v>
      </c>
      <c r="P495" s="7">
        <v>69</v>
      </c>
      <c r="Q495" s="7">
        <v>28</v>
      </c>
      <c r="R495" s="7">
        <v>3</v>
      </c>
      <c r="S495" s="7">
        <v>57</v>
      </c>
      <c r="T495" s="7">
        <v>4</v>
      </c>
      <c r="U495" s="7">
        <v>104</v>
      </c>
      <c r="V495" s="2">
        <f t="shared" si="72"/>
        <v>104.68755047505235</v>
      </c>
      <c r="W495" s="7">
        <v>50</v>
      </c>
      <c r="X495" s="2">
        <f t="shared" si="65"/>
        <v>154.68755047505235</v>
      </c>
      <c r="Y495" s="2"/>
      <c r="Z495" s="2">
        <f t="shared" si="66"/>
        <v>604</v>
      </c>
      <c r="AA495" s="1">
        <f t="shared" si="67"/>
        <v>17.218543046357617</v>
      </c>
      <c r="AB495" s="1">
        <f t="shared" si="68"/>
        <v>9.9337748344370862</v>
      </c>
      <c r="AC495" s="1">
        <f t="shared" si="69"/>
        <v>4.6357615894039732</v>
      </c>
      <c r="AD495" s="2">
        <f t="shared" si="70"/>
        <v>17.257142857142856</v>
      </c>
      <c r="AE495" s="2">
        <f t="shared" si="71"/>
        <v>7.2847682119205306</v>
      </c>
      <c r="AF495" s="2">
        <f t="shared" si="73"/>
        <v>523.43775237526177</v>
      </c>
    </row>
    <row r="496" spans="1:32" x14ac:dyDescent="0.35">
      <c r="A496" s="2" t="s">
        <v>884</v>
      </c>
      <c r="B496" s="2" t="s">
        <v>390</v>
      </c>
      <c r="C496" s="2">
        <v>35</v>
      </c>
      <c r="D496" s="2">
        <v>9</v>
      </c>
      <c r="E496" s="7">
        <v>0</v>
      </c>
      <c r="F496" s="7">
        <v>1</v>
      </c>
      <c r="G496" s="7">
        <v>0</v>
      </c>
      <c r="H496" s="7">
        <v>6</v>
      </c>
      <c r="I496" s="7">
        <v>0</v>
      </c>
      <c r="J496" s="7">
        <v>0</v>
      </c>
      <c r="K496" s="7">
        <v>0</v>
      </c>
      <c r="L496" s="7">
        <v>8</v>
      </c>
      <c r="N496" s="7">
        <v>10</v>
      </c>
      <c r="O496" s="7">
        <v>9</v>
      </c>
      <c r="P496" s="7">
        <v>8</v>
      </c>
      <c r="Q496" s="7">
        <v>1</v>
      </c>
      <c r="R496" s="7">
        <v>0</v>
      </c>
      <c r="S496" s="7">
        <v>3</v>
      </c>
      <c r="T496" s="7">
        <v>0</v>
      </c>
      <c r="U496" s="7">
        <v>5</v>
      </c>
      <c r="V496" s="2">
        <f t="shared" si="72"/>
        <v>0.56213911871054723</v>
      </c>
      <c r="W496" s="7">
        <v>50</v>
      </c>
      <c r="X496" s="2">
        <f t="shared" si="65"/>
        <v>50.562139118710547</v>
      </c>
      <c r="Y496" s="2"/>
      <c r="Z496" s="2">
        <f t="shared" si="66"/>
        <v>37</v>
      </c>
      <c r="AA496" s="1">
        <f t="shared" si="67"/>
        <v>13.513513513513514</v>
      </c>
      <c r="AB496" s="1">
        <f t="shared" si="68"/>
        <v>8.1081081081081088</v>
      </c>
      <c r="AC496" s="1">
        <f t="shared" si="69"/>
        <v>2.7027027027027026</v>
      </c>
      <c r="AD496" s="2">
        <f t="shared" si="70"/>
        <v>1.0571428571428572</v>
      </c>
      <c r="AE496" s="2">
        <f t="shared" si="71"/>
        <v>5.4054054054054053</v>
      </c>
      <c r="AF496" s="2">
        <f t="shared" si="73"/>
        <v>2.8106955935527362</v>
      </c>
    </row>
    <row r="497" spans="1:32" x14ac:dyDescent="0.35">
      <c r="A497" s="2" t="s">
        <v>885</v>
      </c>
      <c r="B497" s="2" t="s">
        <v>390</v>
      </c>
      <c r="C497" s="2">
        <v>35</v>
      </c>
      <c r="D497" s="2">
        <v>7.71</v>
      </c>
      <c r="E497" s="7">
        <v>1</v>
      </c>
      <c r="F497" s="7">
        <v>1</v>
      </c>
      <c r="G497" s="7">
        <v>0</v>
      </c>
      <c r="H497" s="7">
        <v>22</v>
      </c>
      <c r="I497" s="7">
        <v>0</v>
      </c>
      <c r="J497" s="7">
        <v>0</v>
      </c>
      <c r="K497" s="7">
        <v>0</v>
      </c>
      <c r="L497" s="7">
        <v>23</v>
      </c>
      <c r="M497" s="7">
        <v>1</v>
      </c>
      <c r="N497" s="7">
        <v>28</v>
      </c>
      <c r="O497" s="7">
        <v>23</v>
      </c>
      <c r="P497" s="7">
        <v>20</v>
      </c>
      <c r="Q497" s="7">
        <v>5</v>
      </c>
      <c r="R497" s="7">
        <v>4</v>
      </c>
      <c r="S497" s="7">
        <v>12</v>
      </c>
      <c r="T497" s="7">
        <v>0</v>
      </c>
      <c r="U497" s="7">
        <v>26</v>
      </c>
      <c r="V497" s="2">
        <f t="shared" si="72"/>
        <v>5.4740415983445736</v>
      </c>
      <c r="W497" s="7">
        <v>50</v>
      </c>
      <c r="X497" s="2">
        <f t="shared" si="65"/>
        <v>55.47404159834457</v>
      </c>
      <c r="Y497" s="2"/>
      <c r="Z497" s="2">
        <f t="shared" si="66"/>
        <v>114</v>
      </c>
      <c r="AA497" s="1">
        <f t="shared" si="67"/>
        <v>22.807017543859647</v>
      </c>
      <c r="AB497" s="1">
        <f t="shared" si="68"/>
        <v>14.035087719298245</v>
      </c>
      <c r="AC497" s="1">
        <f t="shared" si="69"/>
        <v>4.3859649122807012</v>
      </c>
      <c r="AD497" s="2">
        <f t="shared" si="70"/>
        <v>3.2571428571428571</v>
      </c>
      <c r="AE497" s="2">
        <f t="shared" si="71"/>
        <v>8.7719298245614024</v>
      </c>
      <c r="AF497" s="2">
        <f t="shared" si="73"/>
        <v>27.370207991722868</v>
      </c>
    </row>
    <row r="498" spans="1:32" x14ac:dyDescent="0.35">
      <c r="A498" s="2" t="s">
        <v>886</v>
      </c>
      <c r="B498" s="2" t="s">
        <v>390</v>
      </c>
      <c r="C498" s="2">
        <v>35</v>
      </c>
      <c r="D498" s="2">
        <v>2.2999999999999998</v>
      </c>
      <c r="E498" s="7">
        <v>2</v>
      </c>
      <c r="F498" s="7">
        <v>1</v>
      </c>
      <c r="G498" s="7">
        <v>2</v>
      </c>
      <c r="H498" s="7">
        <v>55</v>
      </c>
      <c r="I498" s="7">
        <v>1</v>
      </c>
      <c r="J498" s="7">
        <v>0</v>
      </c>
      <c r="K498" s="7">
        <v>0</v>
      </c>
      <c r="L498" s="7">
        <v>43</v>
      </c>
      <c r="N498" s="7">
        <v>32</v>
      </c>
      <c r="O498" s="7">
        <v>11</v>
      </c>
      <c r="P498" s="7">
        <v>11</v>
      </c>
      <c r="Q498" s="7">
        <v>3</v>
      </c>
      <c r="R498" s="7">
        <v>0</v>
      </c>
      <c r="S498" s="7">
        <v>18</v>
      </c>
      <c r="T498" s="7">
        <v>0</v>
      </c>
      <c r="U498" s="7">
        <v>43</v>
      </c>
      <c r="V498" s="2">
        <f t="shared" si="72"/>
        <v>22.707296872598924</v>
      </c>
      <c r="W498" s="7">
        <v>50</v>
      </c>
      <c r="X498" s="2">
        <f t="shared" si="65"/>
        <v>72.707296872598931</v>
      </c>
      <c r="Y498" s="2"/>
      <c r="Z498" s="2">
        <f t="shared" si="66"/>
        <v>179</v>
      </c>
      <c r="AA498" s="1">
        <f t="shared" si="67"/>
        <v>24.022346368715084</v>
      </c>
      <c r="AB498" s="1">
        <f t="shared" si="68"/>
        <v>10.05586592178771</v>
      </c>
      <c r="AC498" s="1">
        <f t="shared" si="69"/>
        <v>1.6759776536312849</v>
      </c>
      <c r="AD498" s="2">
        <f t="shared" si="70"/>
        <v>5.1142857142857139</v>
      </c>
      <c r="AE498" s="2">
        <f t="shared" si="71"/>
        <v>13.966480446927374</v>
      </c>
      <c r="AF498" s="2">
        <f t="shared" si="73"/>
        <v>113.53648436299463</v>
      </c>
    </row>
    <row r="499" spans="1:32" x14ac:dyDescent="0.35">
      <c r="A499" s="2" t="s">
        <v>887</v>
      </c>
      <c r="B499" s="2" t="s">
        <v>390</v>
      </c>
      <c r="C499" s="2">
        <v>35</v>
      </c>
      <c r="D499" s="2">
        <v>5.12</v>
      </c>
      <c r="E499" s="7">
        <v>1</v>
      </c>
      <c r="F499" s="7">
        <v>2</v>
      </c>
      <c r="G499" s="7">
        <v>2</v>
      </c>
      <c r="H499" s="7">
        <v>13</v>
      </c>
      <c r="I499" s="7">
        <v>4</v>
      </c>
      <c r="J499" s="7">
        <v>0</v>
      </c>
      <c r="K499" s="7">
        <v>0</v>
      </c>
      <c r="L499" s="7">
        <v>38</v>
      </c>
      <c r="M499" s="7">
        <v>2</v>
      </c>
      <c r="N499" s="7">
        <v>37</v>
      </c>
      <c r="O499" s="7">
        <v>23</v>
      </c>
      <c r="P499" s="7">
        <v>22</v>
      </c>
      <c r="Q499" s="7">
        <v>11</v>
      </c>
      <c r="R499" s="7">
        <v>5</v>
      </c>
      <c r="S499" s="7">
        <v>12</v>
      </c>
      <c r="T499" s="7">
        <v>2</v>
      </c>
      <c r="U499" s="7">
        <v>36</v>
      </c>
      <c r="V499" s="2">
        <f t="shared" si="72"/>
        <v>22.72621548619448</v>
      </c>
      <c r="W499" s="7">
        <v>50</v>
      </c>
      <c r="X499" s="2">
        <f t="shared" si="65"/>
        <v>72.726215486194477</v>
      </c>
      <c r="Y499" s="2"/>
      <c r="Z499" s="2">
        <f t="shared" si="66"/>
        <v>170</v>
      </c>
      <c r="AA499" s="1">
        <f t="shared" si="67"/>
        <v>21.176470588235293</v>
      </c>
      <c r="AB499" s="1">
        <f t="shared" si="68"/>
        <v>10</v>
      </c>
      <c r="AC499" s="1">
        <f t="shared" si="69"/>
        <v>6.4705882352941186</v>
      </c>
      <c r="AD499" s="2">
        <f t="shared" si="70"/>
        <v>4.8571428571428568</v>
      </c>
      <c r="AE499" s="2">
        <f t="shared" si="71"/>
        <v>11.176470588235293</v>
      </c>
      <c r="AF499" s="2">
        <f t="shared" si="73"/>
        <v>113.6310774309724</v>
      </c>
    </row>
    <row r="500" spans="1:32" x14ac:dyDescent="0.35">
      <c r="A500" s="2" t="s">
        <v>888</v>
      </c>
      <c r="B500" s="2" t="s">
        <v>390</v>
      </c>
      <c r="C500" s="2">
        <v>35</v>
      </c>
      <c r="D500" s="2">
        <v>5.4</v>
      </c>
      <c r="E500" s="7">
        <v>0</v>
      </c>
      <c r="F500" s="7">
        <v>1</v>
      </c>
      <c r="G500" s="7">
        <v>0</v>
      </c>
      <c r="H500" s="7">
        <v>3</v>
      </c>
      <c r="I500" s="7">
        <v>0</v>
      </c>
      <c r="J500" s="7">
        <v>0</v>
      </c>
      <c r="K500" s="7">
        <v>0</v>
      </c>
      <c r="L500" s="7">
        <v>5</v>
      </c>
      <c r="N500" s="7">
        <v>6</v>
      </c>
      <c r="O500" s="7">
        <v>4</v>
      </c>
      <c r="P500" s="7">
        <v>3</v>
      </c>
      <c r="Q500" s="7">
        <v>1</v>
      </c>
      <c r="R500" s="7">
        <v>1</v>
      </c>
      <c r="S500" s="7">
        <v>5</v>
      </c>
      <c r="T500" s="7">
        <v>3</v>
      </c>
      <c r="U500" s="7">
        <v>3</v>
      </c>
      <c r="V500" s="2">
        <f t="shared" si="72"/>
        <v>-1.3895658016292933</v>
      </c>
      <c r="W500" s="7">
        <v>50</v>
      </c>
      <c r="X500" s="2">
        <f t="shared" si="65"/>
        <v>48.610434198370704</v>
      </c>
      <c r="Y500" s="2"/>
      <c r="Z500" s="2">
        <f t="shared" si="66"/>
        <v>27</v>
      </c>
      <c r="AA500" s="1">
        <f t="shared" si="67"/>
        <v>11.111111111111111</v>
      </c>
      <c r="AB500" s="1">
        <f t="shared" si="68"/>
        <v>22.222222222222221</v>
      </c>
      <c r="AC500" s="1">
        <f t="shared" si="69"/>
        <v>3.7037037037037033</v>
      </c>
      <c r="AD500" s="2">
        <f t="shared" si="70"/>
        <v>0.77142857142857146</v>
      </c>
      <c r="AE500" s="2">
        <f t="shared" si="71"/>
        <v>-11.111111111111111</v>
      </c>
      <c r="AF500" s="2">
        <f t="shared" si="73"/>
        <v>-6.9478290081464671</v>
      </c>
    </row>
    <row r="501" spans="1:32" x14ac:dyDescent="0.35">
      <c r="A501" s="2" t="s">
        <v>889</v>
      </c>
      <c r="B501" s="2" t="s">
        <v>388</v>
      </c>
      <c r="C501" s="2">
        <v>35</v>
      </c>
      <c r="D501" s="2">
        <v>4.76</v>
      </c>
      <c r="E501" s="7">
        <v>8</v>
      </c>
      <c r="F501" s="7">
        <v>10</v>
      </c>
      <c r="G501" s="7">
        <v>0</v>
      </c>
      <c r="H501" s="7">
        <v>31</v>
      </c>
      <c r="I501" s="7">
        <v>31</v>
      </c>
      <c r="J501" s="7">
        <v>0</v>
      </c>
      <c r="K501" s="7">
        <v>0</v>
      </c>
      <c r="L501" s="7">
        <v>164</v>
      </c>
      <c r="M501" s="7">
        <v>2</v>
      </c>
      <c r="N501" s="7">
        <v>167</v>
      </c>
      <c r="O501" s="7">
        <v>92</v>
      </c>
      <c r="P501" s="7">
        <v>87</v>
      </c>
      <c r="Q501" s="7">
        <v>25</v>
      </c>
      <c r="R501" s="7">
        <v>5</v>
      </c>
      <c r="S501" s="7">
        <v>43</v>
      </c>
      <c r="T501" s="7">
        <v>3</v>
      </c>
      <c r="U501" s="7">
        <v>114</v>
      </c>
      <c r="V501" s="2">
        <f t="shared" si="72"/>
        <v>113.89842234697626</v>
      </c>
      <c r="W501" s="7">
        <v>50</v>
      </c>
      <c r="X501" s="2">
        <f t="shared" si="65"/>
        <v>163.89842234697625</v>
      </c>
      <c r="Y501" s="2"/>
      <c r="Z501" s="2">
        <f t="shared" si="66"/>
        <v>709</v>
      </c>
      <c r="AA501" s="1">
        <f t="shared" si="67"/>
        <v>16.078984485190411</v>
      </c>
      <c r="AB501" s="1">
        <f t="shared" si="68"/>
        <v>6.7700987306064881</v>
      </c>
      <c r="AC501" s="1">
        <f t="shared" si="69"/>
        <v>3.5260930888575457</v>
      </c>
      <c r="AD501" s="2">
        <f t="shared" si="70"/>
        <v>20.257142857142856</v>
      </c>
      <c r="AE501" s="2">
        <f t="shared" si="71"/>
        <v>9.3088857545839225</v>
      </c>
      <c r="AF501" s="2">
        <f t="shared" si="73"/>
        <v>569.49211173488129</v>
      </c>
    </row>
    <row r="502" spans="1:32" x14ac:dyDescent="0.35">
      <c r="A502" s="2" t="s">
        <v>890</v>
      </c>
      <c r="B502" s="2" t="s">
        <v>390</v>
      </c>
      <c r="C502" s="2">
        <v>35</v>
      </c>
      <c r="D502" s="2">
        <v>4.43</v>
      </c>
      <c r="E502" s="7">
        <v>1</v>
      </c>
      <c r="F502" s="7">
        <v>5</v>
      </c>
      <c r="G502" s="7">
        <v>9</v>
      </c>
      <c r="H502" s="7">
        <v>66</v>
      </c>
      <c r="I502" s="7">
        <v>0</v>
      </c>
      <c r="J502" s="7">
        <v>0</v>
      </c>
      <c r="K502" s="7">
        <v>0</v>
      </c>
      <c r="L502" s="7">
        <v>63</v>
      </c>
      <c r="N502" s="7">
        <v>51</v>
      </c>
      <c r="O502" s="7">
        <v>32</v>
      </c>
      <c r="P502" s="7">
        <v>31</v>
      </c>
      <c r="Q502" s="7">
        <v>8</v>
      </c>
      <c r="R502" s="7">
        <v>1</v>
      </c>
      <c r="S502" s="7">
        <v>31</v>
      </c>
      <c r="T502" s="7">
        <v>0</v>
      </c>
      <c r="U502" s="7">
        <v>50</v>
      </c>
      <c r="V502" s="2">
        <f t="shared" si="72"/>
        <v>19.896922380690423</v>
      </c>
      <c r="W502" s="7">
        <v>50</v>
      </c>
      <c r="X502" s="2">
        <f t="shared" si="65"/>
        <v>69.896922380690427</v>
      </c>
      <c r="Y502" s="2"/>
      <c r="Z502" s="2">
        <f t="shared" si="66"/>
        <v>272</v>
      </c>
      <c r="AA502" s="1">
        <f t="shared" si="67"/>
        <v>18.382352941176471</v>
      </c>
      <c r="AB502" s="1">
        <f t="shared" si="68"/>
        <v>11.76470588235294</v>
      </c>
      <c r="AC502" s="1">
        <f t="shared" si="69"/>
        <v>2.9411764705882351</v>
      </c>
      <c r="AD502" s="2">
        <f t="shared" si="70"/>
        <v>7.7714285714285714</v>
      </c>
      <c r="AE502" s="2">
        <f t="shared" si="71"/>
        <v>6.6176470588235308</v>
      </c>
      <c r="AF502" s="2">
        <f t="shared" si="73"/>
        <v>99.484611903452119</v>
      </c>
    </row>
    <row r="503" spans="1:32" x14ac:dyDescent="0.35">
      <c r="A503" s="2" t="s">
        <v>891</v>
      </c>
      <c r="B503" s="2" t="s">
        <v>390</v>
      </c>
      <c r="C503" s="2">
        <v>35</v>
      </c>
      <c r="D503" s="2">
        <v>0</v>
      </c>
      <c r="E503" s="7">
        <v>0</v>
      </c>
      <c r="F503" s="7">
        <v>0</v>
      </c>
      <c r="G503" s="7">
        <v>0</v>
      </c>
      <c r="H503" s="7">
        <v>2</v>
      </c>
      <c r="I503" s="7">
        <v>0</v>
      </c>
      <c r="J503" s="7">
        <v>0</v>
      </c>
      <c r="K503" s="7">
        <v>0</v>
      </c>
      <c r="L503" s="7">
        <v>1</v>
      </c>
      <c r="M503" s="7">
        <v>2</v>
      </c>
      <c r="N503" s="7">
        <v>1</v>
      </c>
      <c r="O503" s="7">
        <v>0</v>
      </c>
      <c r="P503" s="7">
        <v>0</v>
      </c>
      <c r="Q503" s="7">
        <v>0</v>
      </c>
      <c r="R503" s="7">
        <v>0</v>
      </c>
      <c r="S503" s="7">
        <v>1</v>
      </c>
      <c r="T503" s="7">
        <v>0</v>
      </c>
      <c r="U503" s="7">
        <v>0</v>
      </c>
      <c r="V503" s="2" t="e">
        <f t="shared" si="72"/>
        <v>#DIV/0!</v>
      </c>
      <c r="W503" s="7">
        <v>50</v>
      </c>
      <c r="X503" s="2" t="e">
        <f t="shared" si="65"/>
        <v>#DIV/0!</v>
      </c>
      <c r="Y503" s="2"/>
      <c r="Z503" s="2">
        <f t="shared" si="66"/>
        <v>7</v>
      </c>
      <c r="AA503" s="1">
        <f t="shared" si="67"/>
        <v>0</v>
      </c>
      <c r="AB503" s="1">
        <f t="shared" si="68"/>
        <v>14.285714285714285</v>
      </c>
      <c r="AC503" s="1">
        <f t="shared" si="69"/>
        <v>0</v>
      </c>
      <c r="AD503" s="2">
        <f t="shared" si="70"/>
        <v>0.2</v>
      </c>
      <c r="AE503" s="2">
        <f t="shared" si="71"/>
        <v>-14.285714285714285</v>
      </c>
      <c r="AF503" s="2" t="e">
        <f t="shared" si="73"/>
        <v>#DIV/0!</v>
      </c>
    </row>
    <row r="504" spans="1:32" x14ac:dyDescent="0.35">
      <c r="A504" s="2" t="s">
        <v>892</v>
      </c>
      <c r="B504" s="2" t="s">
        <v>390</v>
      </c>
      <c r="C504" s="2">
        <v>35</v>
      </c>
      <c r="D504" s="2">
        <v>6.75</v>
      </c>
      <c r="E504" s="7">
        <v>0</v>
      </c>
      <c r="F504" s="7">
        <v>0</v>
      </c>
      <c r="G504" s="7">
        <v>0</v>
      </c>
      <c r="H504" s="7">
        <v>13</v>
      </c>
      <c r="I504" s="7">
        <v>0</v>
      </c>
      <c r="J504" s="7">
        <v>0</v>
      </c>
      <c r="K504" s="7">
        <v>0</v>
      </c>
      <c r="L504" s="7">
        <v>16</v>
      </c>
      <c r="N504" s="7">
        <v>18</v>
      </c>
      <c r="O504" s="7">
        <v>12</v>
      </c>
      <c r="P504" s="7">
        <v>12</v>
      </c>
      <c r="Q504" s="7">
        <v>4</v>
      </c>
      <c r="R504" s="7">
        <v>1</v>
      </c>
      <c r="S504" s="7">
        <v>7</v>
      </c>
      <c r="T504" s="7">
        <v>0</v>
      </c>
      <c r="U504" s="7">
        <v>16</v>
      </c>
      <c r="V504" s="2">
        <f t="shared" si="72"/>
        <v>5.1864514310228591</v>
      </c>
      <c r="W504" s="7">
        <v>50</v>
      </c>
      <c r="X504" s="2">
        <f t="shared" si="65"/>
        <v>55.18645143102286</v>
      </c>
      <c r="Y504" s="2"/>
      <c r="Z504" s="2">
        <f t="shared" si="66"/>
        <v>74</v>
      </c>
      <c r="AA504" s="1">
        <f t="shared" si="67"/>
        <v>21.621621621621621</v>
      </c>
      <c r="AB504" s="1">
        <f t="shared" si="68"/>
        <v>10.810810810810811</v>
      </c>
      <c r="AC504" s="1">
        <f t="shared" si="69"/>
        <v>5.4054054054054053</v>
      </c>
      <c r="AD504" s="2">
        <f t="shared" si="70"/>
        <v>2.1142857142857143</v>
      </c>
      <c r="AE504" s="2">
        <f t="shared" si="71"/>
        <v>10.810810810810811</v>
      </c>
      <c r="AF504" s="2">
        <f t="shared" si="73"/>
        <v>25.932257155114296</v>
      </c>
    </row>
    <row r="505" spans="1:32" x14ac:dyDescent="0.35">
      <c r="A505" s="2" t="s">
        <v>893</v>
      </c>
      <c r="B505" s="2" t="s">
        <v>390</v>
      </c>
      <c r="C505" s="2">
        <v>35</v>
      </c>
      <c r="D505" s="2">
        <v>2.4500000000000002</v>
      </c>
      <c r="E505" s="7">
        <v>0</v>
      </c>
      <c r="F505" s="7">
        <v>1</v>
      </c>
      <c r="G505" s="7">
        <v>1</v>
      </c>
      <c r="H505" s="7">
        <v>9</v>
      </c>
      <c r="I505" s="7">
        <v>0</v>
      </c>
      <c r="J505" s="7">
        <v>0</v>
      </c>
      <c r="K505" s="7">
        <v>0</v>
      </c>
      <c r="L505" s="7">
        <v>11</v>
      </c>
      <c r="N505" s="7">
        <v>10</v>
      </c>
      <c r="O505" s="7">
        <v>4</v>
      </c>
      <c r="P505" s="7">
        <v>3</v>
      </c>
      <c r="Q505" s="7">
        <v>2</v>
      </c>
      <c r="R505" s="7">
        <v>0</v>
      </c>
      <c r="S505" s="7">
        <v>2</v>
      </c>
      <c r="T505" s="7">
        <v>1</v>
      </c>
      <c r="U505" s="7">
        <v>5</v>
      </c>
      <c r="V505" s="2">
        <f t="shared" si="72"/>
        <v>4.5442176870748296</v>
      </c>
      <c r="W505" s="7">
        <v>50</v>
      </c>
      <c r="X505" s="2">
        <f t="shared" si="65"/>
        <v>54.544217687074827</v>
      </c>
      <c r="Y505" s="2"/>
      <c r="Z505" s="2">
        <f t="shared" si="66"/>
        <v>45</v>
      </c>
      <c r="AA505" s="1">
        <f t="shared" si="67"/>
        <v>11.111111111111111</v>
      </c>
      <c r="AB505" s="1">
        <f t="shared" si="68"/>
        <v>4.4444444444444446</v>
      </c>
      <c r="AC505" s="1">
        <f t="shared" si="69"/>
        <v>4.4444444444444446</v>
      </c>
      <c r="AD505" s="2">
        <f t="shared" si="70"/>
        <v>1.2857142857142858</v>
      </c>
      <c r="AE505" s="2">
        <f t="shared" si="71"/>
        <v>6.6666666666666661</v>
      </c>
      <c r="AF505" s="2">
        <f t="shared" si="73"/>
        <v>22.721088435374149</v>
      </c>
    </row>
    <row r="506" spans="1:32" x14ac:dyDescent="0.35">
      <c r="A506" s="2" t="s">
        <v>894</v>
      </c>
      <c r="B506" s="2" t="s">
        <v>390</v>
      </c>
      <c r="C506" s="2">
        <v>35</v>
      </c>
      <c r="D506" s="2">
        <v>4.58</v>
      </c>
      <c r="E506" s="7">
        <v>1</v>
      </c>
      <c r="F506" s="7">
        <v>1</v>
      </c>
      <c r="G506" s="7">
        <v>2</v>
      </c>
      <c r="H506" s="7">
        <v>22</v>
      </c>
      <c r="I506" s="7">
        <v>0</v>
      </c>
      <c r="J506" s="7">
        <v>0</v>
      </c>
      <c r="K506" s="7">
        <v>0</v>
      </c>
      <c r="L506" s="7">
        <v>19</v>
      </c>
      <c r="M506" s="7">
        <v>2</v>
      </c>
      <c r="N506" s="7">
        <v>18</v>
      </c>
      <c r="O506" s="7">
        <v>11</v>
      </c>
      <c r="P506" s="7">
        <v>10</v>
      </c>
      <c r="Q506" s="7">
        <v>4</v>
      </c>
      <c r="R506" s="7">
        <v>0</v>
      </c>
      <c r="S506" s="7">
        <v>6</v>
      </c>
      <c r="T506" s="7">
        <v>0</v>
      </c>
      <c r="U506" s="7">
        <v>20</v>
      </c>
      <c r="V506" s="2">
        <f t="shared" si="72"/>
        <v>11.593746664762609</v>
      </c>
      <c r="W506" s="7">
        <v>50</v>
      </c>
      <c r="X506" s="2">
        <f t="shared" si="65"/>
        <v>61.593746664762605</v>
      </c>
      <c r="Y506" s="2"/>
      <c r="Z506" s="2">
        <f t="shared" si="66"/>
        <v>83</v>
      </c>
      <c r="AA506" s="1">
        <f t="shared" si="67"/>
        <v>24.096385542168676</v>
      </c>
      <c r="AB506" s="1">
        <f t="shared" si="68"/>
        <v>7.2289156626506017</v>
      </c>
      <c r="AC506" s="1">
        <f t="shared" si="69"/>
        <v>4.8192771084337354</v>
      </c>
      <c r="AD506" s="2">
        <f t="shared" si="70"/>
        <v>2.3714285714285714</v>
      </c>
      <c r="AE506" s="2">
        <f t="shared" si="71"/>
        <v>16.867469879518076</v>
      </c>
      <c r="AF506" s="2">
        <f t="shared" si="73"/>
        <v>57.968733323813041</v>
      </c>
    </row>
    <row r="507" spans="1:32" x14ac:dyDescent="0.35">
      <c r="A507" s="2" t="s">
        <v>895</v>
      </c>
      <c r="B507" s="2" t="s">
        <v>390</v>
      </c>
      <c r="C507" s="2">
        <v>35</v>
      </c>
      <c r="D507" s="2">
        <v>10.130000000000001</v>
      </c>
      <c r="E507" s="7">
        <v>0</v>
      </c>
      <c r="F507" s="7">
        <v>0</v>
      </c>
      <c r="G507" s="7">
        <v>0</v>
      </c>
      <c r="H507" s="7">
        <v>2</v>
      </c>
      <c r="I507" s="7">
        <v>0</v>
      </c>
      <c r="J507" s="7">
        <v>0</v>
      </c>
      <c r="K507" s="7">
        <v>0</v>
      </c>
      <c r="L507" s="7">
        <v>2</v>
      </c>
      <c r="M507" s="7">
        <v>2</v>
      </c>
      <c r="N507" s="7">
        <v>4</v>
      </c>
      <c r="O507" s="7">
        <v>3</v>
      </c>
      <c r="P507" s="7">
        <v>3</v>
      </c>
      <c r="Q507" s="7">
        <v>1</v>
      </c>
      <c r="R507" s="7">
        <v>0</v>
      </c>
      <c r="S507" s="7">
        <v>4</v>
      </c>
      <c r="T507" s="7">
        <v>0</v>
      </c>
      <c r="U507" s="7">
        <v>1</v>
      </c>
      <c r="V507" s="2">
        <f t="shared" si="72"/>
        <v>-1.1969941777303221</v>
      </c>
      <c r="W507" s="7">
        <v>50</v>
      </c>
      <c r="X507" s="2">
        <f t="shared" si="65"/>
        <v>48.803005822269675</v>
      </c>
      <c r="Y507" s="2"/>
      <c r="Z507" s="2">
        <f t="shared" si="66"/>
        <v>16</v>
      </c>
      <c r="AA507" s="1">
        <f t="shared" si="67"/>
        <v>6.25</v>
      </c>
      <c r="AB507" s="1">
        <f t="shared" si="68"/>
        <v>25</v>
      </c>
      <c r="AC507" s="1">
        <f t="shared" si="69"/>
        <v>6.25</v>
      </c>
      <c r="AD507" s="2">
        <f t="shared" si="70"/>
        <v>0.45714285714285713</v>
      </c>
      <c r="AE507" s="2">
        <f t="shared" si="71"/>
        <v>-18.75</v>
      </c>
      <c r="AF507" s="2">
        <f t="shared" si="73"/>
        <v>-5.9849708886516106</v>
      </c>
    </row>
    <row r="508" spans="1:32" x14ac:dyDescent="0.35">
      <c r="A508" s="2" t="s">
        <v>896</v>
      </c>
      <c r="B508" s="2" t="s">
        <v>390</v>
      </c>
      <c r="C508" s="2">
        <v>35</v>
      </c>
      <c r="D508" s="2">
        <v>2.31</v>
      </c>
      <c r="E508" s="7">
        <v>2</v>
      </c>
      <c r="F508" s="7">
        <v>0</v>
      </c>
      <c r="G508" s="7">
        <v>0</v>
      </c>
      <c r="H508" s="7">
        <v>5</v>
      </c>
      <c r="I508" s="7">
        <v>1</v>
      </c>
      <c r="J508" s="7">
        <v>0</v>
      </c>
      <c r="K508" s="7">
        <v>0</v>
      </c>
      <c r="L508" s="7">
        <v>11</v>
      </c>
      <c r="M508" s="7">
        <v>2</v>
      </c>
      <c r="N508" s="7">
        <v>9</v>
      </c>
      <c r="O508" s="7">
        <v>4</v>
      </c>
      <c r="P508" s="7">
        <v>3</v>
      </c>
      <c r="Q508" s="7">
        <v>0</v>
      </c>
      <c r="R508" s="7">
        <v>1</v>
      </c>
      <c r="S508" s="7">
        <v>2</v>
      </c>
      <c r="T508" s="7">
        <v>1</v>
      </c>
      <c r="U508" s="7">
        <v>10</v>
      </c>
      <c r="V508" s="2">
        <f t="shared" si="72"/>
        <v>1.8877285979326792</v>
      </c>
      <c r="W508" s="7">
        <v>50</v>
      </c>
      <c r="X508" s="2">
        <f t="shared" si="65"/>
        <v>51.887728597932679</v>
      </c>
      <c r="Y508" s="2"/>
      <c r="Z508" s="2">
        <f t="shared" si="66"/>
        <v>47</v>
      </c>
      <c r="AA508" s="1">
        <f t="shared" si="67"/>
        <v>21.276595744680851</v>
      </c>
      <c r="AB508" s="1">
        <f t="shared" si="68"/>
        <v>6.3829787234042552</v>
      </c>
      <c r="AC508" s="1">
        <f t="shared" si="69"/>
        <v>0</v>
      </c>
      <c r="AD508" s="2">
        <f t="shared" si="70"/>
        <v>1.3428571428571427</v>
      </c>
      <c r="AE508" s="2">
        <f t="shared" si="71"/>
        <v>14.893617021276595</v>
      </c>
      <c r="AF508" s="2">
        <f t="shared" si="73"/>
        <v>9.4386429896633963</v>
      </c>
    </row>
    <row r="509" spans="1:32" x14ac:dyDescent="0.35">
      <c r="A509" s="2" t="s">
        <v>897</v>
      </c>
      <c r="B509" s="2" t="s">
        <v>388</v>
      </c>
      <c r="C509" s="2">
        <v>35</v>
      </c>
      <c r="D509" s="2">
        <v>4.6399999999999997</v>
      </c>
      <c r="E509" s="7">
        <v>10</v>
      </c>
      <c r="F509" s="7">
        <v>10</v>
      </c>
      <c r="G509" s="7">
        <v>0</v>
      </c>
      <c r="H509" s="7">
        <v>30</v>
      </c>
      <c r="I509" s="7">
        <v>30</v>
      </c>
      <c r="J509" s="7">
        <v>0</v>
      </c>
      <c r="K509" s="7">
        <v>0</v>
      </c>
      <c r="L509" s="7">
        <v>157</v>
      </c>
      <c r="N509" s="7">
        <v>173</v>
      </c>
      <c r="O509" s="7">
        <v>85</v>
      </c>
      <c r="P509" s="7">
        <v>81</v>
      </c>
      <c r="Q509" s="7">
        <v>33</v>
      </c>
      <c r="R509" s="7">
        <v>8</v>
      </c>
      <c r="S509" s="7">
        <v>36</v>
      </c>
      <c r="T509" s="7">
        <v>2</v>
      </c>
      <c r="U509" s="7">
        <v>106</v>
      </c>
      <c r="V509" s="2">
        <f t="shared" si="72"/>
        <v>140.80179532919823</v>
      </c>
      <c r="W509" s="7">
        <v>50</v>
      </c>
      <c r="X509" s="2">
        <f t="shared" si="65"/>
        <v>190.80179532919823</v>
      </c>
      <c r="Y509" s="2"/>
      <c r="Z509" s="2">
        <f t="shared" si="66"/>
        <v>688</v>
      </c>
      <c r="AA509" s="1">
        <f t="shared" si="67"/>
        <v>15.406976744186046</v>
      </c>
      <c r="AB509" s="1">
        <f t="shared" si="68"/>
        <v>6.395348837209303</v>
      </c>
      <c r="AC509" s="1">
        <f t="shared" si="69"/>
        <v>4.7965116279069768</v>
      </c>
      <c r="AD509" s="2">
        <f t="shared" si="70"/>
        <v>19.657142857142858</v>
      </c>
      <c r="AE509" s="2">
        <f t="shared" si="71"/>
        <v>9.0116279069767433</v>
      </c>
      <c r="AF509" s="2">
        <f t="shared" si="73"/>
        <v>704.0089766459912</v>
      </c>
    </row>
    <row r="510" spans="1:32" x14ac:dyDescent="0.35">
      <c r="A510" s="2" t="s">
        <v>898</v>
      </c>
      <c r="B510" s="2" t="s">
        <v>390</v>
      </c>
      <c r="C510" s="2">
        <v>35</v>
      </c>
      <c r="D510" s="2">
        <v>1.99</v>
      </c>
      <c r="E510" s="7">
        <v>2</v>
      </c>
      <c r="F510" s="7">
        <v>1</v>
      </c>
      <c r="G510" s="7">
        <v>0</v>
      </c>
      <c r="H510" s="7">
        <v>18</v>
      </c>
      <c r="I510" s="7">
        <v>0</v>
      </c>
      <c r="J510" s="7">
        <v>0</v>
      </c>
      <c r="K510" s="7">
        <v>0</v>
      </c>
      <c r="L510" s="7">
        <v>22</v>
      </c>
      <c r="M510" s="7">
        <v>2</v>
      </c>
      <c r="N510" s="7">
        <v>20</v>
      </c>
      <c r="O510" s="7">
        <v>5</v>
      </c>
      <c r="P510" s="7">
        <v>5</v>
      </c>
      <c r="Q510" s="7">
        <v>1</v>
      </c>
      <c r="R510" s="7">
        <v>0</v>
      </c>
      <c r="S510" s="7">
        <v>7</v>
      </c>
      <c r="T510" s="7">
        <v>1</v>
      </c>
      <c r="U510" s="7">
        <v>22</v>
      </c>
      <c r="V510" s="2">
        <f t="shared" si="72"/>
        <v>10.361042592122804</v>
      </c>
      <c r="W510" s="7">
        <v>50</v>
      </c>
      <c r="X510" s="2">
        <f t="shared" si="65"/>
        <v>60.3610425921228</v>
      </c>
      <c r="Y510" s="2"/>
      <c r="Z510" s="2">
        <f t="shared" si="66"/>
        <v>95</v>
      </c>
      <c r="AA510" s="1">
        <f t="shared" si="67"/>
        <v>23.157894736842106</v>
      </c>
      <c r="AB510" s="1">
        <f t="shared" si="68"/>
        <v>7.3684210526315779</v>
      </c>
      <c r="AC510" s="1">
        <f t="shared" si="69"/>
        <v>1.0526315789473684</v>
      </c>
      <c r="AD510" s="2">
        <f t="shared" si="70"/>
        <v>2.7142857142857144</v>
      </c>
      <c r="AE510" s="2">
        <f t="shared" si="71"/>
        <v>15.789473684210527</v>
      </c>
      <c r="AF510" s="2">
        <f t="shared" si="73"/>
        <v>51.805212960614021</v>
      </c>
    </row>
    <row r="511" spans="1:32" x14ac:dyDescent="0.35">
      <c r="A511" s="2" t="s">
        <v>899</v>
      </c>
      <c r="B511" s="2" t="s">
        <v>390</v>
      </c>
      <c r="C511" s="2">
        <v>35</v>
      </c>
      <c r="D511" s="2">
        <v>4.5199999999999996</v>
      </c>
      <c r="E511" s="7">
        <v>1</v>
      </c>
      <c r="F511" s="7">
        <v>2</v>
      </c>
      <c r="G511" s="7">
        <v>0</v>
      </c>
      <c r="H511" s="7">
        <v>48</v>
      </c>
      <c r="I511" s="7">
        <v>3</v>
      </c>
      <c r="J511" s="7">
        <v>0</v>
      </c>
      <c r="K511" s="7">
        <v>0</v>
      </c>
      <c r="L511" s="7">
        <v>67</v>
      </c>
      <c r="M511" s="7">
        <v>2</v>
      </c>
      <c r="N511" s="7">
        <v>69</v>
      </c>
      <c r="O511" s="7">
        <v>38</v>
      </c>
      <c r="P511" s="7">
        <v>34</v>
      </c>
      <c r="Q511" s="7">
        <v>11</v>
      </c>
      <c r="R511" s="7">
        <v>2</v>
      </c>
      <c r="S511" s="7">
        <v>18</v>
      </c>
      <c r="T511" s="7">
        <v>1</v>
      </c>
      <c r="U511" s="7">
        <v>53</v>
      </c>
      <c r="V511" s="2">
        <f t="shared" si="72"/>
        <v>34.5698659825186</v>
      </c>
      <c r="W511" s="7">
        <v>50</v>
      </c>
      <c r="X511" s="2">
        <f t="shared" si="65"/>
        <v>84.569865982518593</v>
      </c>
      <c r="Y511" s="2"/>
      <c r="Z511" s="2">
        <f t="shared" si="66"/>
        <v>292</v>
      </c>
      <c r="AA511" s="1">
        <f t="shared" si="67"/>
        <v>18.150684931506849</v>
      </c>
      <c r="AB511" s="1">
        <f t="shared" si="68"/>
        <v>6.8493150684931505</v>
      </c>
      <c r="AC511" s="1">
        <f t="shared" si="69"/>
        <v>3.7671232876712328</v>
      </c>
      <c r="AD511" s="2">
        <f t="shared" si="70"/>
        <v>8.3428571428571434</v>
      </c>
      <c r="AE511" s="2">
        <f t="shared" si="71"/>
        <v>11.301369863013697</v>
      </c>
      <c r="AF511" s="2">
        <f t="shared" si="73"/>
        <v>172.84932991259299</v>
      </c>
    </row>
    <row r="512" spans="1:32" x14ac:dyDescent="0.35">
      <c r="A512" s="2" t="s">
        <v>900</v>
      </c>
      <c r="B512" s="2" t="s">
        <v>390</v>
      </c>
      <c r="C512" s="2">
        <v>35</v>
      </c>
      <c r="D512" s="2">
        <v>4.88</v>
      </c>
      <c r="E512" s="7">
        <v>2</v>
      </c>
      <c r="F512" s="7">
        <v>1</v>
      </c>
      <c r="G512" s="7">
        <v>0</v>
      </c>
      <c r="H512" s="7">
        <v>21</v>
      </c>
      <c r="I512" s="7">
        <v>0</v>
      </c>
      <c r="J512" s="7">
        <v>0</v>
      </c>
      <c r="K512" s="7">
        <v>0</v>
      </c>
      <c r="L512" s="7">
        <v>24</v>
      </c>
      <c r="N512" s="7">
        <v>20</v>
      </c>
      <c r="O512" s="7">
        <v>13</v>
      </c>
      <c r="P512" s="7">
        <v>13</v>
      </c>
      <c r="Q512" s="7">
        <v>3</v>
      </c>
      <c r="R512" s="7">
        <v>5</v>
      </c>
      <c r="S512" s="7">
        <v>8</v>
      </c>
      <c r="T512" s="7">
        <v>0</v>
      </c>
      <c r="U512" s="7">
        <v>19</v>
      </c>
      <c r="V512" s="2">
        <f t="shared" si="72"/>
        <v>4.1326530612244898</v>
      </c>
      <c r="W512" s="7">
        <v>50</v>
      </c>
      <c r="X512" s="2">
        <f t="shared" si="65"/>
        <v>54.132653061224488</v>
      </c>
      <c r="Y512" s="2"/>
      <c r="Z512" s="2">
        <f t="shared" si="66"/>
        <v>105</v>
      </c>
      <c r="AA512" s="1">
        <f t="shared" si="67"/>
        <v>18.095238095238095</v>
      </c>
      <c r="AB512" s="1">
        <f t="shared" si="68"/>
        <v>12.380952380952381</v>
      </c>
      <c r="AC512" s="1">
        <f t="shared" si="69"/>
        <v>2.8571428571428572</v>
      </c>
      <c r="AD512" s="2">
        <f t="shared" si="70"/>
        <v>3</v>
      </c>
      <c r="AE512" s="2">
        <f t="shared" si="71"/>
        <v>5.7142857142857135</v>
      </c>
      <c r="AF512" s="2">
        <f t="shared" si="73"/>
        <v>20.663265306122447</v>
      </c>
    </row>
    <row r="513" spans="1:32" x14ac:dyDescent="0.35">
      <c r="A513" s="2" t="s">
        <v>901</v>
      </c>
      <c r="B513" s="2" t="s">
        <v>390</v>
      </c>
      <c r="C513" s="2">
        <v>36</v>
      </c>
      <c r="D513" s="2">
        <v>6.59</v>
      </c>
      <c r="E513" s="7">
        <v>0</v>
      </c>
      <c r="F513" s="7">
        <v>2</v>
      </c>
      <c r="G513" s="7">
        <v>0</v>
      </c>
      <c r="H513" s="7">
        <v>14</v>
      </c>
      <c r="I513" s="7">
        <v>0</v>
      </c>
      <c r="J513" s="7">
        <v>0</v>
      </c>
      <c r="K513" s="7">
        <v>0</v>
      </c>
      <c r="L513" s="7">
        <v>13</v>
      </c>
      <c r="M513" s="7">
        <v>2</v>
      </c>
      <c r="N513" s="7">
        <v>12</v>
      </c>
      <c r="O513" s="7">
        <v>11</v>
      </c>
      <c r="P513" s="7">
        <v>10</v>
      </c>
      <c r="Q513" s="7">
        <v>2</v>
      </c>
      <c r="R513" s="7">
        <v>1</v>
      </c>
      <c r="S513" s="7">
        <v>7</v>
      </c>
      <c r="T513" s="7">
        <v>0</v>
      </c>
      <c r="U513" s="7">
        <v>12</v>
      </c>
      <c r="V513" s="2">
        <f t="shared" si="72"/>
        <v>1.8156511632406556</v>
      </c>
      <c r="W513" s="7">
        <v>50</v>
      </c>
      <c r="X513" s="2">
        <f t="shared" si="65"/>
        <v>51.815651163240659</v>
      </c>
      <c r="Y513" s="2"/>
      <c r="Z513" s="2">
        <f t="shared" si="66"/>
        <v>61</v>
      </c>
      <c r="AA513" s="1">
        <f t="shared" si="67"/>
        <v>19.672131147540984</v>
      </c>
      <c r="AB513" s="1">
        <f t="shared" si="68"/>
        <v>13.114754098360656</v>
      </c>
      <c r="AC513" s="1">
        <f t="shared" si="69"/>
        <v>3.278688524590164</v>
      </c>
      <c r="AD513" s="2">
        <f t="shared" si="70"/>
        <v>1.6944444444444444</v>
      </c>
      <c r="AE513" s="2">
        <f t="shared" si="71"/>
        <v>6.557377049180328</v>
      </c>
      <c r="AF513" s="2">
        <f t="shared" si="73"/>
        <v>9.0782558162032778</v>
      </c>
    </row>
    <row r="514" spans="1:32" x14ac:dyDescent="0.35">
      <c r="A514" s="2" t="s">
        <v>902</v>
      </c>
      <c r="B514" s="2" t="s">
        <v>390</v>
      </c>
      <c r="C514" s="2">
        <v>36</v>
      </c>
      <c r="D514" s="2">
        <v>6.89</v>
      </c>
      <c r="E514" s="7">
        <v>0</v>
      </c>
      <c r="F514" s="7">
        <v>0</v>
      </c>
      <c r="G514" s="7">
        <v>0</v>
      </c>
      <c r="H514" s="7">
        <v>27</v>
      </c>
      <c r="I514" s="7">
        <v>0</v>
      </c>
      <c r="J514" s="7">
        <v>0</v>
      </c>
      <c r="K514" s="7">
        <v>0</v>
      </c>
      <c r="L514" s="7">
        <v>15</v>
      </c>
      <c r="M514" s="7">
        <v>2</v>
      </c>
      <c r="N514" s="7">
        <v>26</v>
      </c>
      <c r="O514" s="7">
        <v>12</v>
      </c>
      <c r="P514" s="7">
        <v>12</v>
      </c>
      <c r="Q514" s="7">
        <v>2</v>
      </c>
      <c r="R514" s="7">
        <v>1</v>
      </c>
      <c r="S514" s="7">
        <v>3</v>
      </c>
      <c r="T514" s="7">
        <v>0</v>
      </c>
      <c r="U514" s="7">
        <v>7</v>
      </c>
      <c r="V514" s="2">
        <f t="shared" si="72"/>
        <v>1.3479221105007273</v>
      </c>
      <c r="W514" s="7">
        <v>50</v>
      </c>
      <c r="X514" s="2">
        <f t="shared" si="65"/>
        <v>51.347922110500726</v>
      </c>
      <c r="Y514" s="2"/>
      <c r="Z514" s="2">
        <f t="shared" si="66"/>
        <v>77</v>
      </c>
      <c r="AA514" s="1">
        <f t="shared" si="67"/>
        <v>9.0909090909090917</v>
      </c>
      <c r="AB514" s="1">
        <f t="shared" si="68"/>
        <v>5.1948051948051948</v>
      </c>
      <c r="AC514" s="1">
        <f t="shared" si="69"/>
        <v>2.5974025974025974</v>
      </c>
      <c r="AD514" s="2">
        <f t="shared" si="70"/>
        <v>2.1388888888888888</v>
      </c>
      <c r="AE514" s="2">
        <f t="shared" si="71"/>
        <v>3.896103896103897</v>
      </c>
      <c r="AF514" s="2">
        <f t="shared" si="73"/>
        <v>6.7396105525036365</v>
      </c>
    </row>
    <row r="515" spans="1:32" x14ac:dyDescent="0.35">
      <c r="A515" s="2" t="s">
        <v>903</v>
      </c>
      <c r="B515" s="2" t="s">
        <v>388</v>
      </c>
      <c r="C515" s="2">
        <v>36</v>
      </c>
      <c r="D515" s="2">
        <v>4.84</v>
      </c>
      <c r="E515" s="7">
        <v>8</v>
      </c>
      <c r="F515" s="7">
        <v>11</v>
      </c>
      <c r="G515" s="7">
        <v>0</v>
      </c>
      <c r="H515" s="7">
        <v>31</v>
      </c>
      <c r="I515" s="7">
        <v>31</v>
      </c>
      <c r="J515" s="7">
        <v>0</v>
      </c>
      <c r="K515" s="7">
        <v>0</v>
      </c>
      <c r="L515" s="7">
        <v>156</v>
      </c>
      <c r="M515" s="7">
        <v>1</v>
      </c>
      <c r="N515" s="7">
        <v>169</v>
      </c>
      <c r="O515" s="7">
        <v>87</v>
      </c>
      <c r="P515" s="7">
        <v>84</v>
      </c>
      <c r="Q515" s="7">
        <v>29</v>
      </c>
      <c r="R515" s="7">
        <v>3</v>
      </c>
      <c r="S515" s="7">
        <v>37</v>
      </c>
      <c r="T515" s="7">
        <v>1</v>
      </c>
      <c r="U515" s="7">
        <v>100</v>
      </c>
      <c r="V515" s="2">
        <f t="shared" si="72"/>
        <v>113.6930480725734</v>
      </c>
      <c r="W515" s="7">
        <v>50</v>
      </c>
      <c r="X515" s="2">
        <f t="shared" ref="X515:X538" si="74">V515+W515</f>
        <v>163.69304807257339</v>
      </c>
      <c r="Y515" s="2"/>
      <c r="Z515" s="2">
        <f t="shared" ref="Z515:Z538" si="75">((L515*3)+M515)+(R515+S515)+N515</f>
        <v>678</v>
      </c>
      <c r="AA515" s="1">
        <f t="shared" ref="AA515:AA538" si="76">(U515/Z515)*100</f>
        <v>14.749262536873156</v>
      </c>
      <c r="AB515" s="1">
        <f t="shared" ref="AB515:AB538" si="77">((R515+S515)/Z515)*100</f>
        <v>5.8997050147492622</v>
      </c>
      <c r="AC515" s="1">
        <f t="shared" ref="AC515:AC538" si="78">(Q515/Z515)*100</f>
        <v>4.277286135693215</v>
      </c>
      <c r="AD515" s="2">
        <f t="shared" ref="AD515:AD538" si="79">(Z515/C515)</f>
        <v>18.833333333333332</v>
      </c>
      <c r="AE515" s="2">
        <f t="shared" ref="AE515:AE538" si="80">AA515-AB515</f>
        <v>8.8495575221238933</v>
      </c>
      <c r="AF515" s="2">
        <f t="shared" si="73"/>
        <v>568.46524036286701</v>
      </c>
    </row>
    <row r="516" spans="1:32" x14ac:dyDescent="0.35">
      <c r="A516" s="2" t="s">
        <v>904</v>
      </c>
      <c r="B516" s="2" t="s">
        <v>390</v>
      </c>
      <c r="C516" s="2">
        <v>36</v>
      </c>
      <c r="D516" s="2">
        <v>6.75</v>
      </c>
      <c r="E516" s="7">
        <v>3</v>
      </c>
      <c r="F516" s="7">
        <v>2</v>
      </c>
      <c r="G516" s="7">
        <v>0</v>
      </c>
      <c r="H516" s="7">
        <v>35</v>
      </c>
      <c r="I516" s="7">
        <v>0</v>
      </c>
      <c r="J516" s="7">
        <v>0</v>
      </c>
      <c r="K516" s="7">
        <v>0</v>
      </c>
      <c r="L516" s="7">
        <v>26</v>
      </c>
      <c r="M516" s="7">
        <v>2</v>
      </c>
      <c r="N516" s="7">
        <v>29</v>
      </c>
      <c r="O516" s="7">
        <v>25</v>
      </c>
      <c r="P516" s="7">
        <v>20</v>
      </c>
      <c r="Q516" s="7">
        <v>6</v>
      </c>
      <c r="R516" s="7">
        <v>1</v>
      </c>
      <c r="S516" s="7">
        <v>16</v>
      </c>
      <c r="T516" s="7">
        <v>1</v>
      </c>
      <c r="U516" s="7">
        <v>35</v>
      </c>
      <c r="V516" s="2">
        <f t="shared" si="72"/>
        <v>10.627513227513228</v>
      </c>
      <c r="W516" s="7">
        <v>50</v>
      </c>
      <c r="X516" s="2">
        <f t="shared" si="74"/>
        <v>60.627513227513226</v>
      </c>
      <c r="Y516" s="2"/>
      <c r="Z516" s="2">
        <f t="shared" si="75"/>
        <v>126</v>
      </c>
      <c r="AA516" s="1">
        <f t="shared" si="76"/>
        <v>27.777777777777779</v>
      </c>
      <c r="AB516" s="1">
        <f t="shared" si="77"/>
        <v>13.492063492063492</v>
      </c>
      <c r="AC516" s="1">
        <f t="shared" si="78"/>
        <v>4.7619047619047619</v>
      </c>
      <c r="AD516" s="2">
        <f t="shared" si="79"/>
        <v>3.5</v>
      </c>
      <c r="AE516" s="2">
        <f t="shared" si="80"/>
        <v>14.285714285714286</v>
      </c>
      <c r="AF516" s="2">
        <f t="shared" si="73"/>
        <v>53.137566137566139</v>
      </c>
    </row>
    <row r="517" spans="1:32" x14ac:dyDescent="0.35">
      <c r="A517" s="2" t="s">
        <v>905</v>
      </c>
      <c r="B517" s="2" t="s">
        <v>390</v>
      </c>
      <c r="C517" s="2">
        <v>36</v>
      </c>
      <c r="D517" s="2">
        <v>2.17</v>
      </c>
      <c r="E517" s="7">
        <v>2</v>
      </c>
      <c r="F517" s="7">
        <v>2</v>
      </c>
      <c r="G517" s="7">
        <v>1</v>
      </c>
      <c r="H517" s="7">
        <v>57</v>
      </c>
      <c r="I517" s="7">
        <v>4</v>
      </c>
      <c r="J517" s="7">
        <v>0</v>
      </c>
      <c r="K517" s="7">
        <v>0</v>
      </c>
      <c r="L517" s="7">
        <v>49</v>
      </c>
      <c r="M517" s="7">
        <v>2</v>
      </c>
      <c r="N517" s="7">
        <v>38</v>
      </c>
      <c r="O517" s="7">
        <v>14</v>
      </c>
      <c r="P517" s="7">
        <v>12</v>
      </c>
      <c r="Q517" s="7">
        <v>5</v>
      </c>
      <c r="R517" s="7">
        <v>5</v>
      </c>
      <c r="S517" s="7">
        <v>15</v>
      </c>
      <c r="T517" s="7">
        <v>1</v>
      </c>
      <c r="U517" s="7">
        <v>57</v>
      </c>
      <c r="V517" s="2">
        <f t="shared" si="72"/>
        <v>42.761003757380571</v>
      </c>
      <c r="W517" s="7">
        <v>50</v>
      </c>
      <c r="X517" s="2">
        <f t="shared" si="74"/>
        <v>92.761003757380564</v>
      </c>
      <c r="Y517" s="2"/>
      <c r="Z517" s="2">
        <f t="shared" si="75"/>
        <v>207</v>
      </c>
      <c r="AA517" s="1">
        <f t="shared" si="76"/>
        <v>27.536231884057973</v>
      </c>
      <c r="AB517" s="1">
        <f t="shared" si="77"/>
        <v>9.6618357487922708</v>
      </c>
      <c r="AC517" s="1">
        <f t="shared" si="78"/>
        <v>2.4154589371980677</v>
      </c>
      <c r="AD517" s="2">
        <f t="shared" si="79"/>
        <v>5.75</v>
      </c>
      <c r="AE517" s="2">
        <f t="shared" si="80"/>
        <v>17.874396135265702</v>
      </c>
      <c r="AF517" s="2">
        <f t="shared" si="73"/>
        <v>213.80501878690285</v>
      </c>
    </row>
    <row r="518" spans="1:32" x14ac:dyDescent="0.35">
      <c r="A518" s="2" t="s">
        <v>906</v>
      </c>
      <c r="B518" s="2" t="s">
        <v>390</v>
      </c>
      <c r="C518" s="2">
        <v>36</v>
      </c>
      <c r="D518" s="2">
        <v>4.3499999999999996</v>
      </c>
      <c r="E518" s="7">
        <v>2</v>
      </c>
      <c r="F518" s="7">
        <v>3</v>
      </c>
      <c r="G518" s="7">
        <v>5</v>
      </c>
      <c r="H518" s="7">
        <v>44</v>
      </c>
      <c r="I518" s="7">
        <v>0</v>
      </c>
      <c r="J518" s="7">
        <v>0</v>
      </c>
      <c r="K518" s="7">
        <v>0</v>
      </c>
      <c r="L518" s="7">
        <v>41</v>
      </c>
      <c r="M518" s="7">
        <v>1</v>
      </c>
      <c r="N518" s="7">
        <v>46</v>
      </c>
      <c r="O518" s="7">
        <v>24</v>
      </c>
      <c r="P518" s="7">
        <v>20</v>
      </c>
      <c r="Q518" s="7">
        <v>6</v>
      </c>
      <c r="R518" s="7">
        <v>2</v>
      </c>
      <c r="S518" s="7">
        <v>17</v>
      </c>
      <c r="T518" s="7">
        <v>0</v>
      </c>
      <c r="U518" s="7">
        <v>28</v>
      </c>
      <c r="V518" s="2">
        <f t="shared" si="72"/>
        <v>10.088624338624339</v>
      </c>
      <c r="W518" s="7">
        <v>50</v>
      </c>
      <c r="X518" s="2">
        <f t="shared" si="74"/>
        <v>60.088624338624342</v>
      </c>
      <c r="Y518" s="2"/>
      <c r="Z518" s="2">
        <f t="shared" si="75"/>
        <v>189</v>
      </c>
      <c r="AA518" s="1">
        <f t="shared" si="76"/>
        <v>14.814814814814813</v>
      </c>
      <c r="AB518" s="1">
        <f t="shared" si="77"/>
        <v>10.052910052910052</v>
      </c>
      <c r="AC518" s="1">
        <f t="shared" si="78"/>
        <v>3.1746031746031744</v>
      </c>
      <c r="AD518" s="2">
        <f t="shared" si="79"/>
        <v>5.25</v>
      </c>
      <c r="AE518" s="2">
        <f t="shared" si="80"/>
        <v>4.761904761904761</v>
      </c>
      <c r="AF518" s="2">
        <f t="shared" si="73"/>
        <v>50.443121693121689</v>
      </c>
    </row>
    <row r="519" spans="1:32" x14ac:dyDescent="0.35">
      <c r="A519" s="2" t="s">
        <v>907</v>
      </c>
      <c r="B519" s="2" t="s">
        <v>390</v>
      </c>
      <c r="C519" s="2">
        <v>37</v>
      </c>
      <c r="D519" s="2">
        <v>4.5</v>
      </c>
      <c r="E519" s="7">
        <v>0</v>
      </c>
      <c r="F519" s="7">
        <v>1</v>
      </c>
      <c r="G519" s="7">
        <v>0</v>
      </c>
      <c r="H519" s="7">
        <v>28</v>
      </c>
      <c r="I519" s="7">
        <v>1</v>
      </c>
      <c r="J519" s="7">
        <v>0</v>
      </c>
      <c r="K519" s="7">
        <v>0</v>
      </c>
      <c r="L519" s="7">
        <v>26</v>
      </c>
      <c r="N519" s="7">
        <v>27</v>
      </c>
      <c r="O519" s="7">
        <v>13</v>
      </c>
      <c r="P519" s="7">
        <v>13</v>
      </c>
      <c r="Q519" s="7">
        <v>2</v>
      </c>
      <c r="R519" s="7">
        <v>0</v>
      </c>
      <c r="S519" s="7">
        <v>5</v>
      </c>
      <c r="T519" s="7">
        <v>0</v>
      </c>
      <c r="U519" s="7">
        <v>20</v>
      </c>
      <c r="V519" s="2">
        <f t="shared" si="72"/>
        <v>6.1848580767499692</v>
      </c>
      <c r="W519" s="7">
        <v>50</v>
      </c>
      <c r="X519" s="2">
        <f t="shared" si="74"/>
        <v>56.184858076749968</v>
      </c>
      <c r="Y519" s="2"/>
      <c r="Z519" s="2">
        <f t="shared" si="75"/>
        <v>110</v>
      </c>
      <c r="AA519" s="1">
        <f t="shared" si="76"/>
        <v>18.181818181818183</v>
      </c>
      <c r="AB519" s="1">
        <f t="shared" si="77"/>
        <v>4.5454545454545459</v>
      </c>
      <c r="AC519" s="1">
        <f t="shared" si="78"/>
        <v>1.8181818181818181</v>
      </c>
      <c r="AD519" s="2">
        <f t="shared" si="79"/>
        <v>2.9729729729729728</v>
      </c>
      <c r="AE519" s="2">
        <f t="shared" si="80"/>
        <v>13.636363636363637</v>
      </c>
      <c r="AF519" s="2">
        <f t="shared" si="73"/>
        <v>30.924290383749845</v>
      </c>
    </row>
    <row r="520" spans="1:32" x14ac:dyDescent="0.35">
      <c r="A520" s="2" t="s">
        <v>908</v>
      </c>
      <c r="B520" s="2" t="s">
        <v>388</v>
      </c>
      <c r="C520" s="2">
        <v>37</v>
      </c>
      <c r="D520" s="2">
        <v>16.78</v>
      </c>
      <c r="E520" s="7">
        <v>0</v>
      </c>
      <c r="F520" s="7">
        <v>3</v>
      </c>
      <c r="G520" s="7">
        <v>0</v>
      </c>
      <c r="H520" s="7">
        <v>4</v>
      </c>
      <c r="I520" s="7">
        <v>4</v>
      </c>
      <c r="J520" s="7">
        <v>0</v>
      </c>
      <c r="K520" s="7">
        <v>0</v>
      </c>
      <c r="L520" s="7">
        <v>12</v>
      </c>
      <c r="M520" s="7">
        <v>1</v>
      </c>
      <c r="N520" s="7">
        <v>29</v>
      </c>
      <c r="O520" s="7">
        <v>23</v>
      </c>
      <c r="P520" s="7">
        <v>23</v>
      </c>
      <c r="Q520" s="7">
        <v>7</v>
      </c>
      <c r="R520" s="7">
        <v>0</v>
      </c>
      <c r="S520" s="7">
        <v>7</v>
      </c>
      <c r="T520" s="7">
        <v>0</v>
      </c>
      <c r="U520" s="7">
        <v>10</v>
      </c>
      <c r="V520" s="2">
        <f t="shared" ref="V520:V538" si="81">(AF520*2)/10</f>
        <v>1.5146153518909997</v>
      </c>
      <c r="W520" s="7">
        <v>50</v>
      </c>
      <c r="X520" s="2">
        <f t="shared" si="74"/>
        <v>51.514615351891003</v>
      </c>
      <c r="Y520" s="2"/>
      <c r="Z520" s="2">
        <f t="shared" si="75"/>
        <v>73</v>
      </c>
      <c r="AA520" s="1">
        <f t="shared" si="76"/>
        <v>13.698630136986301</v>
      </c>
      <c r="AB520" s="1">
        <f t="shared" si="77"/>
        <v>9.5890410958904102</v>
      </c>
      <c r="AC520" s="1">
        <f t="shared" si="78"/>
        <v>9.5890410958904102</v>
      </c>
      <c r="AD520" s="2">
        <f t="shared" si="79"/>
        <v>1.972972972972973</v>
      </c>
      <c r="AE520" s="2">
        <f t="shared" si="80"/>
        <v>4.1095890410958908</v>
      </c>
      <c r="AF520" s="2">
        <f t="shared" si="73"/>
        <v>7.5730767594549988</v>
      </c>
    </row>
    <row r="521" spans="1:32" x14ac:dyDescent="0.35">
      <c r="A521" s="2" t="s">
        <v>909</v>
      </c>
      <c r="B521" s="2" t="s">
        <v>390</v>
      </c>
      <c r="C521" s="2">
        <v>37</v>
      </c>
      <c r="D521" s="2">
        <v>2.25</v>
      </c>
      <c r="E521" s="7">
        <v>0</v>
      </c>
      <c r="F521" s="7">
        <v>1</v>
      </c>
      <c r="G521" s="7">
        <v>0</v>
      </c>
      <c r="H521" s="7">
        <v>14</v>
      </c>
      <c r="I521" s="7">
        <v>0</v>
      </c>
      <c r="J521" s="7">
        <v>0</v>
      </c>
      <c r="K521" s="7">
        <v>0</v>
      </c>
      <c r="L521" s="7">
        <v>12</v>
      </c>
      <c r="N521" s="7">
        <v>10</v>
      </c>
      <c r="O521" s="7">
        <v>4</v>
      </c>
      <c r="P521" s="7">
        <v>3</v>
      </c>
      <c r="Q521" s="7">
        <v>2</v>
      </c>
      <c r="R521" s="7">
        <v>0</v>
      </c>
      <c r="S521" s="7">
        <v>7</v>
      </c>
      <c r="T521" s="7">
        <v>0</v>
      </c>
      <c r="U521" s="7">
        <v>17</v>
      </c>
      <c r="V521" s="2">
        <f t="shared" si="81"/>
        <v>12.338715462019895</v>
      </c>
      <c r="W521" s="7">
        <v>50</v>
      </c>
      <c r="X521" s="2">
        <f t="shared" si="74"/>
        <v>62.338715462019891</v>
      </c>
      <c r="Y521" s="2"/>
      <c r="Z521" s="2">
        <f t="shared" si="75"/>
        <v>53</v>
      </c>
      <c r="AA521" s="1">
        <f t="shared" si="76"/>
        <v>32.075471698113205</v>
      </c>
      <c r="AB521" s="1">
        <f t="shared" si="77"/>
        <v>13.20754716981132</v>
      </c>
      <c r="AC521" s="1">
        <f t="shared" si="78"/>
        <v>3.7735849056603774</v>
      </c>
      <c r="AD521" s="2">
        <f t="shared" si="79"/>
        <v>1.4324324324324325</v>
      </c>
      <c r="AE521" s="2">
        <f t="shared" si="80"/>
        <v>18.867924528301884</v>
      </c>
      <c r="AF521" s="2">
        <f t="shared" si="73"/>
        <v>61.693577310099478</v>
      </c>
    </row>
    <row r="522" spans="1:32" x14ac:dyDescent="0.35">
      <c r="A522" s="2" t="s">
        <v>910</v>
      </c>
      <c r="B522" s="2" t="s">
        <v>390</v>
      </c>
      <c r="C522" s="2">
        <v>37</v>
      </c>
      <c r="D522" s="2">
        <v>4.08</v>
      </c>
      <c r="E522" s="7">
        <v>1</v>
      </c>
      <c r="F522" s="7">
        <v>2</v>
      </c>
      <c r="G522" s="7">
        <v>0</v>
      </c>
      <c r="H522" s="7">
        <v>6</v>
      </c>
      <c r="I522" s="7">
        <v>0</v>
      </c>
      <c r="J522" s="7">
        <v>0</v>
      </c>
      <c r="K522" s="7">
        <v>0</v>
      </c>
      <c r="L522" s="7">
        <v>17</v>
      </c>
      <c r="M522" s="7">
        <v>2</v>
      </c>
      <c r="N522" s="7">
        <v>26</v>
      </c>
      <c r="O522" s="7">
        <v>15</v>
      </c>
      <c r="P522" s="7">
        <v>8</v>
      </c>
      <c r="Q522" s="7">
        <v>2</v>
      </c>
      <c r="R522" s="7">
        <v>1</v>
      </c>
      <c r="S522" s="7">
        <v>1</v>
      </c>
      <c r="T522" s="7">
        <v>0</v>
      </c>
      <c r="U522" s="7">
        <v>7</v>
      </c>
      <c r="V522" s="2">
        <f t="shared" si="81"/>
        <v>3.1130498985118304</v>
      </c>
      <c r="W522" s="7">
        <v>50</v>
      </c>
      <c r="X522" s="2">
        <f t="shared" si="74"/>
        <v>53.113049898511832</v>
      </c>
      <c r="Y522" s="2"/>
      <c r="Z522" s="2">
        <f t="shared" si="75"/>
        <v>81</v>
      </c>
      <c r="AA522" s="1">
        <f t="shared" si="76"/>
        <v>8.6419753086419746</v>
      </c>
      <c r="AB522" s="1">
        <f t="shared" si="77"/>
        <v>2.4691358024691357</v>
      </c>
      <c r="AC522" s="1">
        <f t="shared" si="78"/>
        <v>2.4691358024691357</v>
      </c>
      <c r="AD522" s="2">
        <f t="shared" si="79"/>
        <v>2.189189189189189</v>
      </c>
      <c r="AE522" s="2">
        <f t="shared" si="80"/>
        <v>6.1728395061728385</v>
      </c>
      <c r="AF522" s="2">
        <f t="shared" si="73"/>
        <v>15.565249492559152</v>
      </c>
    </row>
    <row r="523" spans="1:32" x14ac:dyDescent="0.35">
      <c r="A523" s="2" t="s">
        <v>911</v>
      </c>
      <c r="B523" s="2" t="s">
        <v>390</v>
      </c>
      <c r="C523" s="2">
        <v>37</v>
      </c>
      <c r="D523" s="2">
        <v>7.88</v>
      </c>
      <c r="E523" s="7">
        <v>0</v>
      </c>
      <c r="F523" s="7">
        <v>0</v>
      </c>
      <c r="G523" s="7">
        <v>0</v>
      </c>
      <c r="H523" s="7">
        <v>7</v>
      </c>
      <c r="I523" s="7">
        <v>0</v>
      </c>
      <c r="J523" s="7">
        <v>0</v>
      </c>
      <c r="K523" s="7">
        <v>0</v>
      </c>
      <c r="L523" s="7">
        <v>8</v>
      </c>
      <c r="N523" s="7">
        <v>9</v>
      </c>
      <c r="O523" s="7">
        <v>8</v>
      </c>
      <c r="P523" s="7">
        <v>7</v>
      </c>
      <c r="Q523" s="7">
        <v>1</v>
      </c>
      <c r="R523" s="7">
        <v>3</v>
      </c>
      <c r="S523" s="7">
        <v>6</v>
      </c>
      <c r="T523" s="7">
        <v>0</v>
      </c>
      <c r="U523" s="7">
        <v>8</v>
      </c>
      <c r="V523" s="2">
        <f t="shared" si="81"/>
        <v>-0.12135138489919653</v>
      </c>
      <c r="W523" s="7">
        <v>50</v>
      </c>
      <c r="X523" s="2">
        <f t="shared" si="74"/>
        <v>49.878648615100801</v>
      </c>
      <c r="Y523" s="2"/>
      <c r="Z523" s="2">
        <f t="shared" si="75"/>
        <v>42</v>
      </c>
      <c r="AA523" s="1">
        <f t="shared" si="76"/>
        <v>19.047619047619047</v>
      </c>
      <c r="AB523" s="1">
        <f t="shared" si="77"/>
        <v>21.428571428571427</v>
      </c>
      <c r="AC523" s="1">
        <f t="shared" si="78"/>
        <v>2.3809523809523809</v>
      </c>
      <c r="AD523" s="2">
        <f t="shared" si="79"/>
        <v>1.1351351351351351</v>
      </c>
      <c r="AE523" s="2">
        <f t="shared" si="80"/>
        <v>-2.3809523809523796</v>
      </c>
      <c r="AF523" s="2">
        <f t="shared" si="73"/>
        <v>-0.60675692449598262</v>
      </c>
    </row>
    <row r="524" spans="1:32" x14ac:dyDescent="0.35">
      <c r="A524" s="2" t="s">
        <v>912</v>
      </c>
      <c r="B524" s="2" t="s">
        <v>390</v>
      </c>
      <c r="C524" s="2">
        <v>37</v>
      </c>
      <c r="D524" s="2">
        <v>2.4500000000000002</v>
      </c>
      <c r="E524" s="7">
        <v>3</v>
      </c>
      <c r="F524" s="7">
        <v>1</v>
      </c>
      <c r="G524" s="7">
        <v>0</v>
      </c>
      <c r="H524" s="7">
        <v>30</v>
      </c>
      <c r="I524" s="7">
        <v>0</v>
      </c>
      <c r="J524" s="7">
        <v>0</v>
      </c>
      <c r="K524" s="7">
        <v>0</v>
      </c>
      <c r="L524" s="7">
        <v>25</v>
      </c>
      <c r="M524" s="7">
        <v>2</v>
      </c>
      <c r="N524" s="7">
        <v>14</v>
      </c>
      <c r="O524" s="7">
        <v>7</v>
      </c>
      <c r="P524" s="7">
        <v>7</v>
      </c>
      <c r="Q524" s="7">
        <v>0</v>
      </c>
      <c r="R524" s="7">
        <v>2</v>
      </c>
      <c r="S524" s="7">
        <v>6</v>
      </c>
      <c r="T524" s="7">
        <v>0</v>
      </c>
      <c r="U524" s="7">
        <v>25</v>
      </c>
      <c r="V524" s="2">
        <f t="shared" si="81"/>
        <v>4.3351172463141578</v>
      </c>
      <c r="W524" s="7">
        <v>50</v>
      </c>
      <c r="X524" s="2">
        <f t="shared" si="74"/>
        <v>54.335117246314155</v>
      </c>
      <c r="Y524" s="2"/>
      <c r="Z524" s="2">
        <f t="shared" si="75"/>
        <v>99</v>
      </c>
      <c r="AA524" s="1">
        <f t="shared" si="76"/>
        <v>25.252525252525253</v>
      </c>
      <c r="AB524" s="1">
        <f t="shared" si="77"/>
        <v>8.0808080808080813</v>
      </c>
      <c r="AC524" s="1">
        <f t="shared" si="78"/>
        <v>0</v>
      </c>
      <c r="AD524" s="2">
        <f t="shared" si="79"/>
        <v>2.6756756756756759</v>
      </c>
      <c r="AE524" s="2">
        <f t="shared" si="80"/>
        <v>17.171717171717169</v>
      </c>
      <c r="AF524" s="2">
        <f t="shared" ref="AF524:AF538" si="82">(AD524+AE524)/(D524/(1+AC524))*AD524</f>
        <v>21.67558623157079</v>
      </c>
    </row>
    <row r="525" spans="1:32" x14ac:dyDescent="0.35">
      <c r="A525" s="2" t="s">
        <v>913</v>
      </c>
      <c r="B525" s="2" t="s">
        <v>390</v>
      </c>
      <c r="C525" s="2">
        <v>37</v>
      </c>
      <c r="D525" s="2">
        <v>5.4</v>
      </c>
      <c r="E525" s="7">
        <v>2</v>
      </c>
      <c r="F525" s="7">
        <v>7</v>
      </c>
      <c r="G525" s="7">
        <v>2</v>
      </c>
      <c r="H525" s="7">
        <v>32</v>
      </c>
      <c r="I525" s="7">
        <v>0</v>
      </c>
      <c r="J525" s="7">
        <v>0</v>
      </c>
      <c r="K525" s="7">
        <v>0</v>
      </c>
      <c r="L525" s="7">
        <v>26</v>
      </c>
      <c r="M525" s="7">
        <v>2</v>
      </c>
      <c r="N525" s="7">
        <v>30</v>
      </c>
      <c r="O525" s="7">
        <v>18</v>
      </c>
      <c r="P525" s="7">
        <v>16</v>
      </c>
      <c r="Q525" s="7">
        <v>4</v>
      </c>
      <c r="R525" s="7">
        <v>2</v>
      </c>
      <c r="S525" s="7">
        <v>19</v>
      </c>
      <c r="T525" s="7">
        <v>4</v>
      </c>
      <c r="U525" s="7">
        <v>36</v>
      </c>
      <c r="V525" s="2">
        <f t="shared" si="81"/>
        <v>7.9681478466293827</v>
      </c>
      <c r="W525" s="7">
        <v>50</v>
      </c>
      <c r="X525" s="2">
        <f t="shared" si="74"/>
        <v>57.968147846629385</v>
      </c>
      <c r="Y525" s="2"/>
      <c r="Z525" s="2">
        <f t="shared" si="75"/>
        <v>131</v>
      </c>
      <c r="AA525" s="1">
        <f t="shared" si="76"/>
        <v>27.480916030534353</v>
      </c>
      <c r="AB525" s="1">
        <f t="shared" si="77"/>
        <v>16.030534351145036</v>
      </c>
      <c r="AC525" s="1">
        <f t="shared" si="78"/>
        <v>3.0534351145038165</v>
      </c>
      <c r="AD525" s="2">
        <f t="shared" si="79"/>
        <v>3.5405405405405403</v>
      </c>
      <c r="AE525" s="2">
        <f t="shared" si="80"/>
        <v>11.450381679389317</v>
      </c>
      <c r="AF525" s="2">
        <f t="shared" si="82"/>
        <v>39.840739233146913</v>
      </c>
    </row>
    <row r="526" spans="1:32" x14ac:dyDescent="0.35">
      <c r="A526" s="2" t="s">
        <v>914</v>
      </c>
      <c r="B526" s="2" t="s">
        <v>390</v>
      </c>
      <c r="C526" s="2">
        <v>37</v>
      </c>
      <c r="D526" s="2">
        <v>3.35</v>
      </c>
      <c r="E526" s="7">
        <v>4</v>
      </c>
      <c r="F526" s="7">
        <v>1</v>
      </c>
      <c r="G526" s="7">
        <v>0</v>
      </c>
      <c r="H526" s="7">
        <v>61</v>
      </c>
      <c r="I526" s="7">
        <v>0</v>
      </c>
      <c r="J526" s="7">
        <v>0</v>
      </c>
      <c r="K526" s="7">
        <v>0</v>
      </c>
      <c r="L526" s="7">
        <v>48</v>
      </c>
      <c r="M526" s="7">
        <v>1</v>
      </c>
      <c r="N526" s="7">
        <v>48</v>
      </c>
      <c r="O526" s="7">
        <v>22</v>
      </c>
      <c r="P526" s="7">
        <v>18</v>
      </c>
      <c r="Q526" s="7">
        <v>3</v>
      </c>
      <c r="R526" s="7">
        <v>2</v>
      </c>
      <c r="S526" s="7">
        <v>20</v>
      </c>
      <c r="T526" s="7">
        <v>3</v>
      </c>
      <c r="U526" s="7">
        <v>57</v>
      </c>
      <c r="V526" s="2">
        <f t="shared" si="81"/>
        <v>18.356254131182126</v>
      </c>
      <c r="W526" s="7">
        <v>50</v>
      </c>
      <c r="X526" s="2">
        <f t="shared" si="74"/>
        <v>68.356254131182126</v>
      </c>
      <c r="Y526" s="2"/>
      <c r="Z526" s="2">
        <f t="shared" si="75"/>
        <v>215</v>
      </c>
      <c r="AA526" s="1">
        <f t="shared" si="76"/>
        <v>26.511627906976742</v>
      </c>
      <c r="AB526" s="1">
        <f t="shared" si="77"/>
        <v>10.232558139534884</v>
      </c>
      <c r="AC526" s="1">
        <f t="shared" si="78"/>
        <v>1.3953488372093024</v>
      </c>
      <c r="AD526" s="2">
        <f t="shared" si="79"/>
        <v>5.8108108108108105</v>
      </c>
      <c r="AE526" s="2">
        <f t="shared" si="80"/>
        <v>16.279069767441857</v>
      </c>
      <c r="AF526" s="2">
        <f t="shared" si="82"/>
        <v>91.781270655910632</v>
      </c>
    </row>
    <row r="527" spans="1:32" x14ac:dyDescent="0.35">
      <c r="A527" s="2" t="s">
        <v>915</v>
      </c>
      <c r="B527" s="2" t="s">
        <v>388</v>
      </c>
      <c r="C527" s="2">
        <v>38</v>
      </c>
      <c r="D527" s="2">
        <v>7.09</v>
      </c>
      <c r="E527" s="7">
        <v>2</v>
      </c>
      <c r="F527" s="7">
        <v>2</v>
      </c>
      <c r="G527" s="7">
        <v>0</v>
      </c>
      <c r="H527" s="7">
        <v>11</v>
      </c>
      <c r="I527" s="7">
        <v>9</v>
      </c>
      <c r="J527" s="7">
        <v>0</v>
      </c>
      <c r="K527" s="7">
        <v>0</v>
      </c>
      <c r="L527" s="7">
        <v>45</v>
      </c>
      <c r="M527" s="7">
        <v>2</v>
      </c>
      <c r="N527" s="7">
        <v>61</v>
      </c>
      <c r="O527" s="7">
        <v>36</v>
      </c>
      <c r="P527" s="7">
        <v>36</v>
      </c>
      <c r="Q527" s="7">
        <v>10</v>
      </c>
      <c r="R527" s="7">
        <v>0</v>
      </c>
      <c r="S527" s="7">
        <v>17</v>
      </c>
      <c r="T527" s="7">
        <v>0</v>
      </c>
      <c r="U527" s="7">
        <v>34</v>
      </c>
      <c r="V527" s="2">
        <f t="shared" si="81"/>
        <v>12.234666208484303</v>
      </c>
      <c r="W527" s="7">
        <v>50</v>
      </c>
      <c r="X527" s="2">
        <f t="shared" si="74"/>
        <v>62.234666208484299</v>
      </c>
      <c r="Y527" s="2"/>
      <c r="Z527" s="2">
        <f t="shared" si="75"/>
        <v>215</v>
      </c>
      <c r="AA527" s="1">
        <f t="shared" si="76"/>
        <v>15.813953488372093</v>
      </c>
      <c r="AB527" s="1">
        <f t="shared" si="77"/>
        <v>7.9069767441860463</v>
      </c>
      <c r="AC527" s="1">
        <f t="shared" si="78"/>
        <v>4.6511627906976747</v>
      </c>
      <c r="AD527" s="2">
        <f t="shared" si="79"/>
        <v>5.6578947368421053</v>
      </c>
      <c r="AE527" s="2">
        <f t="shared" si="80"/>
        <v>7.9069767441860463</v>
      </c>
      <c r="AF527" s="2">
        <f t="shared" si="82"/>
        <v>61.173331042421516</v>
      </c>
    </row>
    <row r="528" spans="1:32" x14ac:dyDescent="0.35">
      <c r="A528" s="2" t="s">
        <v>916</v>
      </c>
      <c r="B528" s="2" t="s">
        <v>390</v>
      </c>
      <c r="C528" s="2">
        <v>38</v>
      </c>
      <c r="D528" s="2">
        <v>3.42</v>
      </c>
      <c r="E528" s="7">
        <v>2</v>
      </c>
      <c r="F528" s="7">
        <v>2</v>
      </c>
      <c r="G528" s="7">
        <v>2</v>
      </c>
      <c r="H528" s="7">
        <v>58</v>
      </c>
      <c r="I528" s="7">
        <v>0</v>
      </c>
      <c r="J528" s="7">
        <v>0</v>
      </c>
      <c r="K528" s="7">
        <v>0</v>
      </c>
      <c r="L528" s="7">
        <v>55</v>
      </c>
      <c r="M528" s="7">
        <v>1</v>
      </c>
      <c r="N528" s="7">
        <v>55</v>
      </c>
      <c r="O528" s="7">
        <v>23</v>
      </c>
      <c r="P528" s="7">
        <v>21</v>
      </c>
      <c r="Q528" s="7">
        <v>2</v>
      </c>
      <c r="R528" s="7">
        <v>0</v>
      </c>
      <c r="S528" s="7">
        <v>26</v>
      </c>
      <c r="T528" s="7">
        <v>5</v>
      </c>
      <c r="U528" s="7">
        <v>48</v>
      </c>
      <c r="V528" s="2">
        <f t="shared" si="81"/>
        <v>10.598455706707639</v>
      </c>
      <c r="W528" s="7">
        <v>50</v>
      </c>
      <c r="X528" s="2">
        <f t="shared" si="74"/>
        <v>60.598455706707639</v>
      </c>
      <c r="Y528" s="2"/>
      <c r="Z528" s="2">
        <f t="shared" si="75"/>
        <v>247</v>
      </c>
      <c r="AA528" s="1">
        <f t="shared" si="76"/>
        <v>19.4331983805668</v>
      </c>
      <c r="AB528" s="1">
        <f t="shared" si="77"/>
        <v>10.526315789473683</v>
      </c>
      <c r="AC528" s="1">
        <f t="shared" si="78"/>
        <v>0.80971659919028338</v>
      </c>
      <c r="AD528" s="2">
        <f t="shared" si="79"/>
        <v>6.5</v>
      </c>
      <c r="AE528" s="2">
        <f t="shared" si="80"/>
        <v>8.9068825910931171</v>
      </c>
      <c r="AF528" s="2">
        <f t="shared" si="82"/>
        <v>52.992278533538197</v>
      </c>
    </row>
    <row r="529" spans="1:32" x14ac:dyDescent="0.35">
      <c r="A529" s="2" t="s">
        <v>917</v>
      </c>
      <c r="B529" s="2" t="s">
        <v>388</v>
      </c>
      <c r="C529" s="2">
        <v>38</v>
      </c>
      <c r="D529" s="2">
        <v>6.75</v>
      </c>
      <c r="E529" s="7">
        <v>1</v>
      </c>
      <c r="F529" s="7">
        <v>0</v>
      </c>
      <c r="G529" s="7">
        <v>0</v>
      </c>
      <c r="H529" s="7">
        <v>3</v>
      </c>
      <c r="I529" s="7">
        <v>2</v>
      </c>
      <c r="J529" s="7">
        <v>0</v>
      </c>
      <c r="K529" s="7">
        <v>0</v>
      </c>
      <c r="L529" s="7">
        <v>12</v>
      </c>
      <c r="N529" s="7">
        <v>15</v>
      </c>
      <c r="O529" s="7">
        <v>9</v>
      </c>
      <c r="P529" s="7">
        <v>9</v>
      </c>
      <c r="Q529" s="7">
        <v>3</v>
      </c>
      <c r="R529" s="7">
        <v>1</v>
      </c>
      <c r="S529" s="7">
        <v>6</v>
      </c>
      <c r="T529" s="7">
        <v>0</v>
      </c>
      <c r="U529" s="7">
        <v>7</v>
      </c>
      <c r="V529" s="2">
        <f t="shared" si="81"/>
        <v>0.42605930029752753</v>
      </c>
      <c r="W529" s="7">
        <v>50</v>
      </c>
      <c r="X529" s="2">
        <f t="shared" si="74"/>
        <v>50.426059300297524</v>
      </c>
      <c r="Y529" s="2"/>
      <c r="Z529" s="2">
        <f t="shared" si="75"/>
        <v>58</v>
      </c>
      <c r="AA529" s="1">
        <f t="shared" si="76"/>
        <v>12.068965517241379</v>
      </c>
      <c r="AB529" s="1">
        <f t="shared" si="77"/>
        <v>12.068965517241379</v>
      </c>
      <c r="AC529" s="1">
        <f t="shared" si="78"/>
        <v>5.1724137931034484</v>
      </c>
      <c r="AD529" s="2">
        <f t="shared" si="79"/>
        <v>1.5263157894736843</v>
      </c>
      <c r="AE529" s="2">
        <f t="shared" si="80"/>
        <v>0</v>
      </c>
      <c r="AF529" s="2">
        <f t="shared" si="82"/>
        <v>2.1302965014876376</v>
      </c>
    </row>
    <row r="530" spans="1:32" x14ac:dyDescent="0.35">
      <c r="A530" s="2" t="s">
        <v>918</v>
      </c>
      <c r="B530" s="2" t="s">
        <v>390</v>
      </c>
      <c r="C530" s="2">
        <v>38</v>
      </c>
      <c r="D530" s="2">
        <v>2.64</v>
      </c>
      <c r="E530" s="7">
        <v>3</v>
      </c>
      <c r="F530" s="7">
        <v>4</v>
      </c>
      <c r="G530" s="7">
        <v>1</v>
      </c>
      <c r="H530" s="7">
        <v>67</v>
      </c>
      <c r="I530" s="7">
        <v>0</v>
      </c>
      <c r="J530" s="7">
        <v>0</v>
      </c>
      <c r="K530" s="7">
        <v>0</v>
      </c>
      <c r="L530" s="7">
        <v>58</v>
      </c>
      <c r="N530" s="7">
        <v>38</v>
      </c>
      <c r="O530" s="7">
        <v>17</v>
      </c>
      <c r="P530" s="7">
        <v>17</v>
      </c>
      <c r="Q530" s="7">
        <v>5</v>
      </c>
      <c r="R530" s="7">
        <v>0</v>
      </c>
      <c r="S530" s="7">
        <v>13</v>
      </c>
      <c r="T530" s="7">
        <v>1</v>
      </c>
      <c r="U530" s="7">
        <v>56</v>
      </c>
      <c r="V530" s="2">
        <f t="shared" si="81"/>
        <v>36.180858679127383</v>
      </c>
      <c r="W530" s="7">
        <v>50</v>
      </c>
      <c r="X530" s="2">
        <f t="shared" si="74"/>
        <v>86.180858679127383</v>
      </c>
      <c r="Y530" s="2"/>
      <c r="Z530" s="2">
        <f t="shared" si="75"/>
        <v>225</v>
      </c>
      <c r="AA530" s="1">
        <f t="shared" si="76"/>
        <v>24.888888888888889</v>
      </c>
      <c r="AB530" s="1">
        <f t="shared" si="77"/>
        <v>5.7777777777777777</v>
      </c>
      <c r="AC530" s="1">
        <f t="shared" si="78"/>
        <v>2.2222222222222223</v>
      </c>
      <c r="AD530" s="2">
        <f t="shared" si="79"/>
        <v>5.9210526315789478</v>
      </c>
      <c r="AE530" s="2">
        <f t="shared" si="80"/>
        <v>19.111111111111111</v>
      </c>
      <c r="AF530" s="2">
        <f t="shared" si="82"/>
        <v>180.9042933956369</v>
      </c>
    </row>
    <row r="531" spans="1:32" x14ac:dyDescent="0.35">
      <c r="A531" s="2" t="s">
        <v>919</v>
      </c>
      <c r="B531" s="2" t="s">
        <v>390</v>
      </c>
      <c r="C531" s="2">
        <v>38</v>
      </c>
      <c r="D531" s="2">
        <v>5.23</v>
      </c>
      <c r="E531" s="7">
        <v>4</v>
      </c>
      <c r="F531" s="7">
        <v>3</v>
      </c>
      <c r="G531" s="7">
        <v>3</v>
      </c>
      <c r="H531" s="7">
        <v>50</v>
      </c>
      <c r="I531" s="7">
        <v>0</v>
      </c>
      <c r="J531" s="7">
        <v>0</v>
      </c>
      <c r="K531" s="7">
        <v>0</v>
      </c>
      <c r="L531" s="7">
        <v>41</v>
      </c>
      <c r="M531" s="7">
        <v>1</v>
      </c>
      <c r="N531" s="7">
        <v>38</v>
      </c>
      <c r="O531" s="7">
        <v>26</v>
      </c>
      <c r="P531" s="7">
        <v>24</v>
      </c>
      <c r="Q531" s="7">
        <v>9</v>
      </c>
      <c r="R531" s="7">
        <v>1</v>
      </c>
      <c r="S531" s="7">
        <v>17</v>
      </c>
      <c r="T531" s="7">
        <v>0</v>
      </c>
      <c r="U531" s="7">
        <v>52</v>
      </c>
      <c r="V531" s="2">
        <f t="shared" si="81"/>
        <v>25.677558089648993</v>
      </c>
      <c r="W531" s="7">
        <v>50</v>
      </c>
      <c r="X531" s="2">
        <f t="shared" si="74"/>
        <v>75.677558089648997</v>
      </c>
      <c r="Y531" s="2"/>
      <c r="Z531" s="2">
        <f t="shared" si="75"/>
        <v>180</v>
      </c>
      <c r="AA531" s="1">
        <f t="shared" si="76"/>
        <v>28.888888888888886</v>
      </c>
      <c r="AB531" s="1">
        <f t="shared" si="77"/>
        <v>10</v>
      </c>
      <c r="AC531" s="1">
        <f t="shared" si="78"/>
        <v>5</v>
      </c>
      <c r="AD531" s="2">
        <f t="shared" si="79"/>
        <v>4.7368421052631575</v>
      </c>
      <c r="AE531" s="2">
        <f t="shared" si="80"/>
        <v>18.888888888888886</v>
      </c>
      <c r="AF531" s="2">
        <f t="shared" si="82"/>
        <v>128.38779044824497</v>
      </c>
    </row>
    <row r="532" spans="1:32" x14ac:dyDescent="0.35">
      <c r="A532" s="2" t="s">
        <v>920</v>
      </c>
      <c r="B532" s="2" t="s">
        <v>390</v>
      </c>
      <c r="C532" s="2">
        <v>39</v>
      </c>
      <c r="D532" s="2">
        <v>2.98</v>
      </c>
      <c r="E532" s="7">
        <v>2</v>
      </c>
      <c r="F532" s="7">
        <v>6</v>
      </c>
      <c r="G532" s="7">
        <v>2</v>
      </c>
      <c r="H532" s="7">
        <v>48</v>
      </c>
      <c r="I532" s="7">
        <v>0</v>
      </c>
      <c r="J532" s="7">
        <v>0</v>
      </c>
      <c r="K532" s="7">
        <v>0</v>
      </c>
      <c r="L532" s="7">
        <v>42</v>
      </c>
      <c r="M532" s="7">
        <v>1</v>
      </c>
      <c r="N532" s="7">
        <v>43</v>
      </c>
      <c r="O532" s="7">
        <v>18</v>
      </c>
      <c r="P532" s="7">
        <v>14</v>
      </c>
      <c r="Q532" s="7">
        <v>6</v>
      </c>
      <c r="R532" s="7">
        <v>1</v>
      </c>
      <c r="S532" s="7">
        <v>8</v>
      </c>
      <c r="T532" s="7">
        <v>3</v>
      </c>
      <c r="U532" s="7">
        <v>43</v>
      </c>
      <c r="V532" s="2">
        <f t="shared" si="81"/>
        <v>31.616001206510056</v>
      </c>
      <c r="W532" s="7">
        <v>50</v>
      </c>
      <c r="X532" s="2">
        <f t="shared" si="74"/>
        <v>81.616001206510049</v>
      </c>
      <c r="Y532" s="2"/>
      <c r="Z532" s="2">
        <f t="shared" si="75"/>
        <v>179</v>
      </c>
      <c r="AA532" s="1">
        <f t="shared" si="76"/>
        <v>24.022346368715084</v>
      </c>
      <c r="AB532" s="1">
        <f t="shared" si="77"/>
        <v>5.027932960893855</v>
      </c>
      <c r="AC532" s="1">
        <f t="shared" si="78"/>
        <v>3.3519553072625698</v>
      </c>
      <c r="AD532" s="2">
        <f t="shared" si="79"/>
        <v>4.5897435897435894</v>
      </c>
      <c r="AE532" s="2">
        <f t="shared" si="80"/>
        <v>18.994413407821227</v>
      </c>
      <c r="AF532" s="2">
        <f t="shared" si="82"/>
        <v>158.08000603255027</v>
      </c>
    </row>
    <row r="533" spans="1:32" x14ac:dyDescent="0.35">
      <c r="A533" s="2" t="s">
        <v>921</v>
      </c>
      <c r="B533" s="2" t="s">
        <v>390</v>
      </c>
      <c r="C533" s="2">
        <v>39</v>
      </c>
      <c r="D533" s="2">
        <v>0</v>
      </c>
      <c r="E533" s="7">
        <v>0</v>
      </c>
      <c r="F533" s="7">
        <v>0</v>
      </c>
      <c r="G533" s="7">
        <v>0</v>
      </c>
      <c r="H533" s="7">
        <v>3</v>
      </c>
      <c r="I533" s="7">
        <v>0</v>
      </c>
      <c r="J533" s="7">
        <v>0</v>
      </c>
      <c r="K533" s="7">
        <v>0</v>
      </c>
      <c r="L533" s="7">
        <v>1</v>
      </c>
      <c r="M533" s="7">
        <v>2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4</v>
      </c>
      <c r="T533" s="7">
        <v>0</v>
      </c>
      <c r="U533" s="7">
        <v>3</v>
      </c>
      <c r="V533" s="2" t="e">
        <f t="shared" si="81"/>
        <v>#DIV/0!</v>
      </c>
      <c r="W533" s="7">
        <v>50</v>
      </c>
      <c r="X533" s="2" t="e">
        <f t="shared" si="74"/>
        <v>#DIV/0!</v>
      </c>
      <c r="Y533" s="2"/>
      <c r="Z533" s="2">
        <f t="shared" si="75"/>
        <v>9</v>
      </c>
      <c r="AA533" s="1">
        <f t="shared" si="76"/>
        <v>33.333333333333329</v>
      </c>
      <c r="AB533" s="1">
        <f t="shared" si="77"/>
        <v>44.444444444444443</v>
      </c>
      <c r="AC533" s="1">
        <f t="shared" si="78"/>
        <v>0</v>
      </c>
      <c r="AD533" s="2">
        <f t="shared" si="79"/>
        <v>0.23076923076923078</v>
      </c>
      <c r="AE533" s="2">
        <f t="shared" si="80"/>
        <v>-11.111111111111114</v>
      </c>
      <c r="AF533" s="2" t="e">
        <f t="shared" si="82"/>
        <v>#DIV/0!</v>
      </c>
    </row>
    <row r="534" spans="1:32" x14ac:dyDescent="0.35">
      <c r="A534" s="2" t="s">
        <v>922</v>
      </c>
      <c r="B534" s="2" t="s">
        <v>390</v>
      </c>
      <c r="C534" s="2">
        <v>40</v>
      </c>
      <c r="D534" s="2">
        <v>4.08</v>
      </c>
      <c r="E534" s="7">
        <v>2</v>
      </c>
      <c r="F534" s="7">
        <v>0</v>
      </c>
      <c r="G534" s="7">
        <v>2</v>
      </c>
      <c r="H534" s="7">
        <v>20</v>
      </c>
      <c r="I534" s="7">
        <v>0</v>
      </c>
      <c r="J534" s="7">
        <v>0</v>
      </c>
      <c r="K534" s="7">
        <v>0</v>
      </c>
      <c r="L534" s="7">
        <v>17</v>
      </c>
      <c r="M534" s="7">
        <v>2</v>
      </c>
      <c r="N534" s="7">
        <v>18</v>
      </c>
      <c r="O534" s="7">
        <v>9</v>
      </c>
      <c r="P534" s="7">
        <v>8</v>
      </c>
      <c r="Q534" s="7">
        <v>4</v>
      </c>
      <c r="R534" s="7">
        <v>0</v>
      </c>
      <c r="S534" s="7">
        <v>8</v>
      </c>
      <c r="T534" s="7">
        <v>1</v>
      </c>
      <c r="U534" s="7">
        <v>22</v>
      </c>
      <c r="V534" s="2">
        <f t="shared" si="81"/>
        <v>11.562049748696946</v>
      </c>
      <c r="W534" s="7">
        <v>50</v>
      </c>
      <c r="X534" s="2">
        <f t="shared" si="74"/>
        <v>61.56204974869695</v>
      </c>
      <c r="Y534" s="2"/>
      <c r="Z534" s="2">
        <f t="shared" si="75"/>
        <v>79</v>
      </c>
      <c r="AA534" s="1">
        <f t="shared" si="76"/>
        <v>27.848101265822784</v>
      </c>
      <c r="AB534" s="1">
        <f t="shared" si="77"/>
        <v>10.126582278481013</v>
      </c>
      <c r="AC534" s="1">
        <f t="shared" si="78"/>
        <v>5.0632911392405067</v>
      </c>
      <c r="AD534" s="2">
        <f t="shared" si="79"/>
        <v>1.9750000000000001</v>
      </c>
      <c r="AE534" s="2">
        <f t="shared" si="80"/>
        <v>17.721518987341771</v>
      </c>
      <c r="AF534" s="2">
        <f t="shared" si="82"/>
        <v>57.810248743484735</v>
      </c>
    </row>
    <row r="535" spans="1:32" x14ac:dyDescent="0.35">
      <c r="A535" s="2" t="s">
        <v>923</v>
      </c>
      <c r="B535" s="2" t="s">
        <v>390</v>
      </c>
      <c r="C535" s="2">
        <v>41</v>
      </c>
      <c r="D535" s="2">
        <v>9</v>
      </c>
      <c r="E535" s="7">
        <v>0</v>
      </c>
      <c r="F535" s="7">
        <v>1</v>
      </c>
      <c r="G535" s="7">
        <v>0</v>
      </c>
      <c r="H535" s="7">
        <v>4</v>
      </c>
      <c r="I535" s="7">
        <v>0</v>
      </c>
      <c r="J535" s="7">
        <v>0</v>
      </c>
      <c r="K535" s="7">
        <v>0</v>
      </c>
      <c r="L535" s="7">
        <v>8</v>
      </c>
      <c r="N535" s="7">
        <v>14</v>
      </c>
      <c r="O535" s="7">
        <v>8</v>
      </c>
      <c r="P535" s="7">
        <v>8</v>
      </c>
      <c r="Q535" s="7">
        <v>4</v>
      </c>
      <c r="R535" s="7">
        <v>0</v>
      </c>
      <c r="S535" s="7">
        <v>5</v>
      </c>
      <c r="T535" s="7">
        <v>0</v>
      </c>
      <c r="U535" s="7">
        <v>8</v>
      </c>
      <c r="V535" s="2">
        <f t="shared" si="81"/>
        <v>1.9269958972987353</v>
      </c>
      <c r="W535" s="7">
        <v>50</v>
      </c>
      <c r="X535" s="2">
        <f t="shared" si="74"/>
        <v>51.926995897298738</v>
      </c>
      <c r="Y535" s="2"/>
      <c r="Z535" s="2">
        <f t="shared" si="75"/>
        <v>43</v>
      </c>
      <c r="AA535" s="1">
        <f t="shared" si="76"/>
        <v>18.604651162790699</v>
      </c>
      <c r="AB535" s="1">
        <f t="shared" si="77"/>
        <v>11.627906976744185</v>
      </c>
      <c r="AC535" s="1">
        <f t="shared" si="78"/>
        <v>9.3023255813953494</v>
      </c>
      <c r="AD535" s="2">
        <f t="shared" si="79"/>
        <v>1.0487804878048781</v>
      </c>
      <c r="AE535" s="2">
        <f t="shared" si="80"/>
        <v>6.9767441860465134</v>
      </c>
      <c r="AF535" s="2">
        <f t="shared" si="82"/>
        <v>9.6349794864936769</v>
      </c>
    </row>
    <row r="536" spans="1:32" x14ac:dyDescent="0.35">
      <c r="A536" s="2" t="s">
        <v>924</v>
      </c>
      <c r="B536" s="2" t="s">
        <v>388</v>
      </c>
      <c r="C536" s="2">
        <v>41</v>
      </c>
      <c r="D536" s="2">
        <v>5.83</v>
      </c>
      <c r="E536" s="7">
        <v>9</v>
      </c>
      <c r="F536" s="7">
        <v>11</v>
      </c>
      <c r="G536" s="7">
        <v>0</v>
      </c>
      <c r="H536" s="7">
        <v>33</v>
      </c>
      <c r="I536" s="7">
        <v>27</v>
      </c>
      <c r="J536" s="7">
        <v>0</v>
      </c>
      <c r="K536" s="7">
        <v>0</v>
      </c>
      <c r="L536" s="7">
        <v>142</v>
      </c>
      <c r="N536" s="7">
        <v>152</v>
      </c>
      <c r="O536" s="7">
        <v>94</v>
      </c>
      <c r="P536" s="7">
        <v>92</v>
      </c>
      <c r="Q536" s="7">
        <v>23</v>
      </c>
      <c r="R536" s="7">
        <v>14</v>
      </c>
      <c r="S536" s="7">
        <v>72</v>
      </c>
      <c r="T536" s="7">
        <v>2</v>
      </c>
      <c r="U536" s="7">
        <v>149</v>
      </c>
      <c r="V536" s="2">
        <f t="shared" si="81"/>
        <v>63.694624624558536</v>
      </c>
      <c r="W536" s="7">
        <v>50</v>
      </c>
      <c r="X536" s="2">
        <f t="shared" si="74"/>
        <v>113.69462462455854</v>
      </c>
      <c r="Y536" s="2"/>
      <c r="Z536" s="2">
        <f t="shared" si="75"/>
        <v>664</v>
      </c>
      <c r="AA536" s="1">
        <f t="shared" si="76"/>
        <v>22.439759036144576</v>
      </c>
      <c r="AB536" s="1">
        <f t="shared" si="77"/>
        <v>12.951807228915662</v>
      </c>
      <c r="AC536" s="1">
        <f t="shared" si="78"/>
        <v>3.463855421686747</v>
      </c>
      <c r="AD536" s="2">
        <f t="shared" si="79"/>
        <v>16.195121951219512</v>
      </c>
      <c r="AE536" s="2">
        <f t="shared" si="80"/>
        <v>9.4879518072289137</v>
      </c>
      <c r="AF536" s="2">
        <f t="shared" si="82"/>
        <v>318.47312312279269</v>
      </c>
    </row>
    <row r="537" spans="1:32" x14ac:dyDescent="0.35">
      <c r="A537" s="2" t="s">
        <v>925</v>
      </c>
      <c r="B537" s="2" t="s">
        <v>388</v>
      </c>
      <c r="C537" s="2">
        <v>42</v>
      </c>
      <c r="D537" s="2">
        <v>3.85</v>
      </c>
      <c r="E537" s="7">
        <v>4</v>
      </c>
      <c r="F537" s="7">
        <v>11</v>
      </c>
      <c r="G537" s="7">
        <v>0</v>
      </c>
      <c r="H537" s="7">
        <v>29</v>
      </c>
      <c r="I537" s="7">
        <v>29</v>
      </c>
      <c r="J537" s="7">
        <v>0</v>
      </c>
      <c r="K537" s="7">
        <v>0</v>
      </c>
      <c r="L537" s="7">
        <v>152</v>
      </c>
      <c r="N537" s="7">
        <v>155</v>
      </c>
      <c r="O537" s="7">
        <v>74</v>
      </c>
      <c r="P537" s="7">
        <v>65</v>
      </c>
      <c r="Q537" s="7">
        <v>16</v>
      </c>
      <c r="R537" s="7">
        <v>6</v>
      </c>
      <c r="S537" s="7">
        <v>52</v>
      </c>
      <c r="T537" s="7">
        <v>1</v>
      </c>
      <c r="U537" s="7">
        <v>137</v>
      </c>
      <c r="V537" s="2">
        <f t="shared" si="81"/>
        <v>77.842671640511838</v>
      </c>
      <c r="W537" s="7">
        <v>50</v>
      </c>
      <c r="X537" s="2">
        <f t="shared" si="74"/>
        <v>127.84267164051184</v>
      </c>
      <c r="Y537" s="2"/>
      <c r="Z537" s="2">
        <f t="shared" si="75"/>
        <v>669</v>
      </c>
      <c r="AA537" s="1">
        <f t="shared" si="76"/>
        <v>20.478325859491779</v>
      </c>
      <c r="AB537" s="1">
        <f t="shared" si="77"/>
        <v>8.6696562032884916</v>
      </c>
      <c r="AC537" s="1">
        <f t="shared" si="78"/>
        <v>2.391629297458894</v>
      </c>
      <c r="AD537" s="2">
        <f t="shared" si="79"/>
        <v>15.928571428571429</v>
      </c>
      <c r="AE537" s="2">
        <f t="shared" si="80"/>
        <v>11.808669656203287</v>
      </c>
      <c r="AF537" s="2">
        <f t="shared" si="82"/>
        <v>389.21335820255922</v>
      </c>
    </row>
    <row r="538" spans="1:32" x14ac:dyDescent="0.35">
      <c r="A538" s="2" t="s">
        <v>926</v>
      </c>
      <c r="B538" s="2" t="s">
        <v>388</v>
      </c>
      <c r="C538" s="2">
        <v>45</v>
      </c>
      <c r="D538" s="2">
        <v>5</v>
      </c>
      <c r="E538" s="7">
        <v>0</v>
      </c>
      <c r="F538" s="7">
        <v>2</v>
      </c>
      <c r="G538" s="7">
        <v>0</v>
      </c>
      <c r="H538" s="7">
        <v>2</v>
      </c>
      <c r="I538" s="7">
        <v>2</v>
      </c>
      <c r="J538" s="7">
        <v>0</v>
      </c>
      <c r="K538" s="7">
        <v>0</v>
      </c>
      <c r="L538" s="7">
        <v>9</v>
      </c>
      <c r="N538" s="7">
        <v>9</v>
      </c>
      <c r="O538" s="7">
        <v>7</v>
      </c>
      <c r="P538" s="7">
        <v>5</v>
      </c>
      <c r="Q538" s="7">
        <v>2</v>
      </c>
      <c r="R538" s="7">
        <v>0</v>
      </c>
      <c r="S538" s="7">
        <v>8</v>
      </c>
      <c r="T538" s="7">
        <v>0</v>
      </c>
      <c r="U538" s="7">
        <v>4</v>
      </c>
      <c r="V538" s="2">
        <f t="shared" si="81"/>
        <v>-1.7596480359147031</v>
      </c>
      <c r="W538" s="7">
        <v>50</v>
      </c>
      <c r="X538" s="2">
        <f t="shared" si="74"/>
        <v>48.240351964085299</v>
      </c>
      <c r="Y538" s="2"/>
      <c r="Z538" s="2">
        <f t="shared" si="75"/>
        <v>44</v>
      </c>
      <c r="AA538" s="1">
        <f t="shared" si="76"/>
        <v>9.0909090909090917</v>
      </c>
      <c r="AB538" s="1">
        <f t="shared" si="77"/>
        <v>18.181818181818183</v>
      </c>
      <c r="AC538" s="1">
        <f t="shared" si="78"/>
        <v>4.5454545454545459</v>
      </c>
      <c r="AD538" s="2">
        <f t="shared" si="79"/>
        <v>0.97777777777777775</v>
      </c>
      <c r="AE538" s="2">
        <f t="shared" si="80"/>
        <v>-9.0909090909090917</v>
      </c>
      <c r="AF538" s="2">
        <f t="shared" si="82"/>
        <v>-8.798240179573515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Bats</vt:lpstr>
      <vt:lpstr>Arms</vt:lpstr>
    </vt:vector>
  </TitlesOfParts>
  <Company>St. Louis Cardinals,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Rubio</dc:creator>
  <cp:lastModifiedBy>Mauricio Rubio</cp:lastModifiedBy>
  <dcterms:created xsi:type="dcterms:W3CDTF">2026-01-12T21:16:08Z</dcterms:created>
  <dcterms:modified xsi:type="dcterms:W3CDTF">2026-01-14T16:21:33Z</dcterms:modified>
</cp:coreProperties>
</file>