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ubio\personal_git\cibl\draft\bigboard\"/>
    </mc:Choice>
  </mc:AlternateContent>
  <xr:revisionPtr revIDLastSave="0" documentId="13_ncr:1_{18A4A7EE-A1BA-4B03-9EAB-45C9D73B47BD}" xr6:coauthVersionLast="36" xr6:coauthVersionMax="36" xr10:uidLastSave="{00000000-0000-0000-0000-000000000000}"/>
  <bookViews>
    <workbookView xWindow="0" yWindow="0" windowWidth="28800" windowHeight="11625" xr2:uid="{600337D8-D9AA-456F-B227-AAF29C465AF6}"/>
  </bookViews>
  <sheets>
    <sheet name="Bats" sheetId="1" r:id="rId1"/>
    <sheet name="Arm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350" i="1" l="1"/>
  <c r="AH349" i="1"/>
  <c r="AH348" i="1"/>
  <c r="AH347" i="1"/>
  <c r="AH346" i="1"/>
  <c r="AH345" i="1"/>
  <c r="AH344" i="1"/>
  <c r="AH343" i="1"/>
  <c r="AH342" i="1"/>
  <c r="AH341" i="1"/>
  <c r="T341" i="1" s="1"/>
  <c r="V341" i="1" s="1"/>
  <c r="AH340" i="1"/>
  <c r="AH339" i="1"/>
  <c r="AH338" i="1"/>
  <c r="AH337" i="1"/>
  <c r="AH336" i="1"/>
  <c r="AH335" i="1"/>
  <c r="AH334" i="1"/>
  <c r="AH333" i="1"/>
  <c r="AH332" i="1"/>
  <c r="AH331" i="1"/>
  <c r="AH330" i="1"/>
  <c r="AH329" i="1"/>
  <c r="T329" i="1" s="1"/>
  <c r="V329" i="1" s="1"/>
  <c r="AH328" i="1"/>
  <c r="AH327" i="1"/>
  <c r="AH326" i="1"/>
  <c r="AH325" i="1"/>
  <c r="AH324" i="1"/>
  <c r="AH323" i="1"/>
  <c r="AH322" i="1"/>
  <c r="AH321" i="1"/>
  <c r="AH320" i="1"/>
  <c r="AH319" i="1"/>
  <c r="AH318" i="1"/>
  <c r="AH317" i="1"/>
  <c r="T317" i="1" s="1"/>
  <c r="V317" i="1" s="1"/>
  <c r="AH316" i="1"/>
  <c r="AH315" i="1"/>
  <c r="AH314" i="1"/>
  <c r="AH313" i="1"/>
  <c r="AH312" i="1"/>
  <c r="AH311" i="1"/>
  <c r="AH310" i="1"/>
  <c r="AH309" i="1"/>
  <c r="AH308" i="1"/>
  <c r="AH307" i="1"/>
  <c r="AH306" i="1"/>
  <c r="AH305" i="1"/>
  <c r="T305" i="1" s="1"/>
  <c r="V305" i="1" s="1"/>
  <c r="AH304" i="1"/>
  <c r="AH303" i="1"/>
  <c r="AH302" i="1"/>
  <c r="AH301" i="1"/>
  <c r="AH300" i="1"/>
  <c r="AH299" i="1"/>
  <c r="AH298" i="1"/>
  <c r="AH297" i="1"/>
  <c r="AH296" i="1"/>
  <c r="AH295" i="1"/>
  <c r="AH294" i="1"/>
  <c r="AH293" i="1"/>
  <c r="T293" i="1" s="1"/>
  <c r="V293" i="1" s="1"/>
  <c r="AH292" i="1"/>
  <c r="AH291" i="1"/>
  <c r="AH290" i="1"/>
  <c r="AH289" i="1"/>
  <c r="AH288" i="1"/>
  <c r="AH287" i="1"/>
  <c r="AH286" i="1"/>
  <c r="AH285" i="1"/>
  <c r="AH284" i="1"/>
  <c r="AH283" i="1"/>
  <c r="AH282" i="1"/>
  <c r="AH281" i="1"/>
  <c r="T281" i="1" s="1"/>
  <c r="V281" i="1" s="1"/>
  <c r="AH280" i="1"/>
  <c r="AH279" i="1"/>
  <c r="AH278" i="1"/>
  <c r="AH277" i="1"/>
  <c r="AH276" i="1"/>
  <c r="AH275" i="1"/>
  <c r="AH274" i="1"/>
  <c r="AH273" i="1"/>
  <c r="AH272" i="1"/>
  <c r="AH271" i="1"/>
  <c r="AH270" i="1"/>
  <c r="AH269" i="1"/>
  <c r="T269" i="1" s="1"/>
  <c r="V269" i="1" s="1"/>
  <c r="AH268" i="1"/>
  <c r="AH267" i="1"/>
  <c r="AH266" i="1"/>
  <c r="AH265" i="1"/>
  <c r="AH264" i="1"/>
  <c r="AH263" i="1"/>
  <c r="AH262" i="1"/>
  <c r="AH261" i="1"/>
  <c r="AH260" i="1"/>
  <c r="AH259" i="1"/>
  <c r="AH258" i="1"/>
  <c r="AH257" i="1"/>
  <c r="T257" i="1" s="1"/>
  <c r="V257" i="1" s="1"/>
  <c r="AH256" i="1"/>
  <c r="AH255" i="1"/>
  <c r="AH254" i="1"/>
  <c r="AH253" i="1"/>
  <c r="AH252" i="1"/>
  <c r="AH251" i="1"/>
  <c r="AH250" i="1"/>
  <c r="AH249" i="1"/>
  <c r="AH248" i="1"/>
  <c r="AH247" i="1"/>
  <c r="AH246" i="1"/>
  <c r="AH245" i="1"/>
  <c r="T245" i="1" s="1"/>
  <c r="V245" i="1" s="1"/>
  <c r="AH244" i="1"/>
  <c r="AH243" i="1"/>
  <c r="AH242" i="1"/>
  <c r="AH241" i="1"/>
  <c r="AH240" i="1"/>
  <c r="AH239" i="1"/>
  <c r="AH238" i="1"/>
  <c r="AH237" i="1"/>
  <c r="AH236" i="1"/>
  <c r="AH235" i="1"/>
  <c r="AH234" i="1"/>
  <c r="AH233" i="1"/>
  <c r="T233" i="1" s="1"/>
  <c r="V233" i="1" s="1"/>
  <c r="AH232" i="1"/>
  <c r="AH231" i="1"/>
  <c r="AH230" i="1"/>
  <c r="AH229" i="1"/>
  <c r="AH228" i="1"/>
  <c r="AH227" i="1"/>
  <c r="AH226" i="1"/>
  <c r="AH225" i="1"/>
  <c r="AH224" i="1"/>
  <c r="AH223" i="1"/>
  <c r="AH222" i="1"/>
  <c r="AH221" i="1"/>
  <c r="T221" i="1" s="1"/>
  <c r="V221" i="1" s="1"/>
  <c r="AH220" i="1"/>
  <c r="AH219" i="1"/>
  <c r="AH218" i="1"/>
  <c r="AH217" i="1"/>
  <c r="AH216" i="1"/>
  <c r="AH215" i="1"/>
  <c r="AH214" i="1"/>
  <c r="AH213" i="1"/>
  <c r="AH212" i="1"/>
  <c r="AH211" i="1"/>
  <c r="AH210" i="1"/>
  <c r="AH209" i="1"/>
  <c r="T209" i="1" s="1"/>
  <c r="V209" i="1" s="1"/>
  <c r="AH208" i="1"/>
  <c r="AH207" i="1"/>
  <c r="AH206" i="1"/>
  <c r="AH205" i="1"/>
  <c r="AH204" i="1"/>
  <c r="AH203" i="1"/>
  <c r="AH202" i="1"/>
  <c r="AH201" i="1"/>
  <c r="AH200" i="1"/>
  <c r="AH199" i="1"/>
  <c r="AH198" i="1"/>
  <c r="AH197" i="1"/>
  <c r="T197" i="1" s="1"/>
  <c r="V197" i="1" s="1"/>
  <c r="AH196" i="1"/>
  <c r="AH195" i="1"/>
  <c r="AH194" i="1"/>
  <c r="AH193" i="1"/>
  <c r="AH192" i="1"/>
  <c r="AH191" i="1"/>
  <c r="AH190" i="1"/>
  <c r="AH189" i="1"/>
  <c r="AH188" i="1"/>
  <c r="AH187" i="1"/>
  <c r="AH186" i="1"/>
  <c r="AH185" i="1"/>
  <c r="T185" i="1" s="1"/>
  <c r="V185" i="1" s="1"/>
  <c r="AH184" i="1"/>
  <c r="AH183" i="1"/>
  <c r="AH182" i="1"/>
  <c r="AH181" i="1"/>
  <c r="AH180" i="1"/>
  <c r="AH179" i="1"/>
  <c r="AH178" i="1"/>
  <c r="AH177" i="1"/>
  <c r="AH176" i="1"/>
  <c r="AH175" i="1"/>
  <c r="AH174" i="1"/>
  <c r="AH173" i="1"/>
  <c r="T173" i="1" s="1"/>
  <c r="V173" i="1" s="1"/>
  <c r="AH172" i="1"/>
  <c r="AH171" i="1"/>
  <c r="AH170" i="1"/>
  <c r="AH169" i="1"/>
  <c r="AH168" i="1"/>
  <c r="AH167" i="1"/>
  <c r="AH166" i="1"/>
  <c r="AH165" i="1"/>
  <c r="AH164" i="1"/>
  <c r="AH163" i="1"/>
  <c r="AH162" i="1"/>
  <c r="AH161" i="1"/>
  <c r="T161" i="1" s="1"/>
  <c r="V161" i="1" s="1"/>
  <c r="AH160" i="1"/>
  <c r="AH159" i="1"/>
  <c r="AH158" i="1"/>
  <c r="AH157" i="1"/>
  <c r="AH156" i="1"/>
  <c r="AH155" i="1"/>
  <c r="AH154" i="1"/>
  <c r="AH153" i="1"/>
  <c r="AH152" i="1"/>
  <c r="AH151" i="1"/>
  <c r="AH150" i="1"/>
  <c r="AH149" i="1"/>
  <c r="T149" i="1" s="1"/>
  <c r="V149" i="1" s="1"/>
  <c r="AH148" i="1"/>
  <c r="AH147" i="1"/>
  <c r="AH146" i="1"/>
  <c r="AH145" i="1"/>
  <c r="AH144" i="1"/>
  <c r="AH143" i="1"/>
  <c r="AH142" i="1"/>
  <c r="AH141" i="1"/>
  <c r="AH140" i="1"/>
  <c r="AH139" i="1"/>
  <c r="AH138" i="1"/>
  <c r="AH137" i="1"/>
  <c r="T137" i="1" s="1"/>
  <c r="V137" i="1" s="1"/>
  <c r="AH136" i="1"/>
  <c r="AH135" i="1"/>
  <c r="AH134" i="1"/>
  <c r="AH133" i="1"/>
  <c r="AH132" i="1"/>
  <c r="AH131" i="1"/>
  <c r="AH130" i="1"/>
  <c r="AH129" i="1"/>
  <c r="AH128" i="1"/>
  <c r="AH127" i="1"/>
  <c r="AH126" i="1"/>
  <c r="AH125" i="1"/>
  <c r="T125" i="1" s="1"/>
  <c r="V125" i="1" s="1"/>
  <c r="AH124" i="1"/>
  <c r="AH123" i="1"/>
  <c r="AH122" i="1"/>
  <c r="AH121" i="1"/>
  <c r="AH120" i="1"/>
  <c r="AH119" i="1"/>
  <c r="AH118" i="1"/>
  <c r="AH117" i="1"/>
  <c r="AH116" i="1"/>
  <c r="AH115" i="1"/>
  <c r="AH114" i="1"/>
  <c r="AH113" i="1"/>
  <c r="T113" i="1" s="1"/>
  <c r="V113" i="1" s="1"/>
  <c r="AH112" i="1"/>
  <c r="AH111" i="1"/>
  <c r="AH110" i="1"/>
  <c r="AH109" i="1"/>
  <c r="AH108" i="1"/>
  <c r="AH107" i="1"/>
  <c r="AH106" i="1"/>
  <c r="AH105" i="1"/>
  <c r="AH104" i="1"/>
  <c r="AH103" i="1"/>
  <c r="AH102" i="1"/>
  <c r="AH101" i="1"/>
  <c r="T101" i="1" s="1"/>
  <c r="V101" i="1" s="1"/>
  <c r="AH100" i="1"/>
  <c r="AH99" i="1"/>
  <c r="AH98" i="1"/>
  <c r="AH97" i="1"/>
  <c r="AH96" i="1"/>
  <c r="AH95" i="1"/>
  <c r="AH94" i="1"/>
  <c r="AH93" i="1"/>
  <c r="AH92" i="1"/>
  <c r="AH91" i="1"/>
  <c r="AH90" i="1"/>
  <c r="AH89" i="1"/>
  <c r="T89" i="1" s="1"/>
  <c r="V89" i="1" s="1"/>
  <c r="AH88" i="1"/>
  <c r="AH87" i="1"/>
  <c r="AH86" i="1"/>
  <c r="AH85" i="1"/>
  <c r="AH84" i="1"/>
  <c r="AH83" i="1"/>
  <c r="AH82" i="1"/>
  <c r="AH81" i="1"/>
  <c r="AH80" i="1"/>
  <c r="AH79" i="1"/>
  <c r="AH78" i="1"/>
  <c r="AH77" i="1"/>
  <c r="T77" i="1" s="1"/>
  <c r="V77" i="1" s="1"/>
  <c r="AH76" i="1"/>
  <c r="AH75" i="1"/>
  <c r="AH74" i="1"/>
  <c r="AH73" i="1"/>
  <c r="AH72" i="1"/>
  <c r="AH71" i="1"/>
  <c r="AH70" i="1"/>
  <c r="AH69" i="1"/>
  <c r="AH68" i="1"/>
  <c r="AH67" i="1"/>
  <c r="AH66" i="1"/>
  <c r="AH65" i="1"/>
  <c r="T65" i="1" s="1"/>
  <c r="V65" i="1" s="1"/>
  <c r="AH64" i="1"/>
  <c r="AH63" i="1"/>
  <c r="AH62" i="1"/>
  <c r="AH61" i="1"/>
  <c r="AH60" i="1"/>
  <c r="AH59" i="1"/>
  <c r="AH58" i="1"/>
  <c r="AH57" i="1"/>
  <c r="AH56" i="1"/>
  <c r="AH55" i="1"/>
  <c r="AH54" i="1"/>
  <c r="AH53" i="1"/>
  <c r="T53" i="1" s="1"/>
  <c r="V53" i="1" s="1"/>
  <c r="AH52" i="1"/>
  <c r="AH51" i="1"/>
  <c r="AH50" i="1"/>
  <c r="AH49" i="1"/>
  <c r="AH48" i="1"/>
  <c r="AH47" i="1"/>
  <c r="AH46" i="1"/>
  <c r="AH45" i="1"/>
  <c r="AH44" i="1"/>
  <c r="AH43" i="1"/>
  <c r="AH42" i="1"/>
  <c r="AH41" i="1"/>
  <c r="T41" i="1" s="1"/>
  <c r="V41" i="1" s="1"/>
  <c r="AH40" i="1"/>
  <c r="AH39" i="1"/>
  <c r="AH38" i="1"/>
  <c r="AH37" i="1"/>
  <c r="AH36" i="1"/>
  <c r="AH35" i="1"/>
  <c r="AH34" i="1"/>
  <c r="AH33" i="1"/>
  <c r="AH32" i="1"/>
  <c r="AH31" i="1"/>
  <c r="AH30" i="1"/>
  <c r="AH29" i="1"/>
  <c r="T29" i="1" s="1"/>
  <c r="V29" i="1" s="1"/>
  <c r="AH28" i="1"/>
  <c r="AH27" i="1"/>
  <c r="AH26" i="1"/>
  <c r="AH25" i="1"/>
  <c r="AH24" i="1"/>
  <c r="AH23" i="1"/>
  <c r="AH22" i="1"/>
  <c r="AH21" i="1"/>
  <c r="AH20" i="1"/>
  <c r="AH19" i="1"/>
  <c r="AH18" i="1"/>
  <c r="AH17" i="1"/>
  <c r="T17" i="1" s="1"/>
  <c r="V17" i="1" s="1"/>
  <c r="AH16" i="1"/>
  <c r="AH15" i="1"/>
  <c r="AH14" i="1"/>
  <c r="AH13" i="1"/>
  <c r="AH12" i="1"/>
  <c r="AH11" i="1"/>
  <c r="AH10" i="1"/>
  <c r="AH9" i="1"/>
  <c r="AH8" i="1"/>
  <c r="AH7" i="1"/>
  <c r="AH6" i="1"/>
  <c r="AH5" i="1"/>
  <c r="T5" i="1" s="1"/>
  <c r="V5" i="1" s="1"/>
  <c r="AH4" i="1"/>
  <c r="AH3" i="1"/>
  <c r="AH2" i="1"/>
  <c r="T350" i="1"/>
  <c r="T349" i="1"/>
  <c r="V349" i="1" s="1"/>
  <c r="T348" i="1"/>
  <c r="V348" i="1" s="1"/>
  <c r="T347" i="1"/>
  <c r="T346" i="1"/>
  <c r="T345" i="1"/>
  <c r="T344" i="1"/>
  <c r="T343" i="1"/>
  <c r="T342" i="1"/>
  <c r="V342" i="1" s="1"/>
  <c r="T340" i="1"/>
  <c r="T339" i="1"/>
  <c r="T338" i="1"/>
  <c r="T337" i="1"/>
  <c r="V337" i="1" s="1"/>
  <c r="T336" i="1"/>
  <c r="V336" i="1" s="1"/>
  <c r="T335" i="1"/>
  <c r="T334" i="1"/>
  <c r="T333" i="1"/>
  <c r="T332" i="1"/>
  <c r="T331" i="1"/>
  <c r="T330" i="1"/>
  <c r="V330" i="1" s="1"/>
  <c r="T328" i="1"/>
  <c r="T327" i="1"/>
  <c r="T326" i="1"/>
  <c r="T325" i="1"/>
  <c r="V325" i="1" s="1"/>
  <c r="T324" i="1"/>
  <c r="V324" i="1" s="1"/>
  <c r="T323" i="1"/>
  <c r="T322" i="1"/>
  <c r="T321" i="1"/>
  <c r="T320" i="1"/>
  <c r="T319" i="1"/>
  <c r="T318" i="1"/>
  <c r="V318" i="1" s="1"/>
  <c r="T316" i="1"/>
  <c r="T315" i="1"/>
  <c r="T314" i="1"/>
  <c r="T313" i="1"/>
  <c r="V313" i="1" s="1"/>
  <c r="T312" i="1"/>
  <c r="V312" i="1" s="1"/>
  <c r="T311" i="1"/>
  <c r="T310" i="1"/>
  <c r="T309" i="1"/>
  <c r="T308" i="1"/>
  <c r="T307" i="1"/>
  <c r="T306" i="1"/>
  <c r="V306" i="1" s="1"/>
  <c r="T304" i="1"/>
  <c r="T303" i="1"/>
  <c r="T302" i="1"/>
  <c r="T301" i="1"/>
  <c r="V301" i="1" s="1"/>
  <c r="T300" i="1"/>
  <c r="V300" i="1" s="1"/>
  <c r="T299" i="1"/>
  <c r="T298" i="1"/>
  <c r="T297" i="1"/>
  <c r="T296" i="1"/>
  <c r="T295" i="1"/>
  <c r="T294" i="1"/>
  <c r="V294" i="1" s="1"/>
  <c r="T292" i="1"/>
  <c r="T291" i="1"/>
  <c r="T290" i="1"/>
  <c r="T289" i="1"/>
  <c r="V289" i="1" s="1"/>
  <c r="T288" i="1"/>
  <c r="V288" i="1" s="1"/>
  <c r="T287" i="1"/>
  <c r="T286" i="1"/>
  <c r="T285" i="1"/>
  <c r="T284" i="1"/>
  <c r="T283" i="1"/>
  <c r="T282" i="1"/>
  <c r="V282" i="1" s="1"/>
  <c r="T280" i="1"/>
  <c r="T279" i="1"/>
  <c r="T278" i="1"/>
  <c r="T277" i="1"/>
  <c r="V277" i="1" s="1"/>
  <c r="T276" i="1"/>
  <c r="V276" i="1" s="1"/>
  <c r="T275" i="1"/>
  <c r="T274" i="1"/>
  <c r="T273" i="1"/>
  <c r="T272" i="1"/>
  <c r="T271" i="1"/>
  <c r="T270" i="1"/>
  <c r="V270" i="1" s="1"/>
  <c r="T268" i="1"/>
  <c r="T267" i="1"/>
  <c r="T266" i="1"/>
  <c r="T265" i="1"/>
  <c r="V265" i="1" s="1"/>
  <c r="T264" i="1"/>
  <c r="V264" i="1" s="1"/>
  <c r="T263" i="1"/>
  <c r="T262" i="1"/>
  <c r="T261" i="1"/>
  <c r="T260" i="1"/>
  <c r="T259" i="1"/>
  <c r="T258" i="1"/>
  <c r="V258" i="1" s="1"/>
  <c r="T256" i="1"/>
  <c r="T255" i="1"/>
  <c r="T254" i="1"/>
  <c r="T253" i="1"/>
  <c r="V253" i="1" s="1"/>
  <c r="T252" i="1"/>
  <c r="V252" i="1" s="1"/>
  <c r="T251" i="1"/>
  <c r="T250" i="1"/>
  <c r="T249" i="1"/>
  <c r="T248" i="1"/>
  <c r="T247" i="1"/>
  <c r="T246" i="1"/>
  <c r="V246" i="1" s="1"/>
  <c r="T244" i="1"/>
  <c r="T243" i="1"/>
  <c r="T242" i="1"/>
  <c r="T241" i="1"/>
  <c r="V241" i="1" s="1"/>
  <c r="T240" i="1"/>
  <c r="V240" i="1" s="1"/>
  <c r="T239" i="1"/>
  <c r="T238" i="1"/>
  <c r="T237" i="1"/>
  <c r="T236" i="1"/>
  <c r="T235" i="1"/>
  <c r="T234" i="1"/>
  <c r="V234" i="1" s="1"/>
  <c r="T232" i="1"/>
  <c r="T231" i="1"/>
  <c r="T230" i="1"/>
  <c r="T229" i="1"/>
  <c r="V229" i="1" s="1"/>
  <c r="T228" i="1"/>
  <c r="V228" i="1" s="1"/>
  <c r="T227" i="1"/>
  <c r="T226" i="1"/>
  <c r="T225" i="1"/>
  <c r="T224" i="1"/>
  <c r="T223" i="1"/>
  <c r="T222" i="1"/>
  <c r="V222" i="1" s="1"/>
  <c r="T220" i="1"/>
  <c r="T219" i="1"/>
  <c r="T218" i="1"/>
  <c r="T217" i="1"/>
  <c r="V217" i="1" s="1"/>
  <c r="T216" i="1"/>
  <c r="V216" i="1" s="1"/>
  <c r="T215" i="1"/>
  <c r="T214" i="1"/>
  <c r="T213" i="1"/>
  <c r="T212" i="1"/>
  <c r="T211" i="1"/>
  <c r="T210" i="1"/>
  <c r="V210" i="1" s="1"/>
  <c r="T208" i="1"/>
  <c r="T207" i="1"/>
  <c r="T206" i="1"/>
  <c r="T205" i="1"/>
  <c r="V205" i="1" s="1"/>
  <c r="T204" i="1"/>
  <c r="V204" i="1" s="1"/>
  <c r="T203" i="1"/>
  <c r="T202" i="1"/>
  <c r="T201" i="1"/>
  <c r="T200" i="1"/>
  <c r="T199" i="1"/>
  <c r="T198" i="1"/>
  <c r="V198" i="1" s="1"/>
  <c r="T196" i="1"/>
  <c r="T195" i="1"/>
  <c r="T194" i="1"/>
  <c r="T193" i="1"/>
  <c r="V193" i="1" s="1"/>
  <c r="T192" i="1"/>
  <c r="V192" i="1" s="1"/>
  <c r="T191" i="1"/>
  <c r="T190" i="1"/>
  <c r="T189" i="1"/>
  <c r="T188" i="1"/>
  <c r="T187" i="1"/>
  <c r="T186" i="1"/>
  <c r="V186" i="1" s="1"/>
  <c r="T184" i="1"/>
  <c r="T183" i="1"/>
  <c r="T182" i="1"/>
  <c r="T181" i="1"/>
  <c r="V181" i="1" s="1"/>
  <c r="T180" i="1"/>
  <c r="V180" i="1" s="1"/>
  <c r="T179" i="1"/>
  <c r="T178" i="1"/>
  <c r="T177" i="1"/>
  <c r="T176" i="1"/>
  <c r="T175" i="1"/>
  <c r="T174" i="1"/>
  <c r="V174" i="1" s="1"/>
  <c r="T172" i="1"/>
  <c r="T171" i="1"/>
  <c r="T170" i="1"/>
  <c r="T169" i="1"/>
  <c r="V169" i="1" s="1"/>
  <c r="T168" i="1"/>
  <c r="V168" i="1" s="1"/>
  <c r="T167" i="1"/>
  <c r="T166" i="1"/>
  <c r="T165" i="1"/>
  <c r="T164" i="1"/>
  <c r="T163" i="1"/>
  <c r="T162" i="1"/>
  <c r="V162" i="1" s="1"/>
  <c r="T160" i="1"/>
  <c r="T159" i="1"/>
  <c r="T158" i="1"/>
  <c r="T157" i="1"/>
  <c r="V157" i="1" s="1"/>
  <c r="T156" i="1"/>
  <c r="V156" i="1" s="1"/>
  <c r="T155" i="1"/>
  <c r="T154" i="1"/>
  <c r="T153" i="1"/>
  <c r="T152" i="1"/>
  <c r="T151" i="1"/>
  <c r="T150" i="1"/>
  <c r="V150" i="1" s="1"/>
  <c r="T148" i="1"/>
  <c r="T147" i="1"/>
  <c r="T146" i="1"/>
  <c r="T145" i="1"/>
  <c r="V145" i="1" s="1"/>
  <c r="T144" i="1"/>
  <c r="V144" i="1" s="1"/>
  <c r="T143" i="1"/>
  <c r="T142" i="1"/>
  <c r="T141" i="1"/>
  <c r="T140" i="1"/>
  <c r="T139" i="1"/>
  <c r="T138" i="1"/>
  <c r="V138" i="1" s="1"/>
  <c r="T136" i="1"/>
  <c r="T135" i="1"/>
  <c r="T134" i="1"/>
  <c r="T133" i="1"/>
  <c r="V133" i="1" s="1"/>
  <c r="T132" i="1"/>
  <c r="V132" i="1" s="1"/>
  <c r="T131" i="1"/>
  <c r="T130" i="1"/>
  <c r="T129" i="1"/>
  <c r="T128" i="1"/>
  <c r="T127" i="1"/>
  <c r="T126" i="1"/>
  <c r="V126" i="1" s="1"/>
  <c r="T124" i="1"/>
  <c r="T123" i="1"/>
  <c r="T122" i="1"/>
  <c r="T121" i="1"/>
  <c r="V121" i="1" s="1"/>
  <c r="T120" i="1"/>
  <c r="V120" i="1" s="1"/>
  <c r="T119" i="1"/>
  <c r="T118" i="1"/>
  <c r="T117" i="1"/>
  <c r="T116" i="1"/>
  <c r="T115" i="1"/>
  <c r="T114" i="1"/>
  <c r="V114" i="1" s="1"/>
  <c r="T112" i="1"/>
  <c r="T111" i="1"/>
  <c r="T110" i="1"/>
  <c r="T109" i="1"/>
  <c r="V109" i="1" s="1"/>
  <c r="T108" i="1"/>
  <c r="V108" i="1" s="1"/>
  <c r="T107" i="1"/>
  <c r="T106" i="1"/>
  <c r="T105" i="1"/>
  <c r="T104" i="1"/>
  <c r="T103" i="1"/>
  <c r="T102" i="1"/>
  <c r="V102" i="1" s="1"/>
  <c r="T100" i="1"/>
  <c r="T99" i="1"/>
  <c r="T98" i="1"/>
  <c r="T97" i="1"/>
  <c r="V97" i="1" s="1"/>
  <c r="T96" i="1"/>
  <c r="V96" i="1" s="1"/>
  <c r="T95" i="1"/>
  <c r="T94" i="1"/>
  <c r="T93" i="1"/>
  <c r="T92" i="1"/>
  <c r="T91" i="1"/>
  <c r="T90" i="1"/>
  <c r="V90" i="1" s="1"/>
  <c r="T88" i="1"/>
  <c r="T87" i="1"/>
  <c r="T86" i="1"/>
  <c r="T85" i="1"/>
  <c r="V85" i="1" s="1"/>
  <c r="T84" i="1"/>
  <c r="V84" i="1" s="1"/>
  <c r="T83" i="1"/>
  <c r="T82" i="1"/>
  <c r="T81" i="1"/>
  <c r="T80" i="1"/>
  <c r="T79" i="1"/>
  <c r="T78" i="1"/>
  <c r="V78" i="1" s="1"/>
  <c r="T76" i="1"/>
  <c r="T75" i="1"/>
  <c r="T74" i="1"/>
  <c r="T73" i="1"/>
  <c r="V73" i="1" s="1"/>
  <c r="T72" i="1"/>
  <c r="V72" i="1" s="1"/>
  <c r="T71" i="1"/>
  <c r="T70" i="1"/>
  <c r="T69" i="1"/>
  <c r="T68" i="1"/>
  <c r="T67" i="1"/>
  <c r="T66" i="1"/>
  <c r="V66" i="1" s="1"/>
  <c r="T64" i="1"/>
  <c r="T63" i="1"/>
  <c r="T62" i="1"/>
  <c r="T61" i="1"/>
  <c r="V61" i="1" s="1"/>
  <c r="T60" i="1"/>
  <c r="V60" i="1" s="1"/>
  <c r="T59" i="1"/>
  <c r="T58" i="1"/>
  <c r="T57" i="1"/>
  <c r="T56" i="1"/>
  <c r="T55" i="1"/>
  <c r="T54" i="1"/>
  <c r="V54" i="1" s="1"/>
  <c r="T52" i="1"/>
  <c r="T51" i="1"/>
  <c r="T50" i="1"/>
  <c r="T49" i="1"/>
  <c r="V49" i="1" s="1"/>
  <c r="T48" i="1"/>
  <c r="V48" i="1" s="1"/>
  <c r="T47" i="1"/>
  <c r="T46" i="1"/>
  <c r="T45" i="1"/>
  <c r="T44" i="1"/>
  <c r="T43" i="1"/>
  <c r="T42" i="1"/>
  <c r="V42" i="1" s="1"/>
  <c r="T40" i="1"/>
  <c r="T39" i="1"/>
  <c r="T38" i="1"/>
  <c r="T37" i="1"/>
  <c r="V37" i="1" s="1"/>
  <c r="T36" i="1"/>
  <c r="V36" i="1" s="1"/>
  <c r="T35" i="1"/>
  <c r="T34" i="1"/>
  <c r="T33" i="1"/>
  <c r="T32" i="1"/>
  <c r="T31" i="1"/>
  <c r="T30" i="1"/>
  <c r="V30" i="1" s="1"/>
  <c r="T28" i="1"/>
  <c r="T27" i="1"/>
  <c r="T26" i="1"/>
  <c r="T25" i="1"/>
  <c r="V25" i="1" s="1"/>
  <c r="T24" i="1"/>
  <c r="V24" i="1" s="1"/>
  <c r="T23" i="1"/>
  <c r="T22" i="1"/>
  <c r="T21" i="1"/>
  <c r="T20" i="1"/>
  <c r="T19" i="1"/>
  <c r="T18" i="1"/>
  <c r="V18" i="1" s="1"/>
  <c r="T16" i="1"/>
  <c r="T15" i="1"/>
  <c r="T14" i="1"/>
  <c r="T13" i="1"/>
  <c r="V13" i="1" s="1"/>
  <c r="T12" i="1"/>
  <c r="V12" i="1" s="1"/>
  <c r="T11" i="1"/>
  <c r="T10" i="1"/>
  <c r="T9" i="1"/>
  <c r="T8" i="1"/>
  <c r="T7" i="1"/>
  <c r="T6" i="1"/>
  <c r="V6" i="1" s="1"/>
  <c r="T4" i="1"/>
  <c r="T3" i="1"/>
  <c r="T2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D293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V350" i="1"/>
  <c r="V347" i="1"/>
  <c r="V346" i="1"/>
  <c r="V345" i="1"/>
  <c r="V344" i="1"/>
  <c r="V343" i="1"/>
  <c r="V340" i="1"/>
  <c r="V339" i="1"/>
  <c r="V338" i="1"/>
  <c r="V335" i="1"/>
  <c r="V334" i="1"/>
  <c r="V333" i="1"/>
  <c r="V332" i="1"/>
  <c r="V331" i="1"/>
  <c r="V328" i="1"/>
  <c r="V327" i="1"/>
  <c r="V326" i="1"/>
  <c r="V323" i="1"/>
  <c r="V322" i="1"/>
  <c r="V321" i="1"/>
  <c r="V320" i="1"/>
  <c r="V319" i="1"/>
  <c r="V316" i="1"/>
  <c r="V315" i="1"/>
  <c r="V314" i="1"/>
  <c r="V311" i="1"/>
  <c r="V310" i="1"/>
  <c r="V309" i="1"/>
  <c r="V308" i="1"/>
  <c r="V307" i="1"/>
  <c r="V304" i="1"/>
  <c r="V303" i="1"/>
  <c r="V302" i="1"/>
  <c r="V299" i="1"/>
  <c r="V298" i="1"/>
  <c r="V297" i="1"/>
  <c r="V296" i="1"/>
  <c r="V295" i="1"/>
  <c r="V292" i="1"/>
  <c r="V291" i="1"/>
  <c r="V290" i="1"/>
  <c r="V287" i="1"/>
  <c r="V286" i="1"/>
  <c r="V285" i="1"/>
  <c r="V284" i="1"/>
  <c r="V283" i="1"/>
  <c r="V280" i="1"/>
  <c r="V279" i="1"/>
  <c r="V278" i="1"/>
  <c r="V275" i="1"/>
  <c r="V274" i="1"/>
  <c r="V273" i="1"/>
  <c r="V272" i="1"/>
  <c r="V271" i="1"/>
  <c r="V268" i="1"/>
  <c r="V267" i="1"/>
  <c r="V266" i="1"/>
  <c r="V263" i="1"/>
  <c r="V262" i="1"/>
  <c r="V261" i="1"/>
  <c r="V260" i="1"/>
  <c r="V259" i="1"/>
  <c r="V256" i="1"/>
  <c r="V255" i="1"/>
  <c r="V254" i="1"/>
  <c r="V251" i="1"/>
  <c r="V250" i="1"/>
  <c r="V249" i="1"/>
  <c r="V248" i="1"/>
  <c r="V247" i="1"/>
  <c r="V244" i="1"/>
  <c r="V243" i="1"/>
  <c r="V242" i="1"/>
  <c r="V239" i="1"/>
  <c r="V238" i="1"/>
  <c r="V237" i="1"/>
  <c r="V236" i="1"/>
  <c r="V235" i="1"/>
  <c r="V232" i="1"/>
  <c r="V231" i="1"/>
  <c r="V230" i="1"/>
  <c r="V227" i="1"/>
  <c r="V226" i="1"/>
  <c r="V225" i="1"/>
  <c r="V224" i="1"/>
  <c r="V223" i="1"/>
  <c r="V220" i="1"/>
  <c r="V219" i="1"/>
  <c r="V218" i="1"/>
  <c r="V215" i="1"/>
  <c r="V214" i="1"/>
  <c r="V213" i="1"/>
  <c r="V212" i="1"/>
  <c r="V211" i="1"/>
  <c r="V208" i="1"/>
  <c r="V207" i="1"/>
  <c r="V206" i="1"/>
  <c r="V203" i="1"/>
  <c r="V202" i="1"/>
  <c r="V201" i="1"/>
  <c r="V200" i="1"/>
  <c r="V199" i="1"/>
  <c r="V196" i="1"/>
  <c r="V195" i="1"/>
  <c r="V194" i="1"/>
  <c r="V191" i="1"/>
  <c r="V190" i="1"/>
  <c r="V189" i="1"/>
  <c r="V188" i="1"/>
  <c r="V187" i="1"/>
  <c r="V184" i="1"/>
  <c r="V183" i="1"/>
  <c r="V182" i="1"/>
  <c r="V179" i="1"/>
  <c r="V178" i="1"/>
  <c r="V177" i="1"/>
  <c r="V176" i="1"/>
  <c r="V175" i="1"/>
  <c r="V172" i="1"/>
  <c r="V171" i="1"/>
  <c r="V170" i="1"/>
  <c r="V167" i="1"/>
  <c r="V166" i="1"/>
  <c r="V165" i="1"/>
  <c r="V164" i="1"/>
  <c r="V163" i="1"/>
  <c r="V160" i="1"/>
  <c r="V159" i="1"/>
  <c r="V158" i="1"/>
  <c r="V155" i="1"/>
  <c r="V154" i="1"/>
  <c r="V153" i="1"/>
  <c r="V152" i="1"/>
  <c r="V151" i="1"/>
  <c r="V148" i="1"/>
  <c r="V147" i="1"/>
  <c r="V146" i="1"/>
  <c r="V143" i="1"/>
  <c r="V142" i="1"/>
  <c r="V141" i="1"/>
  <c r="V140" i="1"/>
  <c r="V139" i="1"/>
  <c r="V136" i="1"/>
  <c r="V135" i="1"/>
  <c r="V134" i="1"/>
  <c r="V131" i="1"/>
  <c r="V130" i="1"/>
  <c r="V129" i="1"/>
  <c r="V128" i="1"/>
  <c r="V127" i="1"/>
  <c r="V124" i="1"/>
  <c r="V123" i="1"/>
  <c r="V122" i="1"/>
  <c r="V119" i="1"/>
  <c r="V118" i="1"/>
  <c r="V117" i="1"/>
  <c r="V116" i="1"/>
  <c r="V115" i="1"/>
  <c r="V112" i="1"/>
  <c r="V111" i="1"/>
  <c r="V110" i="1"/>
  <c r="V107" i="1"/>
  <c r="V106" i="1"/>
  <c r="V105" i="1"/>
  <c r="V104" i="1"/>
  <c r="V103" i="1"/>
  <c r="V100" i="1"/>
  <c r="V99" i="1"/>
  <c r="V98" i="1"/>
  <c r="V95" i="1"/>
  <c r="V94" i="1"/>
  <c r="V93" i="1"/>
  <c r="V92" i="1"/>
  <c r="V91" i="1"/>
  <c r="V88" i="1"/>
  <c r="V87" i="1"/>
  <c r="V86" i="1"/>
  <c r="V83" i="1"/>
  <c r="V82" i="1"/>
  <c r="V81" i="1"/>
  <c r="V80" i="1"/>
  <c r="V79" i="1"/>
  <c r="V76" i="1"/>
  <c r="V75" i="1"/>
  <c r="V74" i="1"/>
  <c r="V71" i="1"/>
  <c r="V70" i="1"/>
  <c r="V69" i="1"/>
  <c r="V68" i="1"/>
  <c r="V67" i="1"/>
  <c r="V64" i="1"/>
  <c r="V63" i="1"/>
  <c r="V62" i="1"/>
  <c r="V59" i="1"/>
  <c r="V58" i="1"/>
  <c r="V57" i="1"/>
  <c r="V56" i="1"/>
  <c r="V55" i="1"/>
  <c r="V52" i="1"/>
  <c r="V51" i="1"/>
  <c r="V50" i="1"/>
  <c r="V47" i="1"/>
  <c r="V46" i="1"/>
  <c r="V45" i="1"/>
  <c r="V44" i="1"/>
  <c r="V43" i="1"/>
  <c r="V40" i="1"/>
  <c r="V39" i="1"/>
  <c r="V38" i="1"/>
  <c r="V35" i="1"/>
  <c r="V34" i="1"/>
  <c r="V33" i="1"/>
  <c r="V32" i="1"/>
  <c r="V31" i="1"/>
  <c r="V28" i="1"/>
  <c r="V27" i="1"/>
  <c r="V26" i="1"/>
  <c r="V23" i="1"/>
  <c r="V22" i="1"/>
  <c r="V21" i="1"/>
  <c r="V20" i="1"/>
  <c r="V19" i="1"/>
  <c r="V16" i="1"/>
  <c r="V15" i="1"/>
  <c r="V14" i="1"/>
  <c r="V11" i="1"/>
  <c r="V10" i="1"/>
  <c r="V9" i="1"/>
  <c r="V8" i="1"/>
  <c r="V7" i="1"/>
  <c r="V4" i="1"/>
  <c r="V3" i="1"/>
  <c r="V2" i="1"/>
  <c r="X538" i="2"/>
  <c r="X537" i="2"/>
  <c r="X536" i="2"/>
  <c r="X535" i="2"/>
  <c r="X534" i="2"/>
  <c r="X533" i="2"/>
  <c r="X532" i="2"/>
  <c r="X531" i="2"/>
  <c r="X530" i="2"/>
  <c r="X529" i="2"/>
  <c r="X528" i="2"/>
  <c r="X527" i="2"/>
  <c r="X526" i="2"/>
  <c r="X525" i="2"/>
  <c r="X524" i="2"/>
  <c r="X523" i="2"/>
  <c r="X522" i="2"/>
  <c r="X521" i="2"/>
  <c r="X520" i="2"/>
  <c r="X519" i="2"/>
  <c r="X518" i="2"/>
  <c r="X517" i="2"/>
  <c r="X516" i="2"/>
  <c r="X515" i="2"/>
  <c r="X514" i="2"/>
  <c r="X513" i="2"/>
  <c r="X512" i="2"/>
  <c r="X511" i="2"/>
  <c r="X510" i="2"/>
  <c r="X509" i="2"/>
  <c r="X508" i="2"/>
  <c r="X507" i="2"/>
  <c r="X506" i="2"/>
  <c r="X505" i="2"/>
  <c r="X504" i="2"/>
  <c r="X503" i="2"/>
  <c r="X502" i="2"/>
  <c r="X501" i="2"/>
  <c r="X500" i="2"/>
  <c r="X499" i="2"/>
  <c r="X498" i="2"/>
  <c r="X497" i="2"/>
  <c r="X496" i="2"/>
  <c r="X495" i="2"/>
  <c r="X494" i="2"/>
  <c r="X493" i="2"/>
  <c r="X492" i="2"/>
  <c r="X491" i="2"/>
  <c r="X490" i="2"/>
  <c r="X489" i="2"/>
  <c r="X488" i="2"/>
  <c r="X487" i="2"/>
  <c r="X486" i="2"/>
  <c r="X485" i="2"/>
  <c r="X484" i="2"/>
  <c r="X483" i="2"/>
  <c r="X482" i="2"/>
  <c r="X481" i="2"/>
  <c r="X480" i="2"/>
  <c r="X479" i="2"/>
  <c r="X478" i="2"/>
  <c r="X477" i="2"/>
  <c r="X476" i="2"/>
  <c r="X475" i="2"/>
  <c r="X474" i="2"/>
  <c r="X473" i="2"/>
  <c r="X472" i="2"/>
  <c r="X471" i="2"/>
  <c r="X470" i="2"/>
  <c r="X469" i="2"/>
  <c r="X468" i="2"/>
  <c r="X467" i="2"/>
  <c r="X466" i="2"/>
  <c r="X465" i="2"/>
  <c r="X464" i="2"/>
  <c r="X463" i="2"/>
  <c r="X462" i="2"/>
  <c r="X461" i="2"/>
  <c r="X460" i="2"/>
  <c r="X459" i="2"/>
  <c r="X458" i="2"/>
  <c r="X457" i="2"/>
  <c r="X456" i="2"/>
  <c r="X455" i="2"/>
  <c r="X454" i="2"/>
  <c r="X453" i="2"/>
  <c r="X452" i="2"/>
  <c r="X451" i="2"/>
  <c r="X450" i="2"/>
  <c r="X449" i="2"/>
  <c r="X448" i="2"/>
  <c r="X447" i="2"/>
  <c r="X446" i="2"/>
  <c r="X445" i="2"/>
  <c r="X444" i="2"/>
  <c r="X443" i="2"/>
  <c r="X442" i="2"/>
  <c r="X441" i="2"/>
  <c r="X440" i="2"/>
  <c r="X439" i="2"/>
  <c r="X438" i="2"/>
  <c r="X437" i="2"/>
  <c r="X436" i="2"/>
  <c r="X435" i="2"/>
  <c r="X434" i="2"/>
  <c r="X433" i="2"/>
  <c r="X432" i="2"/>
  <c r="X431" i="2"/>
  <c r="X430" i="2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</calcChain>
</file>

<file path=xl/sharedStrings.xml><?xml version="1.0" encoding="utf-8"?>
<sst xmlns="http://schemas.openxmlformats.org/spreadsheetml/2006/main" count="1828" uniqueCount="942">
  <si>
    <t>Name                     Team</t>
  </si>
  <si>
    <t>P</t>
  </si>
  <si>
    <t>Age</t>
  </si>
  <si>
    <t>AVG</t>
  </si>
  <si>
    <t>OBP</t>
  </si>
  <si>
    <t>SPC</t>
  </si>
  <si>
    <t>AB</t>
  </si>
  <si>
    <t>H</t>
  </si>
  <si>
    <t>2B</t>
  </si>
  <si>
    <t>3B</t>
  </si>
  <si>
    <t>HR</t>
  </si>
  <si>
    <t>R</t>
  </si>
  <si>
    <t>RBI</t>
  </si>
  <si>
    <t>HBP</t>
  </si>
  <si>
    <t>BB</t>
  </si>
  <si>
    <t>K</t>
  </si>
  <si>
    <t>SB</t>
  </si>
  <si>
    <t>CS</t>
  </si>
  <si>
    <t>Samuel Basallo*</t>
  </si>
  <si>
    <t>c</t>
  </si>
  <si>
    <t>Bryce Eldridge*</t>
  </si>
  <si>
    <t>dh</t>
  </si>
  <si>
    <t>Roman Anthony*</t>
  </si>
  <si>
    <t>rf</t>
  </si>
  <si>
    <t>Moises Ballesteros*</t>
  </si>
  <si>
    <t>Denzer Guzman</t>
  </si>
  <si>
    <t>ss</t>
  </si>
  <si>
    <t>Carter Jensen*</t>
  </si>
  <si>
    <t>Sal Stewart</t>
  </si>
  <si>
    <t>1b</t>
  </si>
  <si>
    <t>Cole Young*</t>
  </si>
  <si>
    <t>2b</t>
  </si>
  <si>
    <t>Maximo Acosta</t>
  </si>
  <si>
    <t>3b</t>
  </si>
  <si>
    <t>Jac Caglianone*</t>
  </si>
  <si>
    <t>Owen Caissie*</t>
  </si>
  <si>
    <t>Yanquiel Fernandez*</t>
  </si>
  <si>
    <t>Harry Ford</t>
  </si>
  <si>
    <t>Jhostynxon Garcia</t>
  </si>
  <si>
    <t>Brady House</t>
  </si>
  <si>
    <t>Kyle Karros</t>
  </si>
  <si>
    <t>Luke Keaschall</t>
  </si>
  <si>
    <t>Nick Kurtz*</t>
  </si>
  <si>
    <t>Daylen Lile*</t>
  </si>
  <si>
    <t>Marcelo Mayer*</t>
  </si>
  <si>
    <t>Christian Moore</t>
  </si>
  <si>
    <t>Max P. Muncy</t>
  </si>
  <si>
    <t>Alejandro Osuna*</t>
  </si>
  <si>
    <t>lf</t>
  </si>
  <si>
    <t>Edgar Quero#</t>
  </si>
  <si>
    <t>Cam Smith</t>
  </si>
  <si>
    <t>Carson Williams</t>
  </si>
  <si>
    <t>Dylan Beavers*</t>
  </si>
  <si>
    <t>Warming Bernabel</t>
  </si>
  <si>
    <t>Kristian Campbell</t>
  </si>
  <si>
    <t>Tsung-Che Cheng*</t>
  </si>
  <si>
    <t>Jonatan Clase#</t>
  </si>
  <si>
    <t>Jimmy Crooks*</t>
  </si>
  <si>
    <t>Alex Freeland#</t>
  </si>
  <si>
    <t>Petey Halpin*</t>
  </si>
  <si>
    <t>cf</t>
  </si>
  <si>
    <t>Robert Hassell*</t>
  </si>
  <si>
    <t>C.J. Kayfus*</t>
  </si>
  <si>
    <t>Luis Matos</t>
  </si>
  <si>
    <t>Brice Matthews</t>
  </si>
  <si>
    <t>Chase Meidroth</t>
  </si>
  <si>
    <t>Victor Mesa*</t>
  </si>
  <si>
    <t>Colson Montgomery*</t>
  </si>
  <si>
    <t>Kyren Paris</t>
  </si>
  <si>
    <t>Agustin Ramirez</t>
  </si>
  <si>
    <t>Bryan Ramos</t>
  </si>
  <si>
    <t>Matt Shaw</t>
  </si>
  <si>
    <t>Kyle Teel*</t>
  </si>
  <si>
    <t>Zac Veen*</t>
  </si>
  <si>
    <t>Nick Yorke</t>
  </si>
  <si>
    <t>Brooks Baldwin#</t>
  </si>
  <si>
    <t>Drake Baldwin*</t>
  </si>
  <si>
    <t>Jorge Barrosa#</t>
  </si>
  <si>
    <t>Tyler Black*</t>
  </si>
  <si>
    <t>Nathan Church*</t>
  </si>
  <si>
    <t>Zach Cole*</t>
  </si>
  <si>
    <t>Rafael Flores</t>
  </si>
  <si>
    <t>Cody Freeman</t>
  </si>
  <si>
    <t>Drew Gilbert*</t>
  </si>
  <si>
    <t>Leo Jimenez</t>
  </si>
  <si>
    <t>Jace Jung*</t>
  </si>
  <si>
    <t>Matthew Lugo</t>
  </si>
  <si>
    <t>Jakob Marsee*</t>
  </si>
  <si>
    <t>Ronny Mauricio#</t>
  </si>
  <si>
    <t>Grant McCray*</t>
  </si>
  <si>
    <t>Jacob Melton*</t>
  </si>
  <si>
    <t>Graham Pauley*</t>
  </si>
  <si>
    <t>Liover Peguero</t>
  </si>
  <si>
    <t>Everson Pereira</t>
  </si>
  <si>
    <t>Ryan Ritter</t>
  </si>
  <si>
    <t>Johan Rojas</t>
  </si>
  <si>
    <t>Dalton Rushing*</t>
  </si>
  <si>
    <t>Chandler Simpson*</t>
  </si>
  <si>
    <t>Colby Thomas</t>
  </si>
  <si>
    <t>George Valera*</t>
  </si>
  <si>
    <t>Jorbit Vivas*</t>
  </si>
  <si>
    <t>Ben Williamson</t>
  </si>
  <si>
    <t>Jordyn Adams</t>
  </si>
  <si>
    <t>Ji Hwan Bae*</t>
  </si>
  <si>
    <t>Will Banfield</t>
  </si>
  <si>
    <t>Tyler Callihan*</t>
  </si>
  <si>
    <t>Alexander Canario</t>
  </si>
  <si>
    <t>Denzel Clarke</t>
  </si>
  <si>
    <t>Kenedy Corona</t>
  </si>
  <si>
    <t>Henry Davis</t>
  </si>
  <si>
    <t>Zach Dezenzo</t>
  </si>
  <si>
    <t>Caleb Durbin</t>
  </si>
  <si>
    <t>Dustin Harris*</t>
  </si>
  <si>
    <t>Heriberto Hernandez</t>
  </si>
  <si>
    <t>Jeremiah Jackson</t>
  </si>
  <si>
    <t>Jarred Kelenic*</t>
  </si>
  <si>
    <t>Otto Kemp</t>
  </si>
  <si>
    <t>Trey Lipscomb</t>
  </si>
  <si>
    <t>Justyn-Henry Malloy</t>
  </si>
  <si>
    <t>Jonathan Ornelas</t>
  </si>
  <si>
    <t>Tirso Ornelas*</t>
  </si>
  <si>
    <t>Oswald Peraza</t>
  </si>
  <si>
    <t>Tristan Peters*</t>
  </si>
  <si>
    <t>Alan Roden*</t>
  </si>
  <si>
    <t>Johnathan Rodriguez</t>
  </si>
  <si>
    <t>Michael Siani*</t>
  </si>
  <si>
    <t>Ronny Simon#</t>
  </si>
  <si>
    <t>Trey Sweeney*</t>
  </si>
  <si>
    <t>Rhylan Thomas*</t>
  </si>
  <si>
    <t>Luis Vazquez</t>
  </si>
  <si>
    <t>Gage Workman*</t>
  </si>
  <si>
    <t>Jacob Amaya</t>
  </si>
  <si>
    <t>Akil Baddoo*</t>
  </si>
  <si>
    <t>Steward Berroa#</t>
  </si>
  <si>
    <t>Luis Campusano</t>
  </si>
  <si>
    <t>Dylan Carlson#</t>
  </si>
  <si>
    <t>Andres Chaparro</t>
  </si>
  <si>
    <t>Billy Cook</t>
  </si>
  <si>
    <t>Jonny Deluca</t>
  </si>
  <si>
    <t>Blake Dunn</t>
  </si>
  <si>
    <t>Ezequiel Duran</t>
  </si>
  <si>
    <t>Tim Elko</t>
  </si>
  <si>
    <t>Jose Fermin</t>
  </si>
  <si>
    <t>Justin Foscue</t>
  </si>
  <si>
    <t>Braxton Fulford</t>
  </si>
  <si>
    <t>Liam Hicks*</t>
  </si>
  <si>
    <t>Niko Kavadas*</t>
  </si>
  <si>
    <t>Buddy Kennedy</t>
  </si>
  <si>
    <t>Hyeseong Kim*</t>
  </si>
  <si>
    <t>Korey Lee</t>
  </si>
  <si>
    <t>Nick Loftin</t>
  </si>
  <si>
    <t>Rafael Marchan#</t>
  </si>
  <si>
    <t>MJ Melendez*</t>
  </si>
  <si>
    <t>Cesar Prieto*</t>
  </si>
  <si>
    <t>Sebastian Rivero</t>
  </si>
  <si>
    <t>Esteury Ruiz</t>
  </si>
  <si>
    <t>Anthony Seigler*</t>
  </si>
  <si>
    <t>Bob Seymour*</t>
  </si>
  <si>
    <t>Chad Stevens</t>
  </si>
  <si>
    <t>Jack Suwinski*</t>
  </si>
  <si>
    <t>Leody Taveras#</t>
  </si>
  <si>
    <t>Tim Tawa</t>
  </si>
  <si>
    <t>Samad Taylor</t>
  </si>
  <si>
    <t>Bryce Teodosio</t>
  </si>
  <si>
    <t>Enmanuel Valdez*</t>
  </si>
  <si>
    <t>Ryan Vilade</t>
  </si>
  <si>
    <t>Will Wagner*</t>
  </si>
  <si>
    <t>Drew Waters#</t>
  </si>
  <si>
    <t>Shay Whitcomb</t>
  </si>
  <si>
    <t>Joey Wiemer</t>
  </si>
  <si>
    <t>Will Wilson</t>
  </si>
  <si>
    <t>Jack Winkler</t>
  </si>
  <si>
    <t>Brett Wisely*</t>
  </si>
  <si>
    <t>Jose Barrero</t>
  </si>
  <si>
    <t>Will Benson*</t>
  </si>
  <si>
    <t>Will Brennan*</t>
  </si>
  <si>
    <t>Vidal Brujan#</t>
  </si>
  <si>
    <t>Gustavo Campero#</t>
  </si>
  <si>
    <t>Isaac Collins#</t>
  </si>
  <si>
    <t>Logan Davidson#</t>
  </si>
  <si>
    <t>Oliver Dunn*</t>
  </si>
  <si>
    <t>Jerar Encarnacion</t>
  </si>
  <si>
    <t>Tyler Fitzgerald</t>
  </si>
  <si>
    <t>Dominic Fletcher*</t>
  </si>
  <si>
    <t>Oscar Gonzalez</t>
  </si>
  <si>
    <t>Matt Gorski</t>
  </si>
  <si>
    <t>Maverick Handley</t>
  </si>
  <si>
    <t>Sam Huff</t>
  </si>
  <si>
    <t>Jacob Hurtubise*</t>
  </si>
  <si>
    <t>Greg Jones#</t>
  </si>
  <si>
    <t>Jahmai Jones</t>
  </si>
  <si>
    <t>Carter Kieboom</t>
  </si>
  <si>
    <t>Christian Koss</t>
  </si>
  <si>
    <t>Ryan Kreidler</t>
  </si>
  <si>
    <t>Josh Lowe*</t>
  </si>
  <si>
    <t>Michael Massey*</t>
  </si>
  <si>
    <t>Carson McCusker</t>
  </si>
  <si>
    <t>Matt Mervis*</t>
  </si>
  <si>
    <t>Drew Millas#</t>
  </si>
  <si>
    <t>Jose Miranda</t>
  </si>
  <si>
    <t>Kameron Misner*</t>
  </si>
  <si>
    <t>John Rave*</t>
  </si>
  <si>
    <t>Will Robertson*</t>
  </si>
  <si>
    <t>Ben Rortvedt*</t>
  </si>
  <si>
    <t>Blake Sabol*</t>
  </si>
  <si>
    <t>Aaron Schunk</t>
  </si>
  <si>
    <t>Nick Sogard#</t>
  </si>
  <si>
    <t>Kyle Stowers*</t>
  </si>
  <si>
    <t>Tyler Tolbert</t>
  </si>
  <si>
    <t>Taylor Trammell*</t>
  </si>
  <si>
    <t>Sergio Alcantara#</t>
  </si>
  <si>
    <t>CJ Alexander*</t>
  </si>
  <si>
    <t>Luken Baker</t>
  </si>
  <si>
    <t>David Banuelos</t>
  </si>
  <si>
    <t>Daz Cameron</t>
  </si>
  <si>
    <t>Vinny Capra</t>
  </si>
  <si>
    <t>Carlos Cortes*</t>
  </si>
  <si>
    <t>Blaine Crim</t>
  </si>
  <si>
    <t>Bryan De La Cruz</t>
  </si>
  <si>
    <t>Justin Dean</t>
  </si>
  <si>
    <t>Cam Devanney</t>
  </si>
  <si>
    <t>Nate Eaton</t>
  </si>
  <si>
    <t>Tristin English</t>
  </si>
  <si>
    <t>Hunter Feduccia*</t>
  </si>
  <si>
    <t>Jose Herrera#</t>
  </si>
  <si>
    <t>Keston Hiura</t>
  </si>
  <si>
    <t>Kyle Isbel*</t>
  </si>
  <si>
    <t>Troy Johnston*</t>
  </si>
  <si>
    <t>Connor Kaiser</t>
  </si>
  <si>
    <t>DaShawn Keirsey*</t>
  </si>
  <si>
    <t>Brandon Lockridge</t>
  </si>
  <si>
    <t>Willie MacIver</t>
  </si>
  <si>
    <t>Nick Maton*</t>
  </si>
  <si>
    <t>Owen Miller</t>
  </si>
  <si>
    <t>Andruw Monasterio</t>
  </si>
  <si>
    <t>Coco Montes</t>
  </si>
  <si>
    <t>James Outman*</t>
  </si>
  <si>
    <t>Blake Perkins#</t>
  </si>
  <si>
    <t>Yohel Pozo</t>
  </si>
  <si>
    <t>Brendan Rodgers</t>
  </si>
  <si>
    <t>Ali Sanchez</t>
  </si>
  <si>
    <t>Max Schuemann</t>
  </si>
  <si>
    <t>Hayden Senger</t>
  </si>
  <si>
    <t>Cal Stevenson*</t>
  </si>
  <si>
    <t>C.J. Stubbs</t>
  </si>
  <si>
    <t>Abraham Toro#</t>
  </si>
  <si>
    <t>Luis Urias</t>
  </si>
  <si>
    <t>Terrin Vavra*</t>
  </si>
  <si>
    <t>Matt Vierling</t>
  </si>
  <si>
    <t>David Villar</t>
  </si>
  <si>
    <t>Taylor Walls#</t>
  </si>
  <si>
    <t>Luke Williams</t>
  </si>
  <si>
    <t>Drew Avans*</t>
  </si>
  <si>
    <t>Jose Azocar</t>
  </si>
  <si>
    <t>Sean Bouchard</t>
  </si>
  <si>
    <t>Jonah Bride</t>
  </si>
  <si>
    <t>Trenton Brooks*</t>
  </si>
  <si>
    <t>Thairo Estrada</t>
  </si>
  <si>
    <t>Stuart Fairchild</t>
  </si>
  <si>
    <t>David Fry</t>
  </si>
  <si>
    <t>Mickey Gasper#</t>
  </si>
  <si>
    <t>Tristan Gray*</t>
  </si>
  <si>
    <t>Michael Helman</t>
  </si>
  <si>
    <t>Brewer Hicklen</t>
  </si>
  <si>
    <t>Derek Hill</t>
  </si>
  <si>
    <t>Alex Jackson</t>
  </si>
  <si>
    <t>Bryce Johnson#</t>
  </si>
  <si>
    <t>Daniel Johnson*</t>
  </si>
  <si>
    <t>Corey Julks</t>
  </si>
  <si>
    <t>Ha-Seong Kim</t>
  </si>
  <si>
    <t>Nathaniel Lowe*</t>
  </si>
  <si>
    <t>Jake Mangum#</t>
  </si>
  <si>
    <t>Miles Mastrobuoni*</t>
  </si>
  <si>
    <t>Ryan Noda*</t>
  </si>
  <si>
    <t>Joshua Palacios*</t>
  </si>
  <si>
    <t>Jhonny Pereda</t>
  </si>
  <si>
    <t>Logan Porter</t>
  </si>
  <si>
    <t>Emmanuel Rivera</t>
  </si>
  <si>
    <t>Cesar Salazar*</t>
  </si>
  <si>
    <t>Jose Siri</t>
  </si>
  <si>
    <t>Michael Stefanic</t>
  </si>
  <si>
    <t>Alan Trejo</t>
  </si>
  <si>
    <t>Alex Verdugo*</t>
  </si>
  <si>
    <t>Jared Young*</t>
  </si>
  <si>
    <t>Orlando Arcia</t>
  </si>
  <si>
    <t>Andrew Benintendi*</t>
  </si>
  <si>
    <t>Cavan Biggio*</t>
  </si>
  <si>
    <t>Bobby Dalbec</t>
  </si>
  <si>
    <t>J.C. Escarra*</t>
  </si>
  <si>
    <t>Luis Guillorme*</t>
  </si>
  <si>
    <t>Garrett Hampson</t>
  </si>
  <si>
    <t>Cooper Hummel#</t>
  </si>
  <si>
    <t>Andrew Knizner</t>
  </si>
  <si>
    <t>Nicky Lopez*</t>
  </si>
  <si>
    <t>Manuel Margot</t>
  </si>
  <si>
    <t>Jorge Mateo</t>
  </si>
  <si>
    <t>Mason McCoy</t>
  </si>
  <si>
    <t>Billy McKinney*</t>
  </si>
  <si>
    <t>Brian Navarreto</t>
  </si>
  <si>
    <t>Dom Nunez*</t>
  </si>
  <si>
    <t>Luke Raley*</t>
  </si>
  <si>
    <t>Chuckie Robinson</t>
  </si>
  <si>
    <t>Jake Rogers</t>
  </si>
  <si>
    <t>Zack Short</t>
  </si>
  <si>
    <t>Nick Solak</t>
  </si>
  <si>
    <t>Myles Straw</t>
  </si>
  <si>
    <t>Matt Thaiss*</t>
  </si>
  <si>
    <t>Chadwick Tromp</t>
  </si>
  <si>
    <t>Tyler Wade*</t>
  </si>
  <si>
    <t>Weston Wilson</t>
  </si>
  <si>
    <t>Jeimer Candelario#</t>
  </si>
  <si>
    <t>Paul DeJong</t>
  </si>
  <si>
    <t>Ryan Fitzgerald*</t>
  </si>
  <si>
    <t>Sam Haggerty#</t>
  </si>
  <si>
    <t>Sam Hilliard*</t>
  </si>
  <si>
    <t>Scott Kingery</t>
  </si>
  <si>
    <t>Vimael Machin*</t>
  </si>
  <si>
    <t>Kevin Newman</t>
  </si>
  <si>
    <t>Tomas Nido</t>
  </si>
  <si>
    <t>Jorge Polanco#</t>
  </si>
  <si>
    <t>Pablo Reyes</t>
  </si>
  <si>
    <t>Josh Rojas*</t>
  </si>
  <si>
    <t>Brett Sullivan*</t>
  </si>
  <si>
    <t>Tyrone Taylor</t>
  </si>
  <si>
    <t>LaMonte Wade*</t>
  </si>
  <si>
    <t>Donovan Walton*</t>
  </si>
  <si>
    <t>Jesse Winker*</t>
  </si>
  <si>
    <t>Jorge Alfaro</t>
  </si>
  <si>
    <t>Greg Allen#</t>
  </si>
  <si>
    <t>Tim Anderson</t>
  </si>
  <si>
    <t>Dairon Blanco</t>
  </si>
  <si>
    <t>Seth Brown*</t>
  </si>
  <si>
    <t>J.D. Davis</t>
  </si>
  <si>
    <t>Aramis Garcia</t>
  </si>
  <si>
    <t>Eric Haase</t>
  </si>
  <si>
    <t>Connor Joe</t>
  </si>
  <si>
    <t>Dylan Moore</t>
  </si>
  <si>
    <t>Gary Sanchez</t>
  </si>
  <si>
    <t>Austin Slater</t>
  </si>
  <si>
    <t>Garrett Stubbs*</t>
  </si>
  <si>
    <t>Kris Bryant</t>
  </si>
  <si>
    <t>Wilmer Flores</t>
  </si>
  <si>
    <t>Adam Frazier*</t>
  </si>
  <si>
    <t>Enrique Hernandez</t>
  </si>
  <si>
    <t>Omar Narvaez*</t>
  </si>
  <si>
    <t>Hunter Renfroe</t>
  </si>
  <si>
    <t>Eddie Rosario*</t>
  </si>
  <si>
    <t>Jon Singleton*</t>
  </si>
  <si>
    <t>Gio Urshela</t>
  </si>
  <si>
    <t>Ildemaro Vargas#</t>
  </si>
  <si>
    <t>Tucker Barnhart*</t>
  </si>
  <si>
    <t>Kyle Farmer</t>
  </si>
  <si>
    <t>Tyler Heineman#</t>
  </si>
  <si>
    <t>Travis Jankowski*</t>
  </si>
  <si>
    <t>Luke Maile</t>
  </si>
  <si>
    <t>Chris Taylor</t>
  </si>
  <si>
    <t>Christian Vazquez</t>
  </si>
  <si>
    <t>Austin Wynns</t>
  </si>
  <si>
    <t>Nick Ahmed</t>
  </si>
  <si>
    <t>Austin Barnes</t>
  </si>
  <si>
    <t>Jon Berti</t>
  </si>
  <si>
    <t>Rob Brantly*</t>
  </si>
  <si>
    <t>Jason Heyward*</t>
  </si>
  <si>
    <t>Jose Iglesias</t>
  </si>
  <si>
    <t>Nick Martini*</t>
  </si>
  <si>
    <t>James McCann</t>
  </si>
  <si>
    <t>Austin Nola</t>
  </si>
  <si>
    <t>Jacob Stallings</t>
  </si>
  <si>
    <t>Mark Canha</t>
  </si>
  <si>
    <t>Travis d'Arnaud</t>
  </si>
  <si>
    <t>DJ LeMahieu</t>
  </si>
  <si>
    <t>Sandy Leon#</t>
  </si>
  <si>
    <t>Kevin Pillar</t>
  </si>
  <si>
    <t>Donovan Solano</t>
  </si>
  <si>
    <t>Martin Maldonado</t>
  </si>
  <si>
    <t>Yuli Gurriel</t>
  </si>
  <si>
    <t>Name                    Team</t>
  </si>
  <si>
    <t>ERA</t>
  </si>
  <si>
    <t>W</t>
  </si>
  <si>
    <t>L</t>
  </si>
  <si>
    <t>S</t>
  </si>
  <si>
    <t>G</t>
  </si>
  <si>
    <t>GS</t>
  </si>
  <si>
    <t>CG</t>
  </si>
  <si>
    <t>SHO</t>
  </si>
  <si>
    <t>INN</t>
  </si>
  <si>
    <t>ER</t>
  </si>
  <si>
    <t>IW</t>
  </si>
  <si>
    <t>Didier Fuentes</t>
  </si>
  <si>
    <t>sp</t>
  </si>
  <si>
    <t>Bradgley Rodriguez</t>
  </si>
  <si>
    <t>mr</t>
  </si>
  <si>
    <t>Trey Yesavage</t>
  </si>
  <si>
    <t>Chase Burns</t>
  </si>
  <si>
    <t>Bubba Chandler</t>
  </si>
  <si>
    <t>Angel Chivilli</t>
  </si>
  <si>
    <t>Jose Corniell</t>
  </si>
  <si>
    <t>Ryan Johnson</t>
  </si>
  <si>
    <t>Andry Lara</t>
  </si>
  <si>
    <t>Cristian Mena</t>
  </si>
  <si>
    <t>Luis Morales</t>
  </si>
  <si>
    <t>Chase Petty</t>
  </si>
  <si>
    <t>Payton Tolle*</t>
  </si>
  <si>
    <t>Jonah Tong</t>
  </si>
  <si>
    <t>Mick Abel</t>
  </si>
  <si>
    <t>Philip Abner*</t>
  </si>
  <si>
    <t>Sam Aldegheri*</t>
  </si>
  <si>
    <t>Luinder Avila</t>
  </si>
  <si>
    <t>Chase Dollander</t>
  </si>
  <si>
    <t>Carlos Duran</t>
  </si>
  <si>
    <t>Connelly Early*</t>
  </si>
  <si>
    <t>Joey Estes</t>
  </si>
  <si>
    <t>Jose M Fermin</t>
  </si>
  <si>
    <t>Mason Fluharty*</t>
  </si>
  <si>
    <t>Wikelman Gonzalez</t>
  </si>
  <si>
    <t>Thomas Harrington</t>
  </si>
  <si>
    <t>cl</t>
  </si>
  <si>
    <t>Logan Henderson</t>
  </si>
  <si>
    <t>Cade Horton</t>
  </si>
  <si>
    <t>Justin Martinez</t>
  </si>
  <si>
    <t>Nolan McLean</t>
  </si>
  <si>
    <t>Jacob Misiorowski</t>
  </si>
  <si>
    <t>Anthony Molina</t>
  </si>
  <si>
    <t>Carlos F. Rodriguez</t>
  </si>
  <si>
    <t>Roki Sasaki</t>
  </si>
  <si>
    <t>Grant Taylor</t>
  </si>
  <si>
    <t>Troy Taylor</t>
  </si>
  <si>
    <t>Zach Agnos</t>
  </si>
  <si>
    <t>Luarbert Arias</t>
  </si>
  <si>
    <t>Hunter Barco*</t>
  </si>
  <si>
    <t>Mason Barnett</t>
  </si>
  <si>
    <t>Bradley Blalock</t>
  </si>
  <si>
    <t>A.J. Blubaugh</t>
  </si>
  <si>
    <t>McCade Brown</t>
  </si>
  <si>
    <t>Marc Church</t>
  </si>
  <si>
    <t>Luis Curvelo</t>
  </si>
  <si>
    <t>Logan Evans</t>
  </si>
  <si>
    <t>Mitch Farris*</t>
  </si>
  <si>
    <t>Braydon Fisher</t>
  </si>
  <si>
    <t>Luis Guerrero</t>
  </si>
  <si>
    <t>Ben Joyce</t>
  </si>
  <si>
    <t>Jack Kochanowicz</t>
  </si>
  <si>
    <t>Luke Little*</t>
  </si>
  <si>
    <t>Zach Maxwell</t>
  </si>
  <si>
    <t>Trevor McDonald</t>
  </si>
  <si>
    <t>Victor Mederos</t>
  </si>
  <si>
    <t>Juan M. Mejia</t>
  </si>
  <si>
    <t>Troy Melton</t>
  </si>
  <si>
    <t>Parker Messick*</t>
  </si>
  <si>
    <t>Luis Mey</t>
  </si>
  <si>
    <t>Keider Montero</t>
  </si>
  <si>
    <t>Tyler Owens</t>
  </si>
  <si>
    <t>Carson Palmquist*</t>
  </si>
  <si>
    <t>Connor Phillips</t>
  </si>
  <si>
    <t>Joe Rock*</t>
  </si>
  <si>
    <t>Cam Schlittler</t>
  </si>
  <si>
    <t>Drew Sommers*</t>
  </si>
  <si>
    <t>Brandon Sproat</t>
  </si>
  <si>
    <t>Blade Tidwell</t>
  </si>
  <si>
    <t>Andrew Walters</t>
  </si>
  <si>
    <t>Carson Whisenhunt*</t>
  </si>
  <si>
    <t>Travis Adams</t>
  </si>
  <si>
    <t>Braxton Ashcraft</t>
  </si>
  <si>
    <t>Sam Bachman</t>
  </si>
  <si>
    <t>Valente Bellozo</t>
  </si>
  <si>
    <t>Ryan Bergert</t>
  </si>
  <si>
    <t>Mason Black</t>
  </si>
  <si>
    <t>Joe Boyle</t>
  </si>
  <si>
    <t>Zach Brzykcy</t>
  </si>
  <si>
    <t>Juan Burgos</t>
  </si>
  <si>
    <t>Mike Burrows</t>
  </si>
  <si>
    <t>Noah Cameron*</t>
  </si>
  <si>
    <t>Roansy Contreras</t>
  </si>
  <si>
    <t>Hunter Dobbins</t>
  </si>
  <si>
    <t>Mason Englert</t>
  </si>
  <si>
    <t>Brandyn Garcia*</t>
  </si>
  <si>
    <t>Paul Gervase</t>
  </si>
  <si>
    <t>Yoendrys Gomez</t>
  </si>
  <si>
    <t>Gordon Graceffo</t>
  </si>
  <si>
    <t>Andre Granillo</t>
  </si>
  <si>
    <t>Seth Halvorsen</t>
  </si>
  <si>
    <t>Ronny Henriquez</t>
  </si>
  <si>
    <t>Cole Henry</t>
  </si>
  <si>
    <t>Jaden Hill</t>
  </si>
  <si>
    <t>Andrew Hoffmann</t>
  </si>
  <si>
    <t>Gunnar Hoglund</t>
  </si>
  <si>
    <t>Grant Holman</t>
  </si>
  <si>
    <t>Will Klein</t>
  </si>
  <si>
    <t>Sauryn Lao</t>
  </si>
  <si>
    <t>Brad Lord</t>
  </si>
  <si>
    <t>Garrett McDaniels*</t>
  </si>
  <si>
    <t>Christian Montes De Oca</t>
  </si>
  <si>
    <t>David Morgan</t>
  </si>
  <si>
    <t>Roddery Munoz</t>
  </si>
  <si>
    <t>Rolddy Munoz</t>
  </si>
  <si>
    <t>Doug Nikhazy*</t>
  </si>
  <si>
    <t>Pierson Ohl</t>
  </si>
  <si>
    <t>Daniel Palencia</t>
  </si>
  <si>
    <t>Jack Perkins</t>
  </si>
  <si>
    <t>Lyon Richardson</t>
  </si>
  <si>
    <t>Gregory Santos</t>
  </si>
  <si>
    <t>Chase Silseth</t>
  </si>
  <si>
    <t>Dylan Smith</t>
  </si>
  <si>
    <t>Shane Smith</t>
  </si>
  <si>
    <t>Carlos Vargas</t>
  </si>
  <si>
    <t>Mike Vasil</t>
  </si>
  <si>
    <t>Victor Vodnik</t>
  </si>
  <si>
    <t>Owen White</t>
  </si>
  <si>
    <t>Cole Wilcox</t>
  </si>
  <si>
    <t>Cole Winn</t>
  </si>
  <si>
    <t>Craig Yoho</t>
  </si>
  <si>
    <t>Elvis Alvarado</t>
  </si>
  <si>
    <t>Andrew Alvarez*</t>
  </si>
  <si>
    <t>Clayton Beeter</t>
  </si>
  <si>
    <t>Blas Castano</t>
  </si>
  <si>
    <t>Cade Cavalli</t>
  </si>
  <si>
    <t>Omar Cruz*</t>
  </si>
  <si>
    <t>Steven Cruz</t>
  </si>
  <si>
    <t>Xzavion Curry</t>
  </si>
  <si>
    <t>Jack Dreyer*</t>
  </si>
  <si>
    <t>Jake Eder*</t>
  </si>
  <si>
    <t>Lazaro Estrada</t>
  </si>
  <si>
    <t>Robert Gasser*</t>
  </si>
  <si>
    <t>Colton Gordon*</t>
  </si>
  <si>
    <t>Ryan Gusto</t>
  </si>
  <si>
    <t>Dom Hamel</t>
  </si>
  <si>
    <t>Hayden Harris*</t>
  </si>
  <si>
    <t>Seth Johnson</t>
  </si>
  <si>
    <t>Max Lazar</t>
  </si>
  <si>
    <t>Jordan Leasure</t>
  </si>
  <si>
    <t>Chase Lee</t>
  </si>
  <si>
    <t>Ryan Loutos</t>
  </si>
  <si>
    <t>Chayce McDermott</t>
  </si>
  <si>
    <t>Michael Mercado</t>
  </si>
  <si>
    <t>Juan Morillo</t>
  </si>
  <si>
    <t>Noah Murdock</t>
  </si>
  <si>
    <t>Kyle Nicolas</t>
  </si>
  <si>
    <t>Eduarniel Nunez</t>
  </si>
  <si>
    <t>Luis L. Ortiz</t>
  </si>
  <si>
    <t>Jake Palisch*</t>
  </si>
  <si>
    <t>Chad Patrick</t>
  </si>
  <si>
    <t>Robinson Pina</t>
  </si>
  <si>
    <t>Austin Pope</t>
  </si>
  <si>
    <t>Christian Roa</t>
  </si>
  <si>
    <t>Jackson Rutledge</t>
  </si>
  <si>
    <t>Jayvien Sandridge*</t>
  </si>
  <si>
    <t>Matt Sauer</t>
  </si>
  <si>
    <t>Carson Seymour</t>
  </si>
  <si>
    <t>Ian Seymour*</t>
  </si>
  <si>
    <t>Jared Shuster*</t>
  </si>
  <si>
    <t>George Soriano</t>
  </si>
  <si>
    <t>Matt Svanson</t>
  </si>
  <si>
    <t>Freddy Tarnok</t>
  </si>
  <si>
    <t>Kai-Wei Teng</t>
  </si>
  <si>
    <t>Logan VanWey</t>
  </si>
  <si>
    <t>Nathan Wiles</t>
  </si>
  <si>
    <t>Brandon Young</t>
  </si>
  <si>
    <t>Garrett Acton</t>
  </si>
  <si>
    <t>Kolby Allard*</t>
  </si>
  <si>
    <t>Ian Anderson</t>
  </si>
  <si>
    <t>Kyle Backhus*</t>
  </si>
  <si>
    <t>Brady Basso*</t>
  </si>
  <si>
    <t>Cody Bolton</t>
  </si>
  <si>
    <t>Matt Brash</t>
  </si>
  <si>
    <t>Jose Butto</t>
  </si>
  <si>
    <t>Isaiah Campbell</t>
  </si>
  <si>
    <t>Michael Darrell-Hicks</t>
  </si>
  <si>
    <t>Brett de Geus</t>
  </si>
  <si>
    <t>Yerry De Los Santos</t>
  </si>
  <si>
    <t>Dylan Dodd*</t>
  </si>
  <si>
    <t>Brandon Eisert*</t>
  </si>
  <si>
    <t>Fraser Ellard*</t>
  </si>
  <si>
    <t>Ryan Fernandez</t>
  </si>
  <si>
    <t>Caleb Freeman</t>
  </si>
  <si>
    <t>Cade Gibson*</t>
  </si>
  <si>
    <t>Connor Gillispie</t>
  </si>
  <si>
    <t>Sawyer Gipson-Long</t>
  </si>
  <si>
    <t>Tanner Gordon</t>
  </si>
  <si>
    <t>Brent Headrick*</t>
  </si>
  <si>
    <t>Tommy Henry*</t>
  </si>
  <si>
    <t>Nolan Hoffman</t>
  </si>
  <si>
    <t>Gavin Hollowell</t>
  </si>
  <si>
    <t>Bailey Horn*</t>
  </si>
  <si>
    <t>Alek Jacob</t>
  </si>
  <si>
    <t>Drey Jameson</t>
  </si>
  <si>
    <t>Bryce Jarvis</t>
  </si>
  <si>
    <t>Zak Kent</t>
  </si>
  <si>
    <t>Landon Knack</t>
  </si>
  <si>
    <t>Max Kranick</t>
  </si>
  <si>
    <t>Joe La Sorsa*</t>
  </si>
  <si>
    <t>Cody Laweryson</t>
  </si>
  <si>
    <t>Jack Little</t>
  </si>
  <si>
    <t>Jacob Lopez*</t>
  </si>
  <si>
    <t>Anthony Maldonado</t>
  </si>
  <si>
    <t>Easton McGee</t>
  </si>
  <si>
    <t>Triston McKenzie</t>
  </si>
  <si>
    <t>Erik Miller*</t>
  </si>
  <si>
    <t>Patrick Monteverde*</t>
  </si>
  <si>
    <t>Chris Murphy*</t>
  </si>
  <si>
    <t>Shinnosuke Ogasawara*</t>
  </si>
  <si>
    <t>Eric Orze</t>
  </si>
  <si>
    <t>Johan Oviedo</t>
  </si>
  <si>
    <t>Sammy Peralta*</t>
  </si>
  <si>
    <t>Tyler Phillips</t>
  </si>
  <si>
    <t>Konnor Pilkington*</t>
  </si>
  <si>
    <t>Jonathan Pintaro</t>
  </si>
  <si>
    <t>Carson Ragsdale</t>
  </si>
  <si>
    <t>Alan Rangel</t>
  </si>
  <si>
    <t>Sean Reynolds</t>
  </si>
  <si>
    <t>Orlando Ribalta</t>
  </si>
  <si>
    <t>Ethan Roberts</t>
  </si>
  <si>
    <t>Elvin Rodriguez</t>
  </si>
  <si>
    <t>Ryan Rolison*</t>
  </si>
  <si>
    <t>Andrew Saalfrank*</t>
  </si>
  <si>
    <t>Erik Sabrowski*</t>
  </si>
  <si>
    <t>Eduardo Salazar</t>
  </si>
  <si>
    <t>Cole Sands</t>
  </si>
  <si>
    <t>Paxton Schultz</t>
  </si>
  <si>
    <t>Colin Selby</t>
  </si>
  <si>
    <t>Josh Simpson*</t>
  </si>
  <si>
    <t>Justin Slaten</t>
  </si>
  <si>
    <t>Mitch Spence</t>
  </si>
  <si>
    <t>Carson Spiers</t>
  </si>
  <si>
    <t>Kade Strowd</t>
  </si>
  <si>
    <t>Jose Suarez*</t>
  </si>
  <si>
    <t>Connor Thomas*</t>
  </si>
  <si>
    <t>Mason Thompson</t>
  </si>
  <si>
    <t>Louis Varland</t>
  </si>
  <si>
    <t>Anthony Veneziano*</t>
  </si>
  <si>
    <t>Joey Wentz*</t>
  </si>
  <si>
    <t>Forrest Whitley</t>
  </si>
  <si>
    <t>Bryse Wilson</t>
  </si>
  <si>
    <t>Josh Winckowski</t>
  </si>
  <si>
    <t>Keaton Winn</t>
  </si>
  <si>
    <t>Ryan Zeferjahn</t>
  </si>
  <si>
    <t>Yosver Zulueta</t>
  </si>
  <si>
    <t>Ty Adcock</t>
  </si>
  <si>
    <t>Grant Anderson</t>
  </si>
  <si>
    <t>Jonathan Bowlan</t>
  </si>
  <si>
    <t>Justin Bruihl*</t>
  </si>
  <si>
    <t>Brock Burke*</t>
  </si>
  <si>
    <t>Genesis Cabrera*</t>
  </si>
  <si>
    <t>Alex Carrillo</t>
  </si>
  <si>
    <t>Austin Cox*</t>
  </si>
  <si>
    <t>Cooper Criswell</t>
  </si>
  <si>
    <t>Davis Daniel</t>
  </si>
  <si>
    <t>Dugan Darnell</t>
  </si>
  <si>
    <t>Noah Davis</t>
  </si>
  <si>
    <t>Alexis Diaz</t>
  </si>
  <si>
    <t>Jhonathan Diaz*</t>
  </si>
  <si>
    <t>Nic Enright</t>
  </si>
  <si>
    <t>Jose Espada</t>
  </si>
  <si>
    <t>Caleb Ferguson*</t>
  </si>
  <si>
    <t>Kody Funderburk*</t>
  </si>
  <si>
    <t>Luis H. Garcia</t>
  </si>
  <si>
    <t>Joey Gerber</t>
  </si>
  <si>
    <t>Logan Gillaspie</t>
  </si>
  <si>
    <t>Justin Hagenman</t>
  </si>
  <si>
    <t>Carlos Hernandez</t>
  </si>
  <si>
    <t>Daysbel Hernandez</t>
  </si>
  <si>
    <t>Codi Heuer</t>
  </si>
  <si>
    <t>Sean Hjelle</t>
  </si>
  <si>
    <t>Bryan Hoeing</t>
  </si>
  <si>
    <t>Bryan Hudson*</t>
  </si>
  <si>
    <t>Cristian Javier</t>
  </si>
  <si>
    <t>Stephen Kolek</t>
  </si>
  <si>
    <t>Jackson Kowar</t>
  </si>
  <si>
    <t>Casey Legumina</t>
  </si>
  <si>
    <t>Easton Lucas*</t>
  </si>
  <si>
    <t>Nick Mears</t>
  </si>
  <si>
    <t>Jovani Moran*</t>
  </si>
  <si>
    <t>Jayden Murray</t>
  </si>
  <si>
    <t>Kyle Nelson*</t>
  </si>
  <si>
    <t>Elvis Peguero</t>
  </si>
  <si>
    <t>Joel Peguero</t>
  </si>
  <si>
    <t>Zach Pop</t>
  </si>
  <si>
    <t>PJ Poulin*</t>
  </si>
  <si>
    <t>Manuel Rodriguez</t>
  </si>
  <si>
    <t>Yariel Rodriguez</t>
  </si>
  <si>
    <t>John Rooney*</t>
  </si>
  <si>
    <t>Chris Roycroft</t>
  </si>
  <si>
    <t>Cam Sanders</t>
  </si>
  <si>
    <t>Nick Sandlin</t>
  </si>
  <si>
    <t>Chase Shugart</t>
  </si>
  <si>
    <t>Evan Sisk*</t>
  </si>
  <si>
    <t>Justin Sterner</t>
  </si>
  <si>
    <t>Hunter Stratton</t>
  </si>
  <si>
    <t>Brian van Belle</t>
  </si>
  <si>
    <t>Matt Waldron</t>
  </si>
  <si>
    <t>Brandon Walter*</t>
  </si>
  <si>
    <t>Grant Wolfram*</t>
  </si>
  <si>
    <t>Jake Woodford</t>
  </si>
  <si>
    <t>Jorge Alcala</t>
  </si>
  <si>
    <t>Tristan Beck</t>
  </si>
  <si>
    <t>Osvaldo Bido</t>
  </si>
  <si>
    <t>Jake Bird</t>
  </si>
  <si>
    <t>Scott Blewett</t>
  </si>
  <si>
    <t>Jose G. Castillo*</t>
  </si>
  <si>
    <t>Luis Contreras</t>
  </si>
  <si>
    <t>Tom Cosgrove*</t>
  </si>
  <si>
    <t>Enyel De Los Santos</t>
  </si>
  <si>
    <t>Shawn Dubin</t>
  </si>
  <si>
    <t>Julian Fernandez</t>
  </si>
  <si>
    <t>Gerson Garabito</t>
  </si>
  <si>
    <t>Lucas Gilbreath*</t>
  </si>
  <si>
    <t>Sean Guenther*</t>
  </si>
  <si>
    <t>Yaramil Hiraldo</t>
  </si>
  <si>
    <t>Colin Holderman</t>
  </si>
  <si>
    <t>Janson Junk</t>
  </si>
  <si>
    <t>Brad Keller</t>
  </si>
  <si>
    <t>Michael Kopech</t>
  </si>
  <si>
    <t>Alex Lange</t>
  </si>
  <si>
    <t>Jake Latz*</t>
  </si>
  <si>
    <t>Sam Long*</t>
  </si>
  <si>
    <t>Richard Lovelady*</t>
  </si>
  <si>
    <t>Ron Marinaccio</t>
  </si>
  <si>
    <t>Corbin Martin</t>
  </si>
  <si>
    <t>Isaac Mattson</t>
  </si>
  <si>
    <t>Darren McCaughan</t>
  </si>
  <si>
    <t>Dauri Moreta</t>
  </si>
  <si>
    <t>Eli Morgan</t>
  </si>
  <si>
    <t>Dedniel Nunez</t>
  </si>
  <si>
    <t>Cionel Perez*</t>
  </si>
  <si>
    <t>Jose Quijada*</t>
  </si>
  <si>
    <t>Nick Raquet*</t>
  </si>
  <si>
    <t>Taylor Rashi</t>
  </si>
  <si>
    <t>Reiver Sanmartin*</t>
  </si>
  <si>
    <t>Connor Seabold</t>
  </si>
  <si>
    <t>Collin Snider</t>
  </si>
  <si>
    <t>Touki Toussaint</t>
  </si>
  <si>
    <t>Austin Warren</t>
  </si>
  <si>
    <t>Allan Winans</t>
  </si>
  <si>
    <t>Keegan Akin*</t>
  </si>
  <si>
    <t>Shaun Anderson</t>
  </si>
  <si>
    <t>Lake Bachar</t>
  </si>
  <si>
    <t>Bryan Baker</t>
  </si>
  <si>
    <t>Anthony Bender</t>
  </si>
  <si>
    <t>Ben Bowden*</t>
  </si>
  <si>
    <t>Connor Brogdon</t>
  </si>
  <si>
    <t>Luis F. Castillo</t>
  </si>
  <si>
    <t>Miguel Castro</t>
  </si>
  <si>
    <t>Aaron Civale</t>
  </si>
  <si>
    <t>Nabil Crismatt</t>
  </si>
  <si>
    <t>Randy Dobnak</t>
  </si>
  <si>
    <t>Dane Dunning</t>
  </si>
  <si>
    <t>J.P. France</t>
  </si>
  <si>
    <t>Ian Hamilton</t>
  </si>
  <si>
    <t>Hunter Harvey</t>
  </si>
  <si>
    <t>Thomas Hatch</t>
  </si>
  <si>
    <t>Nick Hernandez</t>
  </si>
  <si>
    <t>Zack Kelly</t>
  </si>
  <si>
    <t>John King*</t>
  </si>
  <si>
    <t>Matt Krook*</t>
  </si>
  <si>
    <t>Eric Lauer*</t>
  </si>
  <si>
    <t>Justin Lawrence</t>
  </si>
  <si>
    <t>Jonathan Loaisiga</t>
  </si>
  <si>
    <t>German Marquez</t>
  </si>
  <si>
    <t>Seth Martinez</t>
  </si>
  <si>
    <t>Anthony Misiewicz*</t>
  </si>
  <si>
    <t>Riley O'Brien</t>
  </si>
  <si>
    <t>Evan Phillips</t>
  </si>
  <si>
    <t>Cody Poteet</t>
  </si>
  <si>
    <t>A.J. Puk*</t>
  </si>
  <si>
    <t>Cal Quantrill</t>
  </si>
  <si>
    <t>Yohan Ramirez</t>
  </si>
  <si>
    <t>Daniel Robert</t>
  </si>
  <si>
    <t>Jose Ruiz</t>
  </si>
  <si>
    <t>Antonio Senzatela</t>
  </si>
  <si>
    <t>Bennett Sousa*</t>
  </si>
  <si>
    <t>Gabe Speier*</t>
  </si>
  <si>
    <t>Jesus Tinoco</t>
  </si>
  <si>
    <t>Jose Urquidy</t>
  </si>
  <si>
    <t>Josh Walker*</t>
  </si>
  <si>
    <t>Tyler Wells</t>
  </si>
  <si>
    <t>Steven Wilson</t>
  </si>
  <si>
    <t>Bruce Zimmermann*</t>
  </si>
  <si>
    <t>Tyler Zuber</t>
  </si>
  <si>
    <t>Jalen Beeks*</t>
  </si>
  <si>
    <t>Spencer Bivens</t>
  </si>
  <si>
    <t>Paul Blackburn</t>
  </si>
  <si>
    <t>Ronel Blanco</t>
  </si>
  <si>
    <t>Ryan Borucki*</t>
  </si>
  <si>
    <t>Caleb Boushley</t>
  </si>
  <si>
    <t>JT Brubaker</t>
  </si>
  <si>
    <t>Ryan Burr</t>
  </si>
  <si>
    <t>Yennier Cano</t>
  </si>
  <si>
    <t>Scott Effross</t>
  </si>
  <si>
    <t>Tyler Ferguson</t>
  </si>
  <si>
    <t>Carson Fulmer</t>
  </si>
  <si>
    <t>Rico Garcia</t>
  </si>
  <si>
    <t>Justin Garza</t>
  </si>
  <si>
    <t>Ian Gibaut</t>
  </si>
  <si>
    <t>Tyler Gilbert*</t>
  </si>
  <si>
    <t>Kevin Ginkel</t>
  </si>
  <si>
    <t>Austin Gomber*</t>
  </si>
  <si>
    <t>Geoff Hartlieb</t>
  </si>
  <si>
    <t>Jimmy Herget</t>
  </si>
  <si>
    <t>Brooks Kriske</t>
  </si>
  <si>
    <t>Jose Leclerc</t>
  </si>
  <si>
    <t>Reynaldo Lopez</t>
  </si>
  <si>
    <t>Lance McCullers</t>
  </si>
  <si>
    <t>Penn Murfee</t>
  </si>
  <si>
    <t>Joel Payamps</t>
  </si>
  <si>
    <t>Angel Perdomo*</t>
  </si>
  <si>
    <t>Michael Petersen</t>
  </si>
  <si>
    <t>Colin Poche*</t>
  </si>
  <si>
    <t>Jesse Scholtens</t>
  </si>
  <si>
    <t>Lucas Sims</t>
  </si>
  <si>
    <t>Dillon Tate</t>
  </si>
  <si>
    <t>Zach R. Thompson</t>
  </si>
  <si>
    <t>Trent Thornton</t>
  </si>
  <si>
    <t>Brandon Waddell*</t>
  </si>
  <si>
    <t>Danny Young*</t>
  </si>
  <si>
    <t>Jason Alexander</t>
  </si>
  <si>
    <t>Dan Altavilla</t>
  </si>
  <si>
    <t>Scott Barlow</t>
  </si>
  <si>
    <t>Nick Burdi</t>
  </si>
  <si>
    <t>Taylor Clarke</t>
  </si>
  <si>
    <t>John Curtiss</t>
  </si>
  <si>
    <t>Jose E. De Leon</t>
  </si>
  <si>
    <t>Erick Fedde</t>
  </si>
  <si>
    <t>Matt Festa</t>
  </si>
  <si>
    <t>J.P. Feyereisen</t>
  </si>
  <si>
    <t>Michael Fulmer</t>
  </si>
  <si>
    <t>Matt Gage*</t>
  </si>
  <si>
    <t>Kyle Hart*</t>
  </si>
  <si>
    <t>Jorge Lopez</t>
  </si>
  <si>
    <t>Joey Lucchesi*</t>
  </si>
  <si>
    <t>Frankie Montas</t>
  </si>
  <si>
    <t>Sean Newcomb*</t>
  </si>
  <si>
    <t>Tanner Rainey</t>
  </si>
  <si>
    <t>Trevor Richards</t>
  </si>
  <si>
    <t>Jordan Romano</t>
  </si>
  <si>
    <t>Joe Ross</t>
  </si>
  <si>
    <t>Tayler Saucedo*</t>
  </si>
  <si>
    <t>Robert Stephenson</t>
  </si>
  <si>
    <t>Spencer Turnbull</t>
  </si>
  <si>
    <t>Taijuan Walker</t>
  </si>
  <si>
    <t>Jordan Weems</t>
  </si>
  <si>
    <t>Randy Wynne</t>
  </si>
  <si>
    <t>Brennan Bernardino*</t>
  </si>
  <si>
    <t>Cam Booser*</t>
  </si>
  <si>
    <t>Jeff Brigham</t>
  </si>
  <si>
    <t>Carl  Edwards Jr.</t>
  </si>
  <si>
    <t>Jon Gray</t>
  </si>
  <si>
    <t>Luke Jackson</t>
  </si>
  <si>
    <t>Ben Lively</t>
  </si>
  <si>
    <t>Tim Mayza*</t>
  </si>
  <si>
    <t>Julian Merryweather</t>
  </si>
  <si>
    <t>Sam Moll*</t>
  </si>
  <si>
    <t>Steven Okert*</t>
  </si>
  <si>
    <t>Kaleb Ort</t>
  </si>
  <si>
    <t>Wandy Peralta*</t>
  </si>
  <si>
    <t>Tayler Scott</t>
  </si>
  <si>
    <t>Ryne Stanek</t>
  </si>
  <si>
    <t>Brock Stewart</t>
  </si>
  <si>
    <t>Wander Suero</t>
  </si>
  <si>
    <t>Ryan Thompson</t>
  </si>
  <si>
    <t>Lou Trivino</t>
  </si>
  <si>
    <t>Jose Urena</t>
  </si>
  <si>
    <t>Ryan Yarbrough*</t>
  </si>
  <si>
    <t>Rob Zastryzny*</t>
  </si>
  <si>
    <t>Nick Anderson</t>
  </si>
  <si>
    <t>Shawn Armstrong</t>
  </si>
  <si>
    <t>Matt Bowman</t>
  </si>
  <si>
    <t>Mike Clevinger</t>
  </si>
  <si>
    <t>Chris Devenski</t>
  </si>
  <si>
    <t>Dietrich Enns*</t>
  </si>
  <si>
    <t>Yimi Garcia</t>
  </si>
  <si>
    <t>Kendall Graveman</t>
  </si>
  <si>
    <t>Chad Green</t>
  </si>
  <si>
    <t>Andrew Heaney*</t>
  </si>
  <si>
    <t>Kevin Herget</t>
  </si>
  <si>
    <t>Mark Leiter</t>
  </si>
  <si>
    <t>Joe Mantiply*</t>
  </si>
  <si>
    <t>Tyler Matzek*</t>
  </si>
  <si>
    <t>Hoby Milner*</t>
  </si>
  <si>
    <t>Rafael Montero</t>
  </si>
  <si>
    <t>Tommy Nance</t>
  </si>
  <si>
    <t>Emilio Pagan</t>
  </si>
  <si>
    <t>Chris Stratton</t>
  </si>
  <si>
    <t>Marcus Stroman</t>
  </si>
  <si>
    <t>Justin Topa</t>
  </si>
  <si>
    <t>Scott Alexander*</t>
  </si>
  <si>
    <t>Tyler Anderson*</t>
  </si>
  <si>
    <t>Jacob Barnes</t>
  </si>
  <si>
    <t>John Brebbia</t>
  </si>
  <si>
    <t>Danny Coulombe*</t>
  </si>
  <si>
    <t>Anthony DeSclafani</t>
  </si>
  <si>
    <t>Jesse Hahn</t>
  </si>
  <si>
    <t>Kyle Hendricks</t>
  </si>
  <si>
    <t>Tommy Kahnle</t>
  </si>
  <si>
    <t>Casey Kelly</t>
  </si>
  <si>
    <t>Scott McGough</t>
  </si>
  <si>
    <t>Erasmo Ramirez</t>
  </si>
  <si>
    <t>Paul Sewald</t>
  </si>
  <si>
    <t>Robert Stock</t>
  </si>
  <si>
    <t>Albert Suarez</t>
  </si>
  <si>
    <t>Tomoyuki Sugano</t>
  </si>
  <si>
    <t>Cole Sulser</t>
  </si>
  <si>
    <t>Brent Suter*</t>
  </si>
  <si>
    <t>Michael Tonkin</t>
  </si>
  <si>
    <t>Liam Hendriks</t>
  </si>
  <si>
    <t>T.J. McFarland*</t>
  </si>
  <si>
    <t>Miles Mikolas</t>
  </si>
  <si>
    <t>Hector Neris</t>
  </si>
  <si>
    <t>Drew Pomeranz*</t>
  </si>
  <si>
    <t>Ryan Pressly</t>
  </si>
  <si>
    <t>Ryan Brasier</t>
  </si>
  <si>
    <t>Kyle Gibson</t>
  </si>
  <si>
    <t>Craig Kimbrel</t>
  </si>
  <si>
    <t>Casey Lawrence</t>
  </si>
  <si>
    <t>Kenta Maeda</t>
  </si>
  <si>
    <t>Brooks Raley*</t>
  </si>
  <si>
    <t>Blake Treinen</t>
  </si>
  <si>
    <t>Justin Wilson*</t>
  </si>
  <si>
    <t>Carlos Carrasco</t>
  </si>
  <si>
    <t>Luis A. Garcia</t>
  </si>
  <si>
    <t>Wade Miley*</t>
  </si>
  <si>
    <t>Caleb Thielbar*</t>
  </si>
  <si>
    <t>Kirby Yates</t>
  </si>
  <si>
    <t>Chris Martin</t>
  </si>
  <si>
    <t>Adam Ottavino</t>
  </si>
  <si>
    <t>David Robertson</t>
  </si>
  <si>
    <t>Jesse Chavez</t>
  </si>
  <si>
    <t>Charlie Morton</t>
  </si>
  <si>
    <t>Justin Verlander</t>
  </si>
  <si>
    <t>Rich Hill*</t>
  </si>
  <si>
    <t>Stat</t>
  </si>
  <si>
    <t>Scout</t>
  </si>
  <si>
    <t>PV</t>
  </si>
  <si>
    <t>Notes</t>
  </si>
  <si>
    <t>Hit</t>
  </si>
  <si>
    <t>Pwr</t>
  </si>
  <si>
    <t>Approach</t>
  </si>
  <si>
    <t>Position</t>
  </si>
  <si>
    <t>PA</t>
  </si>
  <si>
    <t>K%</t>
  </si>
  <si>
    <t>BB%</t>
  </si>
  <si>
    <t>K% Adj</t>
  </si>
  <si>
    <t>ISO</t>
  </si>
  <si>
    <t>PV 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</si>
</sst>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2" fontId="0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3FC46-3967-4C7A-9FD2-0B82A317315B}">
  <dimension ref="A1:AH350"/>
  <sheetViews>
    <sheetView tabSelected="1" topLeftCell="A2" workbookViewId="0">
      <selection activeCell="U3" sqref="U3"/>
    </sheetView>
  </sheetViews>
  <sheetFormatPr defaultRowHeight="15" x14ac:dyDescent="0.25"/>
  <cols>
    <col min="1" max="1" width="20.42578125" bestFit="1" customWidth="1"/>
    <col min="2" max="2" width="3.28515625" bestFit="1" customWidth="1"/>
    <col min="3" max="3" width="4.42578125" bestFit="1" customWidth="1"/>
    <col min="4" max="6" width="6" bestFit="1" customWidth="1"/>
    <col min="7" max="8" width="4" bestFit="1" customWidth="1"/>
    <col min="9" max="10" width="3.140625" bestFit="1" customWidth="1"/>
    <col min="11" max="11" width="3.42578125" bestFit="1" customWidth="1"/>
    <col min="12" max="12" width="3" bestFit="1" customWidth="1"/>
    <col min="13" max="13" width="3.85546875" bestFit="1" customWidth="1"/>
    <col min="14" max="14" width="4.5703125" bestFit="1" customWidth="1"/>
    <col min="15" max="15" width="3.28515625" bestFit="1" customWidth="1"/>
    <col min="16" max="16" width="4" bestFit="1" customWidth="1"/>
    <col min="17" max="18" width="3.140625" bestFit="1" customWidth="1"/>
    <col min="19" max="19" width="1.7109375" style="1" customWidth="1"/>
    <col min="30" max="31" width="9.140625" style="3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T1" t="s">
        <v>928</v>
      </c>
      <c r="U1" t="s">
        <v>929</v>
      </c>
      <c r="V1" t="s">
        <v>930</v>
      </c>
      <c r="W1" t="s">
        <v>931</v>
      </c>
      <c r="Y1" t="s">
        <v>932</v>
      </c>
      <c r="Z1" t="s">
        <v>934</v>
      </c>
      <c r="AA1" t="s">
        <v>933</v>
      </c>
      <c r="AB1" t="s">
        <v>935</v>
      </c>
      <c r="AC1" t="s">
        <v>936</v>
      </c>
      <c r="AD1" t="s">
        <v>937</v>
      </c>
      <c r="AE1" t="s">
        <v>938</v>
      </c>
      <c r="AF1" t="s">
        <v>939</v>
      </c>
      <c r="AG1" t="s">
        <v>940</v>
      </c>
      <c r="AH1" t="s">
        <v>941</v>
      </c>
    </row>
    <row r="2" spans="1:34" x14ac:dyDescent="0.25">
      <c r="A2" t="s">
        <v>18</v>
      </c>
      <c r="B2" t="s">
        <v>19</v>
      </c>
      <c r="C2">
        <v>20</v>
      </c>
      <c r="D2">
        <v>0.16500000000000001</v>
      </c>
      <c r="E2">
        <v>0.22900000000000001</v>
      </c>
      <c r="F2">
        <v>0.33</v>
      </c>
      <c r="G2">
        <v>109</v>
      </c>
      <c r="H2">
        <v>18</v>
      </c>
      <c r="I2">
        <v>6</v>
      </c>
      <c r="J2">
        <v>0</v>
      </c>
      <c r="K2">
        <v>4</v>
      </c>
      <c r="L2">
        <v>10</v>
      </c>
      <c r="M2">
        <v>15</v>
      </c>
      <c r="N2">
        <v>3</v>
      </c>
      <c r="O2">
        <v>6</v>
      </c>
      <c r="P2">
        <v>30</v>
      </c>
      <c r="Q2">
        <v>0</v>
      </c>
      <c r="R2">
        <v>0</v>
      </c>
      <c r="T2">
        <f>AH2/10</f>
        <v>7.2924999999999995</v>
      </c>
      <c r="U2">
        <v>60</v>
      </c>
      <c r="V2">
        <f>(T2*2)+U2</f>
        <v>74.584999999999994</v>
      </c>
      <c r="AB2">
        <f>_xlfn.IFS(B2="c", 10, B2="ss", 10, B2="cf", 8,  B2="2b", 8, B2="3b", 6, B2="rf", 4, B2="lf", 2, B2="1b", 2, B2 ="dh", 1)</f>
        <v>10</v>
      </c>
      <c r="AC2">
        <f>(G2+N2+O2)</f>
        <v>118</v>
      </c>
      <c r="AD2" s="2">
        <f>P2/AC2</f>
        <v>0.25423728813559321</v>
      </c>
      <c r="AE2" s="2">
        <f>(N2+O2)/AC2</f>
        <v>7.6271186440677971E-2</v>
      </c>
      <c r="AF2" s="3">
        <f>100-((AD2-AE2)*100)</f>
        <v>82.203389830508485</v>
      </c>
      <c r="AG2">
        <f>(F2-D2)*1000</f>
        <v>165</v>
      </c>
      <c r="AH2">
        <f>(((AF2+AG2)/2)*(AC2/100)*AB2)/C2</f>
        <v>72.924999999999997</v>
      </c>
    </row>
    <row r="3" spans="1:34" x14ac:dyDescent="0.25">
      <c r="A3" t="s">
        <v>20</v>
      </c>
      <c r="B3" t="s">
        <v>21</v>
      </c>
      <c r="C3">
        <v>20</v>
      </c>
      <c r="D3">
        <v>0.107</v>
      </c>
      <c r="E3">
        <v>0.29699999999999999</v>
      </c>
      <c r="F3">
        <v>0.17899999999999999</v>
      </c>
      <c r="G3">
        <v>28</v>
      </c>
      <c r="H3">
        <v>3</v>
      </c>
      <c r="I3">
        <v>2</v>
      </c>
      <c r="J3">
        <v>0</v>
      </c>
      <c r="K3">
        <v>0</v>
      </c>
      <c r="L3">
        <v>1</v>
      </c>
      <c r="M3">
        <v>4</v>
      </c>
      <c r="N3">
        <v>1</v>
      </c>
      <c r="O3">
        <v>7</v>
      </c>
      <c r="P3">
        <v>13</v>
      </c>
      <c r="Q3">
        <v>0</v>
      </c>
      <c r="R3">
        <v>0</v>
      </c>
      <c r="T3">
        <f t="shared" ref="T3:T66" si="0">AH3/10</f>
        <v>0.14230000000000001</v>
      </c>
      <c r="V3">
        <f t="shared" ref="V3:V66" si="1">(T3*2)+U3</f>
        <v>0.28460000000000002</v>
      </c>
      <c r="AB3">
        <f t="shared" ref="AB3:AB66" si="2">_xlfn.IFS(B3="c", 10, B3="ss", 10, B3="cf", 8,  B3="2b", 8, B3="3b", 6, B3="rf", 4, B3="lf", 2, B3="1b", 2, B3 ="dh", 1)</f>
        <v>1</v>
      </c>
      <c r="AC3">
        <f t="shared" ref="AC3:AC66" si="3">(G3+N3+O3)</f>
        <v>36</v>
      </c>
      <c r="AD3" s="2">
        <f t="shared" ref="AD3:AD66" si="4">P3/AC3</f>
        <v>0.3611111111111111</v>
      </c>
      <c r="AE3" s="2">
        <f t="shared" ref="AE3:AE66" si="5">(N3+O3)/AC3</f>
        <v>0.22222222222222221</v>
      </c>
      <c r="AF3" s="3">
        <f t="shared" ref="AF3:AF66" si="6">100-((AD3-AE3)*100)</f>
        <v>86.111111111111114</v>
      </c>
      <c r="AG3">
        <f t="shared" ref="AG3:AG66" si="7">(F3-D3)*1000</f>
        <v>72</v>
      </c>
      <c r="AH3">
        <f>(((AF3+AG3)/2)*(AC3/100)*AB3)/C3</f>
        <v>1.423</v>
      </c>
    </row>
    <row r="4" spans="1:34" x14ac:dyDescent="0.25">
      <c r="A4" t="s">
        <v>22</v>
      </c>
      <c r="B4" t="s">
        <v>23</v>
      </c>
      <c r="C4">
        <v>21</v>
      </c>
      <c r="D4">
        <v>0.29199999999999998</v>
      </c>
      <c r="E4">
        <v>0.39600000000000002</v>
      </c>
      <c r="F4">
        <v>0.46300000000000002</v>
      </c>
      <c r="G4">
        <v>257</v>
      </c>
      <c r="H4">
        <v>75</v>
      </c>
      <c r="I4">
        <v>18</v>
      </c>
      <c r="J4">
        <v>1</v>
      </c>
      <c r="K4">
        <v>8</v>
      </c>
      <c r="L4">
        <v>48</v>
      </c>
      <c r="M4">
        <v>32</v>
      </c>
      <c r="N4">
        <v>5</v>
      </c>
      <c r="O4">
        <v>40</v>
      </c>
      <c r="P4">
        <v>84</v>
      </c>
      <c r="Q4">
        <v>4</v>
      </c>
      <c r="R4">
        <v>1</v>
      </c>
      <c r="T4">
        <f t="shared" si="0"/>
        <v>7.4230476190476198</v>
      </c>
      <c r="V4">
        <f t="shared" si="1"/>
        <v>14.84609523809524</v>
      </c>
      <c r="AB4">
        <f t="shared" si="2"/>
        <v>4</v>
      </c>
      <c r="AC4">
        <f t="shared" si="3"/>
        <v>302</v>
      </c>
      <c r="AD4" s="2">
        <f t="shared" si="4"/>
        <v>0.27814569536423839</v>
      </c>
      <c r="AE4" s="2">
        <f t="shared" si="5"/>
        <v>0.1490066225165563</v>
      </c>
      <c r="AF4" s="3">
        <f t="shared" si="6"/>
        <v>87.086092715231786</v>
      </c>
      <c r="AG4">
        <f t="shared" si="7"/>
        <v>171.00000000000003</v>
      </c>
      <c r="AH4">
        <f t="shared" ref="AH4:AH67" si="8">(((AF4+AG4)/2)*(AC4/100)*AB4)/C4</f>
        <v>74.230476190476196</v>
      </c>
    </row>
    <row r="5" spans="1:34" x14ac:dyDescent="0.25">
      <c r="A5" t="s">
        <v>24</v>
      </c>
      <c r="B5" t="s">
        <v>21</v>
      </c>
      <c r="C5">
        <v>21</v>
      </c>
      <c r="D5">
        <v>0.29799999999999999</v>
      </c>
      <c r="E5">
        <v>0.39400000000000002</v>
      </c>
      <c r="F5">
        <v>0.47399999999999998</v>
      </c>
      <c r="G5">
        <v>57</v>
      </c>
      <c r="H5">
        <v>17</v>
      </c>
      <c r="I5">
        <v>2</v>
      </c>
      <c r="J5">
        <v>1</v>
      </c>
      <c r="K5">
        <v>2</v>
      </c>
      <c r="L5">
        <v>12</v>
      </c>
      <c r="M5">
        <v>11</v>
      </c>
      <c r="N5">
        <v>0</v>
      </c>
      <c r="O5">
        <v>9</v>
      </c>
      <c r="P5">
        <v>12</v>
      </c>
      <c r="Q5">
        <v>0</v>
      </c>
      <c r="R5">
        <v>0</v>
      </c>
      <c r="T5">
        <f t="shared" si="0"/>
        <v>0.4265714285714286</v>
      </c>
      <c r="V5">
        <f t="shared" si="1"/>
        <v>0.8531428571428572</v>
      </c>
      <c r="AB5">
        <f t="shared" si="2"/>
        <v>1</v>
      </c>
      <c r="AC5">
        <f t="shared" si="3"/>
        <v>66</v>
      </c>
      <c r="AD5" s="2">
        <f t="shared" si="4"/>
        <v>0.18181818181818182</v>
      </c>
      <c r="AE5" s="2">
        <f t="shared" si="5"/>
        <v>0.13636363636363635</v>
      </c>
      <c r="AF5" s="3">
        <f t="shared" si="6"/>
        <v>95.454545454545453</v>
      </c>
      <c r="AG5">
        <f t="shared" si="7"/>
        <v>176</v>
      </c>
      <c r="AH5">
        <f t="shared" si="8"/>
        <v>4.265714285714286</v>
      </c>
    </row>
    <row r="6" spans="1:34" x14ac:dyDescent="0.25">
      <c r="A6" t="s">
        <v>25</v>
      </c>
      <c r="B6" t="s">
        <v>26</v>
      </c>
      <c r="C6">
        <v>21</v>
      </c>
      <c r="D6">
        <v>0.19</v>
      </c>
      <c r="E6">
        <v>0.20899999999999999</v>
      </c>
      <c r="F6">
        <v>0.35699999999999998</v>
      </c>
      <c r="G6">
        <v>42</v>
      </c>
      <c r="H6">
        <v>8</v>
      </c>
      <c r="I6">
        <v>1</v>
      </c>
      <c r="J6">
        <v>0</v>
      </c>
      <c r="K6">
        <v>2</v>
      </c>
      <c r="L6">
        <v>4</v>
      </c>
      <c r="M6">
        <v>3</v>
      </c>
      <c r="N6">
        <v>0</v>
      </c>
      <c r="O6">
        <v>1</v>
      </c>
      <c r="P6">
        <v>22</v>
      </c>
      <c r="Q6">
        <v>0</v>
      </c>
      <c r="R6">
        <v>0</v>
      </c>
      <c r="T6">
        <f t="shared" si="0"/>
        <v>2.2335714285714281</v>
      </c>
      <c r="V6">
        <f t="shared" si="1"/>
        <v>4.4671428571428562</v>
      </c>
      <c r="AB6">
        <f t="shared" si="2"/>
        <v>10</v>
      </c>
      <c r="AC6">
        <f t="shared" si="3"/>
        <v>43</v>
      </c>
      <c r="AD6" s="2">
        <f t="shared" si="4"/>
        <v>0.51162790697674421</v>
      </c>
      <c r="AE6" s="2">
        <f t="shared" si="5"/>
        <v>2.3255813953488372E-2</v>
      </c>
      <c r="AF6" s="3">
        <f t="shared" si="6"/>
        <v>51.162790697674417</v>
      </c>
      <c r="AG6">
        <f t="shared" si="7"/>
        <v>166.99999999999997</v>
      </c>
      <c r="AH6">
        <f t="shared" si="8"/>
        <v>22.335714285714282</v>
      </c>
    </row>
    <row r="7" spans="1:34" x14ac:dyDescent="0.25">
      <c r="A7" t="s">
        <v>27</v>
      </c>
      <c r="B7" t="s">
        <v>21</v>
      </c>
      <c r="C7">
        <v>21</v>
      </c>
      <c r="D7">
        <v>0.3</v>
      </c>
      <c r="E7">
        <v>0.39100000000000001</v>
      </c>
      <c r="F7">
        <v>0.55000000000000004</v>
      </c>
      <c r="G7">
        <v>60</v>
      </c>
      <c r="H7">
        <v>18</v>
      </c>
      <c r="I7">
        <v>6</v>
      </c>
      <c r="J7">
        <v>0</v>
      </c>
      <c r="K7">
        <v>3</v>
      </c>
      <c r="L7">
        <v>12</v>
      </c>
      <c r="M7">
        <v>13</v>
      </c>
      <c r="N7">
        <v>0</v>
      </c>
      <c r="O7">
        <v>9</v>
      </c>
      <c r="P7">
        <v>12</v>
      </c>
      <c r="Q7">
        <v>0</v>
      </c>
      <c r="R7">
        <v>0</v>
      </c>
      <c r="T7">
        <f t="shared" si="0"/>
        <v>0.56785714285714284</v>
      </c>
      <c r="V7">
        <f t="shared" si="1"/>
        <v>1.1357142857142857</v>
      </c>
      <c r="AB7">
        <f t="shared" si="2"/>
        <v>1</v>
      </c>
      <c r="AC7">
        <f t="shared" si="3"/>
        <v>69</v>
      </c>
      <c r="AD7" s="2">
        <f t="shared" si="4"/>
        <v>0.17391304347826086</v>
      </c>
      <c r="AE7" s="2">
        <f t="shared" si="5"/>
        <v>0.13043478260869565</v>
      </c>
      <c r="AF7" s="3">
        <f t="shared" si="6"/>
        <v>95.652173913043484</v>
      </c>
      <c r="AG7">
        <f t="shared" si="7"/>
        <v>250.00000000000006</v>
      </c>
      <c r="AH7">
        <f t="shared" si="8"/>
        <v>5.6785714285714288</v>
      </c>
    </row>
    <row r="8" spans="1:34" x14ac:dyDescent="0.25">
      <c r="A8" t="s">
        <v>28</v>
      </c>
      <c r="B8" t="s">
        <v>29</v>
      </c>
      <c r="C8">
        <v>21</v>
      </c>
      <c r="D8">
        <v>0.255</v>
      </c>
      <c r="E8">
        <v>0.29299999999999998</v>
      </c>
      <c r="F8">
        <v>0.54500000000000004</v>
      </c>
      <c r="G8">
        <v>55</v>
      </c>
      <c r="H8">
        <v>14</v>
      </c>
      <c r="I8">
        <v>1</v>
      </c>
      <c r="J8">
        <v>0</v>
      </c>
      <c r="K8">
        <v>5</v>
      </c>
      <c r="L8">
        <v>11</v>
      </c>
      <c r="M8">
        <v>8</v>
      </c>
      <c r="N8">
        <v>0</v>
      </c>
      <c r="O8">
        <v>3</v>
      </c>
      <c r="P8">
        <v>15</v>
      </c>
      <c r="Q8">
        <v>0</v>
      </c>
      <c r="R8">
        <v>0</v>
      </c>
      <c r="T8">
        <f t="shared" si="0"/>
        <v>1.02</v>
      </c>
      <c r="V8">
        <f t="shared" si="1"/>
        <v>2.04</v>
      </c>
      <c r="AB8">
        <f t="shared" si="2"/>
        <v>2</v>
      </c>
      <c r="AC8">
        <f t="shared" si="3"/>
        <v>58</v>
      </c>
      <c r="AD8" s="2">
        <f t="shared" si="4"/>
        <v>0.25862068965517243</v>
      </c>
      <c r="AE8" s="2">
        <f t="shared" si="5"/>
        <v>5.1724137931034482E-2</v>
      </c>
      <c r="AF8" s="3">
        <f t="shared" si="6"/>
        <v>79.310344827586206</v>
      </c>
      <c r="AG8">
        <f t="shared" si="7"/>
        <v>290.00000000000006</v>
      </c>
      <c r="AH8">
        <f t="shared" si="8"/>
        <v>10.200000000000001</v>
      </c>
    </row>
    <row r="9" spans="1:34" x14ac:dyDescent="0.25">
      <c r="A9" t="s">
        <v>30</v>
      </c>
      <c r="B9" t="s">
        <v>31</v>
      </c>
      <c r="C9">
        <v>21</v>
      </c>
      <c r="D9">
        <v>0.21099999999999999</v>
      </c>
      <c r="E9">
        <v>0.30199999999999999</v>
      </c>
      <c r="F9">
        <v>0.30499999999999999</v>
      </c>
      <c r="G9">
        <v>223</v>
      </c>
      <c r="H9">
        <v>47</v>
      </c>
      <c r="I9">
        <v>7</v>
      </c>
      <c r="J9">
        <v>1</v>
      </c>
      <c r="K9">
        <v>4</v>
      </c>
      <c r="L9">
        <v>24</v>
      </c>
      <c r="M9">
        <v>24</v>
      </c>
      <c r="N9">
        <v>2</v>
      </c>
      <c r="O9">
        <v>28</v>
      </c>
      <c r="P9">
        <v>47</v>
      </c>
      <c r="Q9">
        <v>1</v>
      </c>
      <c r="R9">
        <v>0</v>
      </c>
      <c r="T9">
        <f t="shared" si="0"/>
        <v>9.0251428571428569</v>
      </c>
      <c r="V9">
        <f t="shared" si="1"/>
        <v>18.050285714285714</v>
      </c>
      <c r="AB9">
        <f t="shared" si="2"/>
        <v>8</v>
      </c>
      <c r="AC9">
        <f t="shared" si="3"/>
        <v>253</v>
      </c>
      <c r="AD9" s="2">
        <f t="shared" si="4"/>
        <v>0.1857707509881423</v>
      </c>
      <c r="AE9" s="2">
        <f t="shared" si="5"/>
        <v>0.11857707509881422</v>
      </c>
      <c r="AF9" s="3">
        <f t="shared" si="6"/>
        <v>93.280632411067188</v>
      </c>
      <c r="AG9">
        <f t="shared" si="7"/>
        <v>94</v>
      </c>
      <c r="AH9">
        <f t="shared" si="8"/>
        <v>90.251428571428562</v>
      </c>
    </row>
    <row r="10" spans="1:34" x14ac:dyDescent="0.25">
      <c r="A10" t="s">
        <v>32</v>
      </c>
      <c r="B10" t="s">
        <v>33</v>
      </c>
      <c r="C10">
        <v>22</v>
      </c>
      <c r="D10">
        <v>0.20399999999999999</v>
      </c>
      <c r="E10">
        <v>0.29499999999999998</v>
      </c>
      <c r="F10">
        <v>0.38900000000000001</v>
      </c>
      <c r="G10">
        <v>54</v>
      </c>
      <c r="H10">
        <v>11</v>
      </c>
      <c r="I10">
        <v>1</v>
      </c>
      <c r="J10">
        <v>0</v>
      </c>
      <c r="K10">
        <v>3</v>
      </c>
      <c r="L10">
        <v>7</v>
      </c>
      <c r="M10">
        <v>5</v>
      </c>
      <c r="N10">
        <v>1</v>
      </c>
      <c r="O10">
        <v>6</v>
      </c>
      <c r="P10">
        <v>17</v>
      </c>
      <c r="Q10">
        <v>1</v>
      </c>
      <c r="R10">
        <v>2</v>
      </c>
      <c r="T10">
        <f t="shared" si="0"/>
        <v>2.2343181818181823</v>
      </c>
      <c r="V10">
        <f t="shared" si="1"/>
        <v>4.4686363636363646</v>
      </c>
      <c r="AB10">
        <f t="shared" si="2"/>
        <v>6</v>
      </c>
      <c r="AC10">
        <f t="shared" si="3"/>
        <v>61</v>
      </c>
      <c r="AD10" s="2">
        <f t="shared" si="4"/>
        <v>0.27868852459016391</v>
      </c>
      <c r="AE10" s="2">
        <f t="shared" si="5"/>
        <v>0.11475409836065574</v>
      </c>
      <c r="AF10" s="3">
        <f t="shared" si="6"/>
        <v>83.606557377049185</v>
      </c>
      <c r="AG10">
        <f t="shared" si="7"/>
        <v>185.00000000000003</v>
      </c>
      <c r="AH10">
        <f t="shared" si="8"/>
        <v>22.343181818181822</v>
      </c>
    </row>
    <row r="11" spans="1:34" x14ac:dyDescent="0.25">
      <c r="A11" t="s">
        <v>34</v>
      </c>
      <c r="B11" t="s">
        <v>23</v>
      </c>
      <c r="C11">
        <v>22</v>
      </c>
      <c r="D11">
        <v>0.157</v>
      </c>
      <c r="E11">
        <v>0.23699999999999999</v>
      </c>
      <c r="F11">
        <v>0.29499999999999998</v>
      </c>
      <c r="G11">
        <v>210</v>
      </c>
      <c r="H11">
        <v>33</v>
      </c>
      <c r="I11">
        <v>6</v>
      </c>
      <c r="J11">
        <v>1</v>
      </c>
      <c r="K11">
        <v>7</v>
      </c>
      <c r="L11">
        <v>19</v>
      </c>
      <c r="M11">
        <v>18</v>
      </c>
      <c r="N11">
        <v>4</v>
      </c>
      <c r="O11">
        <v>18</v>
      </c>
      <c r="P11">
        <v>52</v>
      </c>
      <c r="Q11">
        <v>1</v>
      </c>
      <c r="R11">
        <v>0</v>
      </c>
      <c r="T11">
        <f t="shared" si="0"/>
        <v>4.7469090909090896</v>
      </c>
      <c r="V11">
        <f t="shared" si="1"/>
        <v>9.4938181818181793</v>
      </c>
      <c r="AB11">
        <f t="shared" si="2"/>
        <v>4</v>
      </c>
      <c r="AC11">
        <f t="shared" si="3"/>
        <v>232</v>
      </c>
      <c r="AD11" s="2">
        <f t="shared" si="4"/>
        <v>0.22413793103448276</v>
      </c>
      <c r="AE11" s="2">
        <f t="shared" si="5"/>
        <v>9.4827586206896547E-2</v>
      </c>
      <c r="AF11" s="3">
        <f t="shared" si="6"/>
        <v>87.068965517241381</v>
      </c>
      <c r="AG11">
        <f t="shared" si="7"/>
        <v>137.99999999999997</v>
      </c>
      <c r="AH11">
        <f t="shared" si="8"/>
        <v>47.469090909090895</v>
      </c>
    </row>
    <row r="12" spans="1:34" x14ac:dyDescent="0.25">
      <c r="A12" t="s">
        <v>35</v>
      </c>
      <c r="B12" t="s">
        <v>23</v>
      </c>
      <c r="C12">
        <v>22</v>
      </c>
      <c r="D12">
        <v>0.192</v>
      </c>
      <c r="E12">
        <v>0.222</v>
      </c>
      <c r="F12">
        <v>0.34599999999999997</v>
      </c>
      <c r="G12">
        <v>26</v>
      </c>
      <c r="H12">
        <v>5</v>
      </c>
      <c r="I12">
        <v>1</v>
      </c>
      <c r="J12">
        <v>0</v>
      </c>
      <c r="K12">
        <v>1</v>
      </c>
      <c r="L12">
        <v>4</v>
      </c>
      <c r="M12">
        <v>4</v>
      </c>
      <c r="N12">
        <v>0</v>
      </c>
      <c r="O12">
        <v>1</v>
      </c>
      <c r="P12">
        <v>11</v>
      </c>
      <c r="Q12">
        <v>0</v>
      </c>
      <c r="R12">
        <v>0</v>
      </c>
      <c r="T12">
        <f t="shared" si="0"/>
        <v>0.53254545454545454</v>
      </c>
      <c r="V12">
        <f t="shared" si="1"/>
        <v>1.0650909090909091</v>
      </c>
      <c r="AB12">
        <f t="shared" si="2"/>
        <v>4</v>
      </c>
      <c r="AC12">
        <f t="shared" si="3"/>
        <v>27</v>
      </c>
      <c r="AD12" s="2">
        <f t="shared" si="4"/>
        <v>0.40740740740740738</v>
      </c>
      <c r="AE12" s="2">
        <f t="shared" si="5"/>
        <v>3.7037037037037035E-2</v>
      </c>
      <c r="AF12" s="3">
        <f t="shared" si="6"/>
        <v>62.962962962962962</v>
      </c>
      <c r="AG12">
        <f t="shared" si="7"/>
        <v>153.99999999999997</v>
      </c>
      <c r="AH12">
        <f t="shared" si="8"/>
        <v>5.3254545454545452</v>
      </c>
    </row>
    <row r="13" spans="1:34" x14ac:dyDescent="0.25">
      <c r="A13" t="s">
        <v>36</v>
      </c>
      <c r="B13" t="s">
        <v>21</v>
      </c>
      <c r="C13">
        <v>22</v>
      </c>
      <c r="D13">
        <v>0.22500000000000001</v>
      </c>
      <c r="E13">
        <v>0.26500000000000001</v>
      </c>
      <c r="F13">
        <v>0.34799999999999998</v>
      </c>
      <c r="G13">
        <v>138</v>
      </c>
      <c r="H13">
        <v>31</v>
      </c>
      <c r="I13">
        <v>5</v>
      </c>
      <c r="J13">
        <v>0</v>
      </c>
      <c r="K13">
        <v>4</v>
      </c>
      <c r="L13">
        <v>13</v>
      </c>
      <c r="M13">
        <v>11</v>
      </c>
      <c r="N13">
        <v>0</v>
      </c>
      <c r="O13">
        <v>8</v>
      </c>
      <c r="P13">
        <v>44</v>
      </c>
      <c r="Q13">
        <v>0</v>
      </c>
      <c r="R13">
        <v>0</v>
      </c>
      <c r="T13">
        <f t="shared" si="0"/>
        <v>0.65813636363636341</v>
      </c>
      <c r="V13">
        <f t="shared" si="1"/>
        <v>1.3162727272727268</v>
      </c>
      <c r="AB13">
        <f t="shared" si="2"/>
        <v>1</v>
      </c>
      <c r="AC13">
        <f t="shared" si="3"/>
        <v>146</v>
      </c>
      <c r="AD13" s="2">
        <f t="shared" si="4"/>
        <v>0.30136986301369861</v>
      </c>
      <c r="AE13" s="2">
        <f t="shared" si="5"/>
        <v>5.4794520547945202E-2</v>
      </c>
      <c r="AF13" s="3">
        <f t="shared" si="6"/>
        <v>75.342465753424662</v>
      </c>
      <c r="AG13">
        <f t="shared" si="7"/>
        <v>122.99999999999997</v>
      </c>
      <c r="AH13">
        <f t="shared" si="8"/>
        <v>6.5813636363636343</v>
      </c>
    </row>
    <row r="14" spans="1:34" x14ac:dyDescent="0.25">
      <c r="A14" t="s">
        <v>37</v>
      </c>
      <c r="B14" t="s">
        <v>19</v>
      </c>
      <c r="C14">
        <v>22</v>
      </c>
      <c r="D14">
        <v>0.16700000000000001</v>
      </c>
      <c r="E14">
        <v>0.25</v>
      </c>
      <c r="F14">
        <v>0.16700000000000001</v>
      </c>
      <c r="G14">
        <v>6</v>
      </c>
      <c r="H14">
        <v>1</v>
      </c>
      <c r="I14">
        <v>0</v>
      </c>
      <c r="J14">
        <v>0</v>
      </c>
      <c r="K14">
        <v>0</v>
      </c>
      <c r="L14">
        <v>1</v>
      </c>
      <c r="M14">
        <v>1</v>
      </c>
      <c r="N14">
        <v>1</v>
      </c>
      <c r="O14">
        <v>0</v>
      </c>
      <c r="P14">
        <v>3</v>
      </c>
      <c r="Q14">
        <v>0</v>
      </c>
      <c r="R14">
        <v>0</v>
      </c>
      <c r="T14">
        <f t="shared" si="0"/>
        <v>0.11363636363636365</v>
      </c>
      <c r="V14">
        <f t="shared" si="1"/>
        <v>0.22727272727272729</v>
      </c>
      <c r="AB14">
        <f t="shared" si="2"/>
        <v>10</v>
      </c>
      <c r="AC14">
        <f t="shared" si="3"/>
        <v>7</v>
      </c>
      <c r="AD14" s="2">
        <f t="shared" si="4"/>
        <v>0.42857142857142855</v>
      </c>
      <c r="AE14" s="2">
        <f t="shared" si="5"/>
        <v>0.14285714285714285</v>
      </c>
      <c r="AF14" s="3">
        <f t="shared" si="6"/>
        <v>71.428571428571431</v>
      </c>
      <c r="AG14">
        <f t="shared" si="7"/>
        <v>0</v>
      </c>
      <c r="AH14">
        <f t="shared" si="8"/>
        <v>1.1363636363636365</v>
      </c>
    </row>
    <row r="15" spans="1:34" x14ac:dyDescent="0.25">
      <c r="A15" t="s">
        <v>38</v>
      </c>
      <c r="B15" t="s">
        <v>23</v>
      </c>
      <c r="C15">
        <v>22</v>
      </c>
      <c r="D15">
        <v>0.14299999999999999</v>
      </c>
      <c r="E15">
        <v>0.33300000000000002</v>
      </c>
      <c r="F15">
        <v>0.28599999999999998</v>
      </c>
      <c r="G15">
        <v>7</v>
      </c>
      <c r="H15">
        <v>1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2</v>
      </c>
      <c r="P15">
        <v>5</v>
      </c>
      <c r="Q15">
        <v>0</v>
      </c>
      <c r="R15">
        <v>0</v>
      </c>
      <c r="T15">
        <f t="shared" si="0"/>
        <v>0.1715454545454545</v>
      </c>
      <c r="V15">
        <f t="shared" si="1"/>
        <v>0.343090909090909</v>
      </c>
      <c r="AB15">
        <f t="shared" si="2"/>
        <v>4</v>
      </c>
      <c r="AC15">
        <f t="shared" si="3"/>
        <v>9</v>
      </c>
      <c r="AD15" s="2">
        <f t="shared" si="4"/>
        <v>0.55555555555555558</v>
      </c>
      <c r="AE15" s="2">
        <f t="shared" si="5"/>
        <v>0.22222222222222221</v>
      </c>
      <c r="AF15" s="3">
        <f t="shared" si="6"/>
        <v>66.666666666666657</v>
      </c>
      <c r="AG15">
        <f t="shared" si="7"/>
        <v>143</v>
      </c>
      <c r="AH15">
        <f t="shared" si="8"/>
        <v>1.7154545454545451</v>
      </c>
    </row>
    <row r="16" spans="1:34" x14ac:dyDescent="0.25">
      <c r="A16" t="s">
        <v>39</v>
      </c>
      <c r="B16" t="s">
        <v>33</v>
      </c>
      <c r="C16">
        <v>22</v>
      </c>
      <c r="D16">
        <v>0.23400000000000001</v>
      </c>
      <c r="E16">
        <v>0.252</v>
      </c>
      <c r="F16">
        <v>0.32200000000000001</v>
      </c>
      <c r="G16">
        <v>261</v>
      </c>
      <c r="H16">
        <v>61</v>
      </c>
      <c r="I16">
        <v>11</v>
      </c>
      <c r="J16">
        <v>0</v>
      </c>
      <c r="K16">
        <v>4</v>
      </c>
      <c r="L16">
        <v>26</v>
      </c>
      <c r="M16">
        <v>29</v>
      </c>
      <c r="N16">
        <v>0</v>
      </c>
      <c r="O16">
        <v>8</v>
      </c>
      <c r="P16">
        <v>78</v>
      </c>
      <c r="Q16">
        <v>5</v>
      </c>
      <c r="R16">
        <v>3</v>
      </c>
      <c r="T16">
        <f t="shared" si="0"/>
        <v>5.9416363636363627</v>
      </c>
      <c r="V16">
        <f t="shared" si="1"/>
        <v>11.883272727272725</v>
      </c>
      <c r="AB16">
        <f t="shared" si="2"/>
        <v>6</v>
      </c>
      <c r="AC16">
        <f t="shared" si="3"/>
        <v>269</v>
      </c>
      <c r="AD16" s="2">
        <f t="shared" si="4"/>
        <v>0.2899628252788104</v>
      </c>
      <c r="AE16" s="2">
        <f t="shared" si="5"/>
        <v>2.9739776951672861E-2</v>
      </c>
      <c r="AF16" s="3">
        <f t="shared" si="6"/>
        <v>73.977695167286242</v>
      </c>
      <c r="AG16">
        <f t="shared" si="7"/>
        <v>88</v>
      </c>
      <c r="AH16">
        <f t="shared" si="8"/>
        <v>59.416363636363627</v>
      </c>
    </row>
    <row r="17" spans="1:34" x14ac:dyDescent="0.25">
      <c r="A17" t="s">
        <v>40</v>
      </c>
      <c r="B17" t="s">
        <v>33</v>
      </c>
      <c r="C17">
        <v>22</v>
      </c>
      <c r="D17">
        <v>0.22600000000000001</v>
      </c>
      <c r="E17">
        <v>0.308</v>
      </c>
      <c r="F17">
        <v>0.27700000000000002</v>
      </c>
      <c r="G17">
        <v>137</v>
      </c>
      <c r="H17">
        <v>31</v>
      </c>
      <c r="I17">
        <v>4</v>
      </c>
      <c r="J17">
        <v>0</v>
      </c>
      <c r="K17">
        <v>1</v>
      </c>
      <c r="L17">
        <v>20</v>
      </c>
      <c r="M17">
        <v>9</v>
      </c>
      <c r="N17">
        <v>2</v>
      </c>
      <c r="O17">
        <v>15</v>
      </c>
      <c r="P17">
        <v>41</v>
      </c>
      <c r="Q17">
        <v>0</v>
      </c>
      <c r="R17">
        <v>0</v>
      </c>
      <c r="T17">
        <f t="shared" si="0"/>
        <v>2.8437272727272731</v>
      </c>
      <c r="V17">
        <f t="shared" si="1"/>
        <v>5.6874545454545462</v>
      </c>
      <c r="AB17">
        <f t="shared" si="2"/>
        <v>6</v>
      </c>
      <c r="AC17">
        <f t="shared" si="3"/>
        <v>154</v>
      </c>
      <c r="AD17" s="2">
        <f t="shared" si="4"/>
        <v>0.26623376623376621</v>
      </c>
      <c r="AE17" s="2">
        <f t="shared" si="5"/>
        <v>0.11038961038961038</v>
      </c>
      <c r="AF17" s="3">
        <f t="shared" si="6"/>
        <v>84.415584415584419</v>
      </c>
      <c r="AG17">
        <f t="shared" si="7"/>
        <v>51.000000000000014</v>
      </c>
      <c r="AH17">
        <f t="shared" si="8"/>
        <v>28.437272727272731</v>
      </c>
    </row>
    <row r="18" spans="1:34" x14ac:dyDescent="0.25">
      <c r="A18" t="s">
        <v>41</v>
      </c>
      <c r="B18" t="s">
        <v>31</v>
      </c>
      <c r="C18">
        <v>22</v>
      </c>
      <c r="D18">
        <v>0.30199999999999999</v>
      </c>
      <c r="E18">
        <v>0.38200000000000001</v>
      </c>
      <c r="F18">
        <v>0.44500000000000001</v>
      </c>
      <c r="G18">
        <v>182</v>
      </c>
      <c r="H18">
        <v>55</v>
      </c>
      <c r="I18">
        <v>14</v>
      </c>
      <c r="J18">
        <v>0</v>
      </c>
      <c r="K18">
        <v>4</v>
      </c>
      <c r="L18">
        <v>25</v>
      </c>
      <c r="M18">
        <v>28</v>
      </c>
      <c r="N18">
        <v>5</v>
      </c>
      <c r="O18">
        <v>19</v>
      </c>
      <c r="P18">
        <v>29</v>
      </c>
      <c r="Q18">
        <v>14</v>
      </c>
      <c r="R18">
        <v>3</v>
      </c>
      <c r="T18">
        <f t="shared" si="0"/>
        <v>9.010545454545456</v>
      </c>
      <c r="V18">
        <f t="shared" si="1"/>
        <v>18.021090909090912</v>
      </c>
      <c r="AB18">
        <f t="shared" si="2"/>
        <v>8</v>
      </c>
      <c r="AC18">
        <f t="shared" si="3"/>
        <v>206</v>
      </c>
      <c r="AD18" s="2">
        <f t="shared" si="4"/>
        <v>0.14077669902912621</v>
      </c>
      <c r="AE18" s="2">
        <f t="shared" si="5"/>
        <v>0.11650485436893204</v>
      </c>
      <c r="AF18" s="3">
        <f t="shared" si="6"/>
        <v>97.572815533980588</v>
      </c>
      <c r="AG18">
        <f t="shared" si="7"/>
        <v>143.00000000000003</v>
      </c>
      <c r="AH18">
        <f t="shared" si="8"/>
        <v>90.105454545454563</v>
      </c>
    </row>
    <row r="19" spans="1:34" x14ac:dyDescent="0.25">
      <c r="A19" t="s">
        <v>42</v>
      </c>
      <c r="B19" t="s">
        <v>29</v>
      </c>
      <c r="C19">
        <v>22</v>
      </c>
      <c r="D19">
        <v>0.28999999999999998</v>
      </c>
      <c r="E19">
        <v>0.38300000000000001</v>
      </c>
      <c r="F19">
        <v>0.61899999999999999</v>
      </c>
      <c r="G19">
        <v>420</v>
      </c>
      <c r="H19">
        <v>122</v>
      </c>
      <c r="I19">
        <v>26</v>
      </c>
      <c r="J19">
        <v>2</v>
      </c>
      <c r="K19">
        <v>36</v>
      </c>
      <c r="L19">
        <v>90</v>
      </c>
      <c r="M19">
        <v>86</v>
      </c>
      <c r="N19">
        <v>2</v>
      </c>
      <c r="O19">
        <v>63</v>
      </c>
      <c r="P19">
        <v>151</v>
      </c>
      <c r="Q19">
        <v>2</v>
      </c>
      <c r="R19">
        <v>1</v>
      </c>
      <c r="T19">
        <f t="shared" si="0"/>
        <v>9.0665909090909071</v>
      </c>
      <c r="V19">
        <f t="shared" si="1"/>
        <v>18.133181818181814</v>
      </c>
      <c r="AB19">
        <f t="shared" si="2"/>
        <v>2</v>
      </c>
      <c r="AC19">
        <f t="shared" si="3"/>
        <v>485</v>
      </c>
      <c r="AD19" s="2">
        <f t="shared" si="4"/>
        <v>0.31134020618556701</v>
      </c>
      <c r="AE19" s="2">
        <f t="shared" si="5"/>
        <v>0.13402061855670103</v>
      </c>
      <c r="AF19" s="3">
        <f t="shared" si="6"/>
        <v>82.268041237113408</v>
      </c>
      <c r="AG19">
        <f t="shared" si="7"/>
        <v>329</v>
      </c>
      <c r="AH19">
        <f t="shared" si="8"/>
        <v>90.665909090909068</v>
      </c>
    </row>
    <row r="20" spans="1:34" x14ac:dyDescent="0.25">
      <c r="A20" t="s">
        <v>43</v>
      </c>
      <c r="B20" t="s">
        <v>23</v>
      </c>
      <c r="C20">
        <v>22</v>
      </c>
      <c r="D20">
        <v>0.29899999999999999</v>
      </c>
      <c r="E20">
        <v>0.34699999999999998</v>
      </c>
      <c r="F20">
        <v>0.498</v>
      </c>
      <c r="G20">
        <v>321</v>
      </c>
      <c r="H20">
        <v>96</v>
      </c>
      <c r="I20">
        <v>15</v>
      </c>
      <c r="J20">
        <v>11</v>
      </c>
      <c r="K20">
        <v>9</v>
      </c>
      <c r="L20">
        <v>51</v>
      </c>
      <c r="M20">
        <v>41</v>
      </c>
      <c r="N20">
        <v>4</v>
      </c>
      <c r="O20">
        <v>21</v>
      </c>
      <c r="P20">
        <v>56</v>
      </c>
      <c r="Q20">
        <v>8</v>
      </c>
      <c r="R20">
        <v>6</v>
      </c>
      <c r="T20">
        <f t="shared" si="0"/>
        <v>9.1230909090909087</v>
      </c>
      <c r="V20">
        <f t="shared" si="1"/>
        <v>18.246181818181817</v>
      </c>
      <c r="AB20">
        <f t="shared" si="2"/>
        <v>4</v>
      </c>
      <c r="AC20">
        <f t="shared" si="3"/>
        <v>346</v>
      </c>
      <c r="AD20" s="2">
        <f t="shared" si="4"/>
        <v>0.16184971098265896</v>
      </c>
      <c r="AE20" s="2">
        <f t="shared" si="5"/>
        <v>7.2254335260115612E-2</v>
      </c>
      <c r="AF20" s="3">
        <f t="shared" si="6"/>
        <v>91.040462427745666</v>
      </c>
      <c r="AG20">
        <f t="shared" si="7"/>
        <v>199</v>
      </c>
      <c r="AH20">
        <f t="shared" si="8"/>
        <v>91.23090909090908</v>
      </c>
    </row>
    <row r="21" spans="1:34" x14ac:dyDescent="0.25">
      <c r="A21" t="s">
        <v>44</v>
      </c>
      <c r="B21" t="s">
        <v>33</v>
      </c>
      <c r="C21">
        <v>22</v>
      </c>
      <c r="D21">
        <v>0.22800000000000001</v>
      </c>
      <c r="E21">
        <v>0.27200000000000002</v>
      </c>
      <c r="F21">
        <v>0.40200000000000002</v>
      </c>
      <c r="G21">
        <v>127</v>
      </c>
      <c r="H21">
        <v>29</v>
      </c>
      <c r="I21">
        <v>8</v>
      </c>
      <c r="J21">
        <v>1</v>
      </c>
      <c r="K21">
        <v>4</v>
      </c>
      <c r="L21">
        <v>20</v>
      </c>
      <c r="M21">
        <v>10</v>
      </c>
      <c r="N21">
        <v>0</v>
      </c>
      <c r="O21">
        <v>8</v>
      </c>
      <c r="P21">
        <v>41</v>
      </c>
      <c r="Q21">
        <v>0</v>
      </c>
      <c r="R21">
        <v>2</v>
      </c>
      <c r="T21">
        <f t="shared" si="0"/>
        <v>4.5940909090909106</v>
      </c>
      <c r="V21">
        <f t="shared" si="1"/>
        <v>9.1881818181818211</v>
      </c>
      <c r="AB21">
        <f t="shared" si="2"/>
        <v>6</v>
      </c>
      <c r="AC21">
        <f t="shared" si="3"/>
        <v>135</v>
      </c>
      <c r="AD21" s="2">
        <f t="shared" si="4"/>
        <v>0.3037037037037037</v>
      </c>
      <c r="AE21" s="2">
        <f t="shared" si="5"/>
        <v>5.9259259259259262E-2</v>
      </c>
      <c r="AF21" s="3">
        <f t="shared" si="6"/>
        <v>75.555555555555557</v>
      </c>
      <c r="AG21">
        <f t="shared" si="7"/>
        <v>174.00000000000003</v>
      </c>
      <c r="AH21">
        <f t="shared" si="8"/>
        <v>45.940909090909102</v>
      </c>
    </row>
    <row r="22" spans="1:34" x14ac:dyDescent="0.25">
      <c r="A22" t="s">
        <v>45</v>
      </c>
      <c r="B22" t="s">
        <v>31</v>
      </c>
      <c r="C22">
        <v>22</v>
      </c>
      <c r="D22">
        <v>0.19800000000000001</v>
      </c>
      <c r="E22">
        <v>0.28399999999999997</v>
      </c>
      <c r="F22">
        <v>0.37</v>
      </c>
      <c r="G22">
        <v>162</v>
      </c>
      <c r="H22">
        <v>32</v>
      </c>
      <c r="I22">
        <v>5</v>
      </c>
      <c r="J22">
        <v>1</v>
      </c>
      <c r="K22">
        <v>7</v>
      </c>
      <c r="L22">
        <v>20</v>
      </c>
      <c r="M22">
        <v>16</v>
      </c>
      <c r="N22">
        <v>1</v>
      </c>
      <c r="O22">
        <v>19</v>
      </c>
      <c r="P22">
        <v>62</v>
      </c>
      <c r="Q22">
        <v>3</v>
      </c>
      <c r="R22">
        <v>0</v>
      </c>
      <c r="T22">
        <f t="shared" si="0"/>
        <v>8.2370909090909077</v>
      </c>
      <c r="V22">
        <f t="shared" si="1"/>
        <v>16.474181818181815</v>
      </c>
      <c r="AB22">
        <f t="shared" si="2"/>
        <v>8</v>
      </c>
      <c r="AC22">
        <f t="shared" si="3"/>
        <v>182</v>
      </c>
      <c r="AD22" s="2">
        <f t="shared" si="4"/>
        <v>0.34065934065934067</v>
      </c>
      <c r="AE22" s="2">
        <f t="shared" si="5"/>
        <v>0.10989010989010989</v>
      </c>
      <c r="AF22" s="3">
        <f t="shared" si="6"/>
        <v>76.92307692307692</v>
      </c>
      <c r="AG22">
        <f t="shared" si="7"/>
        <v>172</v>
      </c>
      <c r="AH22">
        <f t="shared" si="8"/>
        <v>82.37090909090908</v>
      </c>
    </row>
    <row r="23" spans="1:34" x14ac:dyDescent="0.25">
      <c r="A23" t="s">
        <v>46</v>
      </c>
      <c r="B23" t="s">
        <v>33</v>
      </c>
      <c r="C23">
        <v>22</v>
      </c>
      <c r="D23">
        <v>0.214</v>
      </c>
      <c r="E23">
        <v>0.25900000000000001</v>
      </c>
      <c r="F23">
        <v>0.379</v>
      </c>
      <c r="G23">
        <v>206</v>
      </c>
      <c r="H23">
        <v>44</v>
      </c>
      <c r="I23">
        <v>7</v>
      </c>
      <c r="J23">
        <v>0</v>
      </c>
      <c r="K23">
        <v>9</v>
      </c>
      <c r="L23">
        <v>17</v>
      </c>
      <c r="M23">
        <v>23</v>
      </c>
      <c r="N23">
        <v>3</v>
      </c>
      <c r="O23">
        <v>10</v>
      </c>
      <c r="P23">
        <v>68</v>
      </c>
      <c r="Q23">
        <v>1</v>
      </c>
      <c r="R23">
        <v>1</v>
      </c>
      <c r="T23">
        <f t="shared" si="0"/>
        <v>7.1638636363636365</v>
      </c>
      <c r="V23">
        <f t="shared" si="1"/>
        <v>14.327727272727273</v>
      </c>
      <c r="AB23">
        <f t="shared" si="2"/>
        <v>6</v>
      </c>
      <c r="AC23">
        <f t="shared" si="3"/>
        <v>219</v>
      </c>
      <c r="AD23" s="2">
        <f t="shared" si="4"/>
        <v>0.31050228310502281</v>
      </c>
      <c r="AE23" s="2">
        <f t="shared" si="5"/>
        <v>5.9360730593607303E-2</v>
      </c>
      <c r="AF23" s="3">
        <f t="shared" si="6"/>
        <v>74.885844748858446</v>
      </c>
      <c r="AG23">
        <f t="shared" si="7"/>
        <v>165</v>
      </c>
      <c r="AH23">
        <f t="shared" si="8"/>
        <v>71.638636363636365</v>
      </c>
    </row>
    <row r="24" spans="1:34" x14ac:dyDescent="0.25">
      <c r="A24" t="s">
        <v>47</v>
      </c>
      <c r="B24" t="s">
        <v>48</v>
      </c>
      <c r="C24">
        <v>22</v>
      </c>
      <c r="D24">
        <v>0.21199999999999999</v>
      </c>
      <c r="E24">
        <v>0.313</v>
      </c>
      <c r="F24">
        <v>0.27800000000000002</v>
      </c>
      <c r="G24">
        <v>151</v>
      </c>
      <c r="H24">
        <v>32</v>
      </c>
      <c r="I24">
        <v>4</v>
      </c>
      <c r="J24">
        <v>0</v>
      </c>
      <c r="K24">
        <v>2</v>
      </c>
      <c r="L24">
        <v>12</v>
      </c>
      <c r="M24">
        <v>15</v>
      </c>
      <c r="N24">
        <v>2</v>
      </c>
      <c r="O24">
        <v>21</v>
      </c>
      <c r="P24">
        <v>34</v>
      </c>
      <c r="Q24">
        <v>5</v>
      </c>
      <c r="R24">
        <v>4</v>
      </c>
      <c r="T24">
        <f t="shared" si="0"/>
        <v>1.262909090909091</v>
      </c>
      <c r="V24">
        <f t="shared" si="1"/>
        <v>2.525818181818182</v>
      </c>
      <c r="AB24">
        <f t="shared" si="2"/>
        <v>2</v>
      </c>
      <c r="AC24">
        <f t="shared" si="3"/>
        <v>174</v>
      </c>
      <c r="AD24" s="2">
        <f t="shared" si="4"/>
        <v>0.19540229885057472</v>
      </c>
      <c r="AE24" s="2">
        <f t="shared" si="5"/>
        <v>0.13218390804597702</v>
      </c>
      <c r="AF24" s="3">
        <f t="shared" si="6"/>
        <v>93.678160919540232</v>
      </c>
      <c r="AG24">
        <f t="shared" si="7"/>
        <v>66.000000000000028</v>
      </c>
      <c r="AH24">
        <f t="shared" si="8"/>
        <v>12.629090909090911</v>
      </c>
    </row>
    <row r="25" spans="1:34" x14ac:dyDescent="0.25">
      <c r="A25" t="s">
        <v>49</v>
      </c>
      <c r="B25" t="s">
        <v>19</v>
      </c>
      <c r="C25">
        <v>22</v>
      </c>
      <c r="D25">
        <v>0.26800000000000002</v>
      </c>
      <c r="E25">
        <v>0.33300000000000002</v>
      </c>
      <c r="F25">
        <v>0.35599999999999998</v>
      </c>
      <c r="G25">
        <v>365</v>
      </c>
      <c r="H25">
        <v>98</v>
      </c>
      <c r="I25">
        <v>17</v>
      </c>
      <c r="J25">
        <v>0</v>
      </c>
      <c r="K25">
        <v>5</v>
      </c>
      <c r="L25">
        <v>31</v>
      </c>
      <c r="M25">
        <v>36</v>
      </c>
      <c r="N25">
        <v>4</v>
      </c>
      <c r="O25">
        <v>32</v>
      </c>
      <c r="P25">
        <v>71</v>
      </c>
      <c r="Q25">
        <v>0</v>
      </c>
      <c r="R25">
        <v>1</v>
      </c>
      <c r="T25">
        <f t="shared" si="0"/>
        <v>16.338181818181816</v>
      </c>
      <c r="V25">
        <f t="shared" si="1"/>
        <v>32.676363636363632</v>
      </c>
      <c r="AB25">
        <f t="shared" si="2"/>
        <v>10</v>
      </c>
      <c r="AC25">
        <f t="shared" si="3"/>
        <v>401</v>
      </c>
      <c r="AD25" s="2">
        <f t="shared" si="4"/>
        <v>0.17705735660847879</v>
      </c>
      <c r="AE25" s="2">
        <f t="shared" si="5"/>
        <v>8.9775561097256859E-2</v>
      </c>
      <c r="AF25" s="3">
        <f t="shared" si="6"/>
        <v>91.271820448877804</v>
      </c>
      <c r="AG25">
        <f t="shared" si="7"/>
        <v>87.999999999999972</v>
      </c>
      <c r="AH25">
        <f t="shared" si="8"/>
        <v>163.38181818181818</v>
      </c>
    </row>
    <row r="26" spans="1:34" x14ac:dyDescent="0.25">
      <c r="A26" t="s">
        <v>50</v>
      </c>
      <c r="B26" t="s">
        <v>23</v>
      </c>
      <c r="C26">
        <v>22</v>
      </c>
      <c r="D26">
        <v>0.23599999999999999</v>
      </c>
      <c r="E26">
        <v>0.312</v>
      </c>
      <c r="F26">
        <v>0.35799999999999998</v>
      </c>
      <c r="G26">
        <v>441</v>
      </c>
      <c r="H26">
        <v>104</v>
      </c>
      <c r="I26">
        <v>21</v>
      </c>
      <c r="J26">
        <v>3</v>
      </c>
      <c r="K26">
        <v>9</v>
      </c>
      <c r="L26">
        <v>55</v>
      </c>
      <c r="M26">
        <v>51</v>
      </c>
      <c r="N26">
        <v>7</v>
      </c>
      <c r="O26">
        <v>43</v>
      </c>
      <c r="P26">
        <v>137</v>
      </c>
      <c r="Q26">
        <v>8</v>
      </c>
      <c r="R26">
        <v>1</v>
      </c>
      <c r="T26">
        <f t="shared" si="0"/>
        <v>9.118363636363636</v>
      </c>
      <c r="V26">
        <f t="shared" si="1"/>
        <v>18.236727272727272</v>
      </c>
      <c r="AB26">
        <f t="shared" si="2"/>
        <v>4</v>
      </c>
      <c r="AC26">
        <f t="shared" si="3"/>
        <v>491</v>
      </c>
      <c r="AD26" s="2">
        <f t="shared" si="4"/>
        <v>0.27902240325865579</v>
      </c>
      <c r="AE26" s="2">
        <f t="shared" si="5"/>
        <v>0.10183299389002037</v>
      </c>
      <c r="AF26" s="3">
        <f t="shared" si="6"/>
        <v>82.281059063136453</v>
      </c>
      <c r="AG26">
        <f t="shared" si="7"/>
        <v>122</v>
      </c>
      <c r="AH26">
        <f t="shared" si="8"/>
        <v>91.183636363636367</v>
      </c>
    </row>
    <row r="27" spans="1:34" x14ac:dyDescent="0.25">
      <c r="A27" t="s">
        <v>51</v>
      </c>
      <c r="B27" t="s">
        <v>26</v>
      </c>
      <c r="C27">
        <v>22</v>
      </c>
      <c r="D27">
        <v>0.17199999999999999</v>
      </c>
      <c r="E27">
        <v>0.219</v>
      </c>
      <c r="F27">
        <v>0.35399999999999998</v>
      </c>
      <c r="G27">
        <v>99</v>
      </c>
      <c r="H27">
        <v>17</v>
      </c>
      <c r="I27">
        <v>3</v>
      </c>
      <c r="J27">
        <v>0</v>
      </c>
      <c r="K27">
        <v>5</v>
      </c>
      <c r="L27">
        <v>11</v>
      </c>
      <c r="M27">
        <v>12</v>
      </c>
      <c r="N27">
        <v>0</v>
      </c>
      <c r="O27">
        <v>6</v>
      </c>
      <c r="P27">
        <v>44</v>
      </c>
      <c r="Q27">
        <v>2</v>
      </c>
      <c r="R27">
        <v>1</v>
      </c>
      <c r="T27">
        <f t="shared" si="0"/>
        <v>5.8659090909090903</v>
      </c>
      <c r="V27">
        <f t="shared" si="1"/>
        <v>11.731818181818181</v>
      </c>
      <c r="AB27">
        <f t="shared" si="2"/>
        <v>10</v>
      </c>
      <c r="AC27">
        <f t="shared" si="3"/>
        <v>105</v>
      </c>
      <c r="AD27" s="2">
        <f t="shared" si="4"/>
        <v>0.41904761904761906</v>
      </c>
      <c r="AE27" s="2">
        <f t="shared" si="5"/>
        <v>5.7142857142857141E-2</v>
      </c>
      <c r="AF27" s="3">
        <f t="shared" si="6"/>
        <v>63.80952380952381</v>
      </c>
      <c r="AG27">
        <f t="shared" si="7"/>
        <v>182</v>
      </c>
      <c r="AH27">
        <f t="shared" si="8"/>
        <v>58.659090909090907</v>
      </c>
    </row>
    <row r="28" spans="1:34" x14ac:dyDescent="0.25">
      <c r="A28" t="s">
        <v>52</v>
      </c>
      <c r="B28" t="s">
        <v>48</v>
      </c>
      <c r="C28">
        <v>23</v>
      </c>
      <c r="D28">
        <v>0.22700000000000001</v>
      </c>
      <c r="E28">
        <v>0.375</v>
      </c>
      <c r="F28">
        <v>0.4</v>
      </c>
      <c r="G28">
        <v>110</v>
      </c>
      <c r="H28">
        <v>25</v>
      </c>
      <c r="I28">
        <v>5</v>
      </c>
      <c r="J28">
        <v>1</v>
      </c>
      <c r="K28">
        <v>4</v>
      </c>
      <c r="L28">
        <v>16</v>
      </c>
      <c r="M28">
        <v>14</v>
      </c>
      <c r="N28">
        <v>0</v>
      </c>
      <c r="O28">
        <v>26</v>
      </c>
      <c r="P28">
        <v>36</v>
      </c>
      <c r="Q28">
        <v>2</v>
      </c>
      <c r="R28">
        <v>2</v>
      </c>
      <c r="T28">
        <f t="shared" si="0"/>
        <v>1.5707826086956527</v>
      </c>
      <c r="V28">
        <f t="shared" si="1"/>
        <v>3.1415652173913053</v>
      </c>
      <c r="AB28">
        <f t="shared" si="2"/>
        <v>2</v>
      </c>
      <c r="AC28">
        <f t="shared" si="3"/>
        <v>136</v>
      </c>
      <c r="AD28" s="2">
        <f t="shared" si="4"/>
        <v>0.26470588235294118</v>
      </c>
      <c r="AE28" s="2">
        <f t="shared" si="5"/>
        <v>0.19117647058823528</v>
      </c>
      <c r="AF28" s="3">
        <f t="shared" si="6"/>
        <v>92.647058823529406</v>
      </c>
      <c r="AG28">
        <f t="shared" si="7"/>
        <v>173.00000000000003</v>
      </c>
      <c r="AH28">
        <f t="shared" si="8"/>
        <v>15.707826086956526</v>
      </c>
    </row>
    <row r="29" spans="1:34" x14ac:dyDescent="0.25">
      <c r="A29" t="s">
        <v>53</v>
      </c>
      <c r="B29" t="s">
        <v>29</v>
      </c>
      <c r="C29">
        <v>23</v>
      </c>
      <c r="D29">
        <v>0.252</v>
      </c>
      <c r="E29">
        <v>0.28799999999999998</v>
      </c>
      <c r="F29">
        <v>0.41</v>
      </c>
      <c r="G29">
        <v>139</v>
      </c>
      <c r="H29">
        <v>35</v>
      </c>
      <c r="I29">
        <v>8</v>
      </c>
      <c r="J29">
        <v>1</v>
      </c>
      <c r="K29">
        <v>4</v>
      </c>
      <c r="L29">
        <v>15</v>
      </c>
      <c r="M29">
        <v>14</v>
      </c>
      <c r="N29">
        <v>0</v>
      </c>
      <c r="O29">
        <v>7</v>
      </c>
      <c r="P29">
        <v>25</v>
      </c>
      <c r="Q29">
        <v>1</v>
      </c>
      <c r="R29">
        <v>1</v>
      </c>
      <c r="T29">
        <f t="shared" si="0"/>
        <v>1.559478260869565</v>
      </c>
      <c r="V29">
        <f t="shared" si="1"/>
        <v>3.11895652173913</v>
      </c>
      <c r="AB29">
        <f t="shared" si="2"/>
        <v>2</v>
      </c>
      <c r="AC29">
        <f t="shared" si="3"/>
        <v>146</v>
      </c>
      <c r="AD29" s="2">
        <f t="shared" si="4"/>
        <v>0.17123287671232876</v>
      </c>
      <c r="AE29" s="2">
        <f t="shared" si="5"/>
        <v>4.7945205479452052E-2</v>
      </c>
      <c r="AF29" s="3">
        <f t="shared" si="6"/>
        <v>87.671232876712324</v>
      </c>
      <c r="AG29">
        <f t="shared" si="7"/>
        <v>157.99999999999997</v>
      </c>
      <c r="AH29">
        <f t="shared" si="8"/>
        <v>15.594782608695651</v>
      </c>
    </row>
    <row r="30" spans="1:34" x14ac:dyDescent="0.25">
      <c r="A30" t="s">
        <v>54</v>
      </c>
      <c r="B30" t="s">
        <v>31</v>
      </c>
      <c r="C30">
        <v>23</v>
      </c>
      <c r="D30">
        <v>0.223</v>
      </c>
      <c r="E30">
        <v>0.31900000000000001</v>
      </c>
      <c r="F30">
        <v>0.34499999999999997</v>
      </c>
      <c r="G30">
        <v>229</v>
      </c>
      <c r="H30">
        <v>51</v>
      </c>
      <c r="I30">
        <v>10</v>
      </c>
      <c r="J30">
        <v>0</v>
      </c>
      <c r="K30">
        <v>6</v>
      </c>
      <c r="L30">
        <v>24</v>
      </c>
      <c r="M30">
        <v>21</v>
      </c>
      <c r="N30">
        <v>4</v>
      </c>
      <c r="O30">
        <v>29</v>
      </c>
      <c r="P30">
        <v>72</v>
      </c>
      <c r="Q30">
        <v>2</v>
      </c>
      <c r="R30">
        <v>1</v>
      </c>
      <c r="T30">
        <f t="shared" si="0"/>
        <v>9.4372173913043458</v>
      </c>
      <c r="V30">
        <f t="shared" si="1"/>
        <v>18.874434782608692</v>
      </c>
      <c r="AB30">
        <f t="shared" si="2"/>
        <v>8</v>
      </c>
      <c r="AC30">
        <f t="shared" si="3"/>
        <v>262</v>
      </c>
      <c r="AD30" s="2">
        <f t="shared" si="4"/>
        <v>0.27480916030534353</v>
      </c>
      <c r="AE30" s="2">
        <f t="shared" si="5"/>
        <v>0.12595419847328243</v>
      </c>
      <c r="AF30" s="3">
        <f t="shared" si="6"/>
        <v>85.114503816793885</v>
      </c>
      <c r="AG30">
        <f t="shared" si="7"/>
        <v>121.99999999999997</v>
      </c>
      <c r="AH30">
        <f t="shared" si="8"/>
        <v>94.372173913043454</v>
      </c>
    </row>
    <row r="31" spans="1:34" x14ac:dyDescent="0.25">
      <c r="A31" t="s">
        <v>55</v>
      </c>
      <c r="B31" t="s">
        <v>26</v>
      </c>
      <c r="C31">
        <v>23</v>
      </c>
      <c r="D31">
        <v>0</v>
      </c>
      <c r="E31">
        <v>0</v>
      </c>
      <c r="F31">
        <v>0</v>
      </c>
      <c r="G31">
        <v>7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3</v>
      </c>
      <c r="Q31">
        <v>0</v>
      </c>
      <c r="R31">
        <v>1</v>
      </c>
      <c r="T31">
        <f t="shared" si="0"/>
        <v>8.695652173913046E-2</v>
      </c>
      <c r="V31">
        <f t="shared" si="1"/>
        <v>0.17391304347826092</v>
      </c>
      <c r="AB31">
        <f t="shared" si="2"/>
        <v>10</v>
      </c>
      <c r="AC31">
        <f t="shared" si="3"/>
        <v>7</v>
      </c>
      <c r="AD31" s="2">
        <f t="shared" si="4"/>
        <v>0.42857142857142855</v>
      </c>
      <c r="AE31" s="2">
        <f t="shared" si="5"/>
        <v>0</v>
      </c>
      <c r="AF31" s="3">
        <f t="shared" si="6"/>
        <v>57.142857142857146</v>
      </c>
      <c r="AG31">
        <f t="shared" si="7"/>
        <v>0</v>
      </c>
      <c r="AH31">
        <f t="shared" si="8"/>
        <v>0.86956521739130455</v>
      </c>
    </row>
    <row r="32" spans="1:34" x14ac:dyDescent="0.25">
      <c r="A32" t="s">
        <v>56</v>
      </c>
      <c r="B32" t="s">
        <v>48</v>
      </c>
      <c r="C32">
        <v>23</v>
      </c>
      <c r="D32">
        <v>0.21</v>
      </c>
      <c r="E32">
        <v>0.28799999999999998</v>
      </c>
      <c r="F32">
        <v>0.3</v>
      </c>
      <c r="G32">
        <v>100</v>
      </c>
      <c r="H32">
        <v>21</v>
      </c>
      <c r="I32">
        <v>3</v>
      </c>
      <c r="J32">
        <v>0</v>
      </c>
      <c r="K32">
        <v>2</v>
      </c>
      <c r="L32">
        <v>10</v>
      </c>
      <c r="M32">
        <v>9</v>
      </c>
      <c r="N32">
        <v>1</v>
      </c>
      <c r="O32">
        <v>10</v>
      </c>
      <c r="P32">
        <v>28</v>
      </c>
      <c r="Q32">
        <v>3</v>
      </c>
      <c r="R32">
        <v>1</v>
      </c>
      <c r="T32">
        <f t="shared" si="0"/>
        <v>0.84304347826086956</v>
      </c>
      <c r="V32">
        <f t="shared" si="1"/>
        <v>1.6860869565217391</v>
      </c>
      <c r="AB32">
        <f t="shared" si="2"/>
        <v>2</v>
      </c>
      <c r="AC32">
        <f t="shared" si="3"/>
        <v>111</v>
      </c>
      <c r="AD32" s="2">
        <f t="shared" si="4"/>
        <v>0.25225225225225223</v>
      </c>
      <c r="AE32" s="2">
        <f t="shared" si="5"/>
        <v>9.90990990990991E-2</v>
      </c>
      <c r="AF32" s="3">
        <f t="shared" si="6"/>
        <v>84.684684684684683</v>
      </c>
      <c r="AG32">
        <f t="shared" si="7"/>
        <v>90</v>
      </c>
      <c r="AH32">
        <f t="shared" si="8"/>
        <v>8.4304347826086961</v>
      </c>
    </row>
    <row r="33" spans="1:34" x14ac:dyDescent="0.25">
      <c r="A33" t="s">
        <v>57</v>
      </c>
      <c r="B33" t="s">
        <v>19</v>
      </c>
      <c r="C33">
        <v>23</v>
      </c>
      <c r="D33">
        <v>0.13300000000000001</v>
      </c>
      <c r="E33">
        <v>0.152</v>
      </c>
      <c r="F33">
        <v>0.24399999999999999</v>
      </c>
      <c r="G33">
        <v>45</v>
      </c>
      <c r="H33">
        <v>6</v>
      </c>
      <c r="I33">
        <v>0</v>
      </c>
      <c r="J33">
        <v>1</v>
      </c>
      <c r="K33">
        <v>1</v>
      </c>
      <c r="L33">
        <v>3</v>
      </c>
      <c r="M33">
        <v>1</v>
      </c>
      <c r="N33">
        <v>1</v>
      </c>
      <c r="O33">
        <v>0</v>
      </c>
      <c r="P33">
        <v>17</v>
      </c>
      <c r="Q33">
        <v>0</v>
      </c>
      <c r="R33">
        <v>0</v>
      </c>
      <c r="T33">
        <f t="shared" si="0"/>
        <v>1.7621739130434784</v>
      </c>
      <c r="V33">
        <f t="shared" si="1"/>
        <v>3.5243478260869567</v>
      </c>
      <c r="AB33">
        <f t="shared" si="2"/>
        <v>10</v>
      </c>
      <c r="AC33">
        <f t="shared" si="3"/>
        <v>46</v>
      </c>
      <c r="AD33" s="2">
        <f t="shared" si="4"/>
        <v>0.36956521739130432</v>
      </c>
      <c r="AE33" s="2">
        <f t="shared" si="5"/>
        <v>2.1739130434782608E-2</v>
      </c>
      <c r="AF33" s="3">
        <f t="shared" si="6"/>
        <v>65.217391304347828</v>
      </c>
      <c r="AG33">
        <f t="shared" si="7"/>
        <v>110.99999999999999</v>
      </c>
      <c r="AH33">
        <f t="shared" si="8"/>
        <v>17.621739130434783</v>
      </c>
    </row>
    <row r="34" spans="1:34" x14ac:dyDescent="0.25">
      <c r="A34" t="s">
        <v>58</v>
      </c>
      <c r="B34" t="s">
        <v>33</v>
      </c>
      <c r="C34">
        <v>23</v>
      </c>
      <c r="D34">
        <v>0.19</v>
      </c>
      <c r="E34">
        <v>0.29199999999999998</v>
      </c>
      <c r="F34">
        <v>0.31</v>
      </c>
      <c r="G34">
        <v>84</v>
      </c>
      <c r="H34">
        <v>16</v>
      </c>
      <c r="I34">
        <v>2</v>
      </c>
      <c r="J34">
        <v>1</v>
      </c>
      <c r="K34">
        <v>2</v>
      </c>
      <c r="L34">
        <v>10</v>
      </c>
      <c r="M34">
        <v>6</v>
      </c>
      <c r="N34">
        <v>1</v>
      </c>
      <c r="O34">
        <v>11</v>
      </c>
      <c r="P34">
        <v>35</v>
      </c>
      <c r="Q34">
        <v>1</v>
      </c>
      <c r="R34">
        <v>0</v>
      </c>
      <c r="T34">
        <f t="shared" si="0"/>
        <v>2.4547826086956523</v>
      </c>
      <c r="V34">
        <f t="shared" si="1"/>
        <v>4.9095652173913047</v>
      </c>
      <c r="AB34">
        <f t="shared" si="2"/>
        <v>6</v>
      </c>
      <c r="AC34">
        <f t="shared" si="3"/>
        <v>96</v>
      </c>
      <c r="AD34" s="2">
        <f t="shared" si="4"/>
        <v>0.36458333333333331</v>
      </c>
      <c r="AE34" s="2">
        <f t="shared" si="5"/>
        <v>0.125</v>
      </c>
      <c r="AF34" s="3">
        <f t="shared" si="6"/>
        <v>76.041666666666671</v>
      </c>
      <c r="AG34">
        <f t="shared" si="7"/>
        <v>120</v>
      </c>
      <c r="AH34">
        <f t="shared" si="8"/>
        <v>24.547826086956523</v>
      </c>
    </row>
    <row r="35" spans="1:34" x14ac:dyDescent="0.25">
      <c r="A35" t="s">
        <v>59</v>
      </c>
      <c r="B35" t="s">
        <v>60</v>
      </c>
      <c r="C35">
        <v>23</v>
      </c>
      <c r="D35">
        <v>0.33300000000000002</v>
      </c>
      <c r="E35">
        <v>0.5</v>
      </c>
      <c r="F35">
        <v>0.33300000000000002</v>
      </c>
      <c r="G35">
        <v>6</v>
      </c>
      <c r="H35">
        <v>2</v>
      </c>
      <c r="I35">
        <v>0</v>
      </c>
      <c r="J35">
        <v>0</v>
      </c>
      <c r="K35">
        <v>0</v>
      </c>
      <c r="L35">
        <v>5</v>
      </c>
      <c r="M35">
        <v>0</v>
      </c>
      <c r="N35">
        <v>0</v>
      </c>
      <c r="O35">
        <v>2</v>
      </c>
      <c r="P35">
        <v>2</v>
      </c>
      <c r="Q35">
        <v>0</v>
      </c>
      <c r="R35">
        <v>0</v>
      </c>
      <c r="T35">
        <f t="shared" si="0"/>
        <v>0.1391304347826087</v>
      </c>
      <c r="V35">
        <f t="shared" si="1"/>
        <v>0.27826086956521739</v>
      </c>
      <c r="AB35">
        <f t="shared" si="2"/>
        <v>8</v>
      </c>
      <c r="AC35">
        <f t="shared" si="3"/>
        <v>8</v>
      </c>
      <c r="AD35" s="2">
        <f t="shared" si="4"/>
        <v>0.25</v>
      </c>
      <c r="AE35" s="2">
        <f t="shared" si="5"/>
        <v>0.25</v>
      </c>
      <c r="AF35" s="3">
        <f t="shared" si="6"/>
        <v>100</v>
      </c>
      <c r="AG35">
        <f t="shared" si="7"/>
        <v>0</v>
      </c>
      <c r="AH35">
        <f t="shared" si="8"/>
        <v>1.3913043478260869</v>
      </c>
    </row>
    <row r="36" spans="1:34" x14ac:dyDescent="0.25">
      <c r="A36" t="s">
        <v>61</v>
      </c>
      <c r="B36" t="s">
        <v>60</v>
      </c>
      <c r="C36">
        <v>23</v>
      </c>
      <c r="D36">
        <v>0.223</v>
      </c>
      <c r="E36">
        <v>0.25700000000000001</v>
      </c>
      <c r="F36">
        <v>0.315</v>
      </c>
      <c r="G36">
        <v>197</v>
      </c>
      <c r="H36">
        <v>44</v>
      </c>
      <c r="I36">
        <v>9</v>
      </c>
      <c r="J36">
        <v>0</v>
      </c>
      <c r="K36">
        <v>3</v>
      </c>
      <c r="L36">
        <v>22</v>
      </c>
      <c r="M36">
        <v>18</v>
      </c>
      <c r="N36">
        <v>1</v>
      </c>
      <c r="O36">
        <v>8</v>
      </c>
      <c r="P36">
        <v>62</v>
      </c>
      <c r="Q36">
        <v>4</v>
      </c>
      <c r="R36">
        <v>0</v>
      </c>
      <c r="T36">
        <f t="shared" si="0"/>
        <v>5.9568695652173922</v>
      </c>
      <c r="V36">
        <f t="shared" si="1"/>
        <v>11.913739130434784</v>
      </c>
      <c r="AB36">
        <f t="shared" si="2"/>
        <v>8</v>
      </c>
      <c r="AC36">
        <f t="shared" si="3"/>
        <v>206</v>
      </c>
      <c r="AD36" s="2">
        <f t="shared" si="4"/>
        <v>0.30097087378640774</v>
      </c>
      <c r="AE36" s="2">
        <f t="shared" si="5"/>
        <v>4.3689320388349516E-2</v>
      </c>
      <c r="AF36" s="3">
        <f t="shared" si="6"/>
        <v>74.271844660194176</v>
      </c>
      <c r="AG36">
        <f t="shared" si="7"/>
        <v>92</v>
      </c>
      <c r="AH36">
        <f t="shared" si="8"/>
        <v>59.568695652173922</v>
      </c>
    </row>
    <row r="37" spans="1:34" x14ac:dyDescent="0.25">
      <c r="A37" t="s">
        <v>62</v>
      </c>
      <c r="B37" t="s">
        <v>23</v>
      </c>
      <c r="C37">
        <v>23</v>
      </c>
      <c r="D37">
        <v>0.22</v>
      </c>
      <c r="E37">
        <v>0.29199999999999998</v>
      </c>
      <c r="F37">
        <v>0.41499999999999998</v>
      </c>
      <c r="G37">
        <v>123</v>
      </c>
      <c r="H37">
        <v>27</v>
      </c>
      <c r="I37">
        <v>10</v>
      </c>
      <c r="J37">
        <v>1</v>
      </c>
      <c r="K37">
        <v>4</v>
      </c>
      <c r="L37">
        <v>16</v>
      </c>
      <c r="M37">
        <v>19</v>
      </c>
      <c r="N37">
        <v>2</v>
      </c>
      <c r="O37">
        <v>11</v>
      </c>
      <c r="P37">
        <v>38</v>
      </c>
      <c r="Q37">
        <v>4</v>
      </c>
      <c r="R37">
        <v>0</v>
      </c>
      <c r="T37">
        <f t="shared" si="0"/>
        <v>3.2713043478260873</v>
      </c>
      <c r="V37">
        <f t="shared" si="1"/>
        <v>6.5426086956521745</v>
      </c>
      <c r="AB37">
        <f t="shared" si="2"/>
        <v>4</v>
      </c>
      <c r="AC37">
        <f t="shared" si="3"/>
        <v>136</v>
      </c>
      <c r="AD37" s="2">
        <f t="shared" si="4"/>
        <v>0.27941176470588236</v>
      </c>
      <c r="AE37" s="2">
        <f t="shared" si="5"/>
        <v>9.5588235294117641E-2</v>
      </c>
      <c r="AF37" s="3">
        <f t="shared" si="6"/>
        <v>81.617647058823536</v>
      </c>
      <c r="AG37">
        <f t="shared" si="7"/>
        <v>194.99999999999997</v>
      </c>
      <c r="AH37">
        <f t="shared" si="8"/>
        <v>32.713043478260872</v>
      </c>
    </row>
    <row r="38" spans="1:34" x14ac:dyDescent="0.25">
      <c r="A38" t="s">
        <v>63</v>
      </c>
      <c r="B38" t="s">
        <v>23</v>
      </c>
      <c r="C38">
        <v>23</v>
      </c>
      <c r="D38">
        <v>0.221</v>
      </c>
      <c r="E38">
        <v>0.26600000000000001</v>
      </c>
      <c r="F38">
        <v>0.42399999999999999</v>
      </c>
      <c r="G38">
        <v>172</v>
      </c>
      <c r="H38">
        <v>38</v>
      </c>
      <c r="I38">
        <v>9</v>
      </c>
      <c r="J38">
        <v>1</v>
      </c>
      <c r="K38">
        <v>8</v>
      </c>
      <c r="L38">
        <v>26</v>
      </c>
      <c r="M38">
        <v>22</v>
      </c>
      <c r="N38">
        <v>0</v>
      </c>
      <c r="O38">
        <v>11</v>
      </c>
      <c r="P38">
        <v>27</v>
      </c>
      <c r="Q38">
        <v>4</v>
      </c>
      <c r="R38">
        <v>0</v>
      </c>
      <c r="T38">
        <f t="shared" si="0"/>
        <v>4.6825217391304355</v>
      </c>
      <c r="V38">
        <f t="shared" si="1"/>
        <v>9.3650434782608709</v>
      </c>
      <c r="AB38">
        <f t="shared" si="2"/>
        <v>4</v>
      </c>
      <c r="AC38">
        <f t="shared" si="3"/>
        <v>183</v>
      </c>
      <c r="AD38" s="2">
        <f t="shared" si="4"/>
        <v>0.14754098360655737</v>
      </c>
      <c r="AE38" s="2">
        <f t="shared" si="5"/>
        <v>6.0109289617486336E-2</v>
      </c>
      <c r="AF38" s="3">
        <f t="shared" si="6"/>
        <v>91.256830601092901</v>
      </c>
      <c r="AG38">
        <f t="shared" si="7"/>
        <v>203</v>
      </c>
      <c r="AH38">
        <f t="shared" si="8"/>
        <v>46.825217391304356</v>
      </c>
    </row>
    <row r="39" spans="1:34" x14ac:dyDescent="0.25">
      <c r="A39" t="s">
        <v>64</v>
      </c>
      <c r="B39" t="s">
        <v>31</v>
      </c>
      <c r="C39">
        <v>23</v>
      </c>
      <c r="D39">
        <v>0.16700000000000001</v>
      </c>
      <c r="E39">
        <v>0.222</v>
      </c>
      <c r="F39">
        <v>0.45200000000000001</v>
      </c>
      <c r="G39">
        <v>42</v>
      </c>
      <c r="H39">
        <v>7</v>
      </c>
      <c r="I39">
        <v>0</v>
      </c>
      <c r="J39">
        <v>0</v>
      </c>
      <c r="K39">
        <v>4</v>
      </c>
      <c r="L39">
        <v>6</v>
      </c>
      <c r="M39">
        <v>9</v>
      </c>
      <c r="N39">
        <v>1</v>
      </c>
      <c r="O39">
        <v>2</v>
      </c>
      <c r="P39">
        <v>20</v>
      </c>
      <c r="Q39">
        <v>1</v>
      </c>
      <c r="R39">
        <v>0</v>
      </c>
      <c r="T39">
        <f t="shared" si="0"/>
        <v>2.7173913043478266</v>
      </c>
      <c r="V39">
        <f t="shared" si="1"/>
        <v>5.4347826086956532</v>
      </c>
      <c r="AB39">
        <f t="shared" si="2"/>
        <v>8</v>
      </c>
      <c r="AC39">
        <f t="shared" si="3"/>
        <v>45</v>
      </c>
      <c r="AD39" s="2">
        <f t="shared" si="4"/>
        <v>0.44444444444444442</v>
      </c>
      <c r="AE39" s="2">
        <f t="shared" si="5"/>
        <v>6.6666666666666666E-2</v>
      </c>
      <c r="AF39" s="3">
        <f t="shared" si="6"/>
        <v>62.222222222222221</v>
      </c>
      <c r="AG39">
        <f t="shared" si="7"/>
        <v>285.00000000000006</v>
      </c>
      <c r="AH39">
        <f t="shared" si="8"/>
        <v>27.173913043478265</v>
      </c>
    </row>
    <row r="40" spans="1:34" x14ac:dyDescent="0.25">
      <c r="A40" t="s">
        <v>65</v>
      </c>
      <c r="B40" t="s">
        <v>26</v>
      </c>
      <c r="C40">
        <v>23</v>
      </c>
      <c r="D40">
        <v>0.253</v>
      </c>
      <c r="E40">
        <v>0.32900000000000001</v>
      </c>
      <c r="F40">
        <v>0.32</v>
      </c>
      <c r="G40">
        <v>450</v>
      </c>
      <c r="H40">
        <v>114</v>
      </c>
      <c r="I40">
        <v>15</v>
      </c>
      <c r="J40">
        <v>0</v>
      </c>
      <c r="K40">
        <v>5</v>
      </c>
      <c r="L40">
        <v>54</v>
      </c>
      <c r="M40">
        <v>23</v>
      </c>
      <c r="N40">
        <v>6</v>
      </c>
      <c r="O40">
        <v>45</v>
      </c>
      <c r="P40">
        <v>72</v>
      </c>
      <c r="Q40">
        <v>14</v>
      </c>
      <c r="R40">
        <v>4</v>
      </c>
      <c r="T40">
        <f t="shared" si="0"/>
        <v>17.731956521739129</v>
      </c>
      <c r="V40">
        <f t="shared" si="1"/>
        <v>35.463913043478257</v>
      </c>
      <c r="AB40">
        <f t="shared" si="2"/>
        <v>10</v>
      </c>
      <c r="AC40">
        <f t="shared" si="3"/>
        <v>501</v>
      </c>
      <c r="AD40" s="2">
        <f t="shared" si="4"/>
        <v>0.1437125748502994</v>
      </c>
      <c r="AE40" s="2">
        <f t="shared" si="5"/>
        <v>0.10179640718562874</v>
      </c>
      <c r="AF40" s="3">
        <f t="shared" si="6"/>
        <v>95.808383233532936</v>
      </c>
      <c r="AG40">
        <f t="shared" si="7"/>
        <v>67</v>
      </c>
      <c r="AH40">
        <f t="shared" si="8"/>
        <v>177.3195652173913</v>
      </c>
    </row>
    <row r="41" spans="1:34" x14ac:dyDescent="0.25">
      <c r="A41" t="s">
        <v>66</v>
      </c>
      <c r="B41" t="s">
        <v>23</v>
      </c>
      <c r="C41">
        <v>23</v>
      </c>
      <c r="D41">
        <v>0.188</v>
      </c>
      <c r="E41">
        <v>0.29699999999999999</v>
      </c>
      <c r="F41">
        <v>0.34399999999999997</v>
      </c>
      <c r="G41">
        <v>32</v>
      </c>
      <c r="H41">
        <v>6</v>
      </c>
      <c r="I41">
        <v>2</v>
      </c>
      <c r="J41">
        <v>0</v>
      </c>
      <c r="K41">
        <v>1</v>
      </c>
      <c r="L41">
        <v>7</v>
      </c>
      <c r="M41">
        <v>6</v>
      </c>
      <c r="N41">
        <v>0</v>
      </c>
      <c r="O41">
        <v>5</v>
      </c>
      <c r="P41">
        <v>5</v>
      </c>
      <c r="Q41">
        <v>0</v>
      </c>
      <c r="R41">
        <v>0</v>
      </c>
      <c r="T41">
        <f t="shared" si="0"/>
        <v>0.82365217391304335</v>
      </c>
      <c r="V41">
        <f t="shared" si="1"/>
        <v>1.6473043478260867</v>
      </c>
      <c r="AB41">
        <f t="shared" si="2"/>
        <v>4</v>
      </c>
      <c r="AC41">
        <f t="shared" si="3"/>
        <v>37</v>
      </c>
      <c r="AD41" s="2">
        <f t="shared" si="4"/>
        <v>0.13513513513513514</v>
      </c>
      <c r="AE41" s="2">
        <f t="shared" si="5"/>
        <v>0.13513513513513514</v>
      </c>
      <c r="AF41" s="3">
        <f t="shared" si="6"/>
        <v>100</v>
      </c>
      <c r="AG41">
        <f t="shared" si="7"/>
        <v>155.99999999999997</v>
      </c>
      <c r="AH41">
        <f t="shared" si="8"/>
        <v>8.2365217391304331</v>
      </c>
    </row>
    <row r="42" spans="1:34" x14ac:dyDescent="0.25">
      <c r="A42" t="s">
        <v>67</v>
      </c>
      <c r="B42" t="s">
        <v>26</v>
      </c>
      <c r="C42">
        <v>23</v>
      </c>
      <c r="D42">
        <v>0.23899999999999999</v>
      </c>
      <c r="E42">
        <v>0.311</v>
      </c>
      <c r="F42">
        <v>0.52900000000000003</v>
      </c>
      <c r="G42">
        <v>255</v>
      </c>
      <c r="H42">
        <v>61</v>
      </c>
      <c r="I42">
        <v>9</v>
      </c>
      <c r="J42">
        <v>1</v>
      </c>
      <c r="K42">
        <v>21</v>
      </c>
      <c r="L42">
        <v>43</v>
      </c>
      <c r="M42">
        <v>55</v>
      </c>
      <c r="N42">
        <v>2</v>
      </c>
      <c r="O42">
        <v>25</v>
      </c>
      <c r="P42">
        <v>83</v>
      </c>
      <c r="Q42">
        <v>0</v>
      </c>
      <c r="R42">
        <v>0</v>
      </c>
      <c r="T42">
        <f t="shared" si="0"/>
        <v>22.69130434782609</v>
      </c>
      <c r="V42">
        <f t="shared" si="1"/>
        <v>45.382608695652181</v>
      </c>
      <c r="AB42">
        <f t="shared" si="2"/>
        <v>10</v>
      </c>
      <c r="AC42">
        <f t="shared" si="3"/>
        <v>282</v>
      </c>
      <c r="AD42" s="2">
        <f t="shared" si="4"/>
        <v>0.29432624113475175</v>
      </c>
      <c r="AE42" s="2">
        <f t="shared" si="5"/>
        <v>9.5744680851063829E-2</v>
      </c>
      <c r="AF42" s="3">
        <f t="shared" si="6"/>
        <v>80.141843971631204</v>
      </c>
      <c r="AG42">
        <f t="shared" si="7"/>
        <v>290.00000000000006</v>
      </c>
      <c r="AH42">
        <f t="shared" si="8"/>
        <v>226.9130434782609</v>
      </c>
    </row>
    <row r="43" spans="1:34" x14ac:dyDescent="0.25">
      <c r="A43" t="s">
        <v>68</v>
      </c>
      <c r="B43" t="s">
        <v>60</v>
      </c>
      <c r="C43">
        <v>23</v>
      </c>
      <c r="D43">
        <v>0.19</v>
      </c>
      <c r="E43">
        <v>0.26600000000000001</v>
      </c>
      <c r="F43">
        <v>0.38100000000000001</v>
      </c>
      <c r="G43">
        <v>126</v>
      </c>
      <c r="H43">
        <v>24</v>
      </c>
      <c r="I43">
        <v>4</v>
      </c>
      <c r="J43">
        <v>1</v>
      </c>
      <c r="K43">
        <v>6</v>
      </c>
      <c r="L43">
        <v>20</v>
      </c>
      <c r="M43">
        <v>11</v>
      </c>
      <c r="N43">
        <v>3</v>
      </c>
      <c r="O43">
        <v>10</v>
      </c>
      <c r="P43">
        <v>59</v>
      </c>
      <c r="Q43">
        <v>7</v>
      </c>
      <c r="R43">
        <v>1</v>
      </c>
      <c r="T43">
        <f t="shared" si="0"/>
        <v>6.2346086956521738</v>
      </c>
      <c r="V43">
        <f t="shared" si="1"/>
        <v>12.469217391304348</v>
      </c>
      <c r="AB43">
        <f t="shared" si="2"/>
        <v>8</v>
      </c>
      <c r="AC43">
        <f t="shared" si="3"/>
        <v>139</v>
      </c>
      <c r="AD43" s="2">
        <f t="shared" si="4"/>
        <v>0.42446043165467628</v>
      </c>
      <c r="AE43" s="2">
        <f t="shared" si="5"/>
        <v>9.3525179856115109E-2</v>
      </c>
      <c r="AF43" s="3">
        <f t="shared" si="6"/>
        <v>66.90647482014387</v>
      </c>
      <c r="AG43">
        <f t="shared" si="7"/>
        <v>191</v>
      </c>
      <c r="AH43">
        <f t="shared" si="8"/>
        <v>62.346086956521738</v>
      </c>
    </row>
    <row r="44" spans="1:34" x14ac:dyDescent="0.25">
      <c r="A44" t="s">
        <v>69</v>
      </c>
      <c r="B44" t="s">
        <v>19</v>
      </c>
      <c r="C44">
        <v>23</v>
      </c>
      <c r="D44">
        <v>0.23100000000000001</v>
      </c>
      <c r="E44">
        <v>0.28699999999999998</v>
      </c>
      <c r="F44">
        <v>0.41299999999999998</v>
      </c>
      <c r="G44">
        <v>537</v>
      </c>
      <c r="H44">
        <v>124</v>
      </c>
      <c r="I44">
        <v>33</v>
      </c>
      <c r="J44">
        <v>1</v>
      </c>
      <c r="K44">
        <v>21</v>
      </c>
      <c r="L44">
        <v>72</v>
      </c>
      <c r="M44">
        <v>67</v>
      </c>
      <c r="N44">
        <v>8</v>
      </c>
      <c r="O44">
        <v>36</v>
      </c>
      <c r="P44">
        <v>113</v>
      </c>
      <c r="Q44">
        <v>16</v>
      </c>
      <c r="R44">
        <v>3</v>
      </c>
      <c r="T44">
        <f t="shared" si="0"/>
        <v>34.117826086956519</v>
      </c>
      <c r="V44">
        <f t="shared" si="1"/>
        <v>68.235652173913039</v>
      </c>
      <c r="AB44">
        <f t="shared" si="2"/>
        <v>10</v>
      </c>
      <c r="AC44">
        <f t="shared" si="3"/>
        <v>581</v>
      </c>
      <c r="AD44" s="2">
        <f t="shared" si="4"/>
        <v>0.1944922547332186</v>
      </c>
      <c r="AE44" s="2">
        <f t="shared" si="5"/>
        <v>7.5731497418244406E-2</v>
      </c>
      <c r="AF44" s="3">
        <f t="shared" si="6"/>
        <v>88.123924268502577</v>
      </c>
      <c r="AG44">
        <f t="shared" si="7"/>
        <v>181.99999999999997</v>
      </c>
      <c r="AH44">
        <f t="shared" si="8"/>
        <v>341.17826086956518</v>
      </c>
    </row>
    <row r="45" spans="1:34" x14ac:dyDescent="0.25">
      <c r="A45" t="s">
        <v>70</v>
      </c>
      <c r="B45" t="s">
        <v>33</v>
      </c>
      <c r="C45">
        <v>23</v>
      </c>
      <c r="D45">
        <v>0.16700000000000001</v>
      </c>
      <c r="E45">
        <v>0.16700000000000001</v>
      </c>
      <c r="F45">
        <v>0.33300000000000002</v>
      </c>
      <c r="G45">
        <v>12</v>
      </c>
      <c r="H45">
        <v>2</v>
      </c>
      <c r="I45">
        <v>2</v>
      </c>
      <c r="J45">
        <v>0</v>
      </c>
      <c r="K45">
        <v>0</v>
      </c>
      <c r="L45">
        <v>1</v>
      </c>
      <c r="M45">
        <v>2</v>
      </c>
      <c r="N45">
        <v>0</v>
      </c>
      <c r="O45">
        <v>0</v>
      </c>
      <c r="P45">
        <v>4</v>
      </c>
      <c r="Q45">
        <v>0</v>
      </c>
      <c r="R45">
        <v>0</v>
      </c>
      <c r="T45">
        <f t="shared" si="0"/>
        <v>0.36417391304347829</v>
      </c>
      <c r="V45">
        <f t="shared" si="1"/>
        <v>0.72834782608695658</v>
      </c>
      <c r="AB45">
        <f t="shared" si="2"/>
        <v>6</v>
      </c>
      <c r="AC45">
        <f t="shared" si="3"/>
        <v>12</v>
      </c>
      <c r="AD45" s="2">
        <f t="shared" si="4"/>
        <v>0.33333333333333331</v>
      </c>
      <c r="AE45" s="2">
        <f t="shared" si="5"/>
        <v>0</v>
      </c>
      <c r="AF45" s="3">
        <f t="shared" si="6"/>
        <v>66.666666666666671</v>
      </c>
      <c r="AG45">
        <f t="shared" si="7"/>
        <v>166</v>
      </c>
      <c r="AH45">
        <f t="shared" si="8"/>
        <v>3.6417391304347828</v>
      </c>
    </row>
    <row r="46" spans="1:34" x14ac:dyDescent="0.25">
      <c r="A46" t="s">
        <v>71</v>
      </c>
      <c r="B46" t="s">
        <v>33</v>
      </c>
      <c r="C46">
        <v>23</v>
      </c>
      <c r="D46">
        <v>0.22600000000000001</v>
      </c>
      <c r="E46">
        <v>0.29499999999999998</v>
      </c>
      <c r="F46">
        <v>0.39400000000000002</v>
      </c>
      <c r="G46">
        <v>393</v>
      </c>
      <c r="H46">
        <v>89</v>
      </c>
      <c r="I46">
        <v>21</v>
      </c>
      <c r="J46">
        <v>3</v>
      </c>
      <c r="K46">
        <v>13</v>
      </c>
      <c r="L46">
        <v>57</v>
      </c>
      <c r="M46">
        <v>44</v>
      </c>
      <c r="N46">
        <v>2</v>
      </c>
      <c r="O46">
        <v>38</v>
      </c>
      <c r="P46">
        <v>94</v>
      </c>
      <c r="Q46">
        <v>17</v>
      </c>
      <c r="R46">
        <v>5</v>
      </c>
      <c r="T46">
        <f t="shared" si="0"/>
        <v>14.431826086956523</v>
      </c>
      <c r="V46">
        <f t="shared" si="1"/>
        <v>28.863652173913046</v>
      </c>
      <c r="AB46">
        <f t="shared" si="2"/>
        <v>6</v>
      </c>
      <c r="AC46">
        <f t="shared" si="3"/>
        <v>433</v>
      </c>
      <c r="AD46" s="2">
        <f t="shared" si="4"/>
        <v>0.21709006928406466</v>
      </c>
      <c r="AE46" s="2">
        <f t="shared" si="5"/>
        <v>9.237875288683603E-2</v>
      </c>
      <c r="AF46" s="3">
        <f t="shared" si="6"/>
        <v>87.52886836027713</v>
      </c>
      <c r="AG46">
        <f t="shared" si="7"/>
        <v>168</v>
      </c>
      <c r="AH46">
        <f t="shared" si="8"/>
        <v>144.31826086956522</v>
      </c>
    </row>
    <row r="47" spans="1:34" x14ac:dyDescent="0.25">
      <c r="A47" t="s">
        <v>72</v>
      </c>
      <c r="B47" t="s">
        <v>19</v>
      </c>
      <c r="C47">
        <v>23</v>
      </c>
      <c r="D47">
        <v>0.27300000000000002</v>
      </c>
      <c r="E47">
        <v>0.375</v>
      </c>
      <c r="F47">
        <v>0.41099999999999998</v>
      </c>
      <c r="G47">
        <v>253</v>
      </c>
      <c r="H47">
        <v>69</v>
      </c>
      <c r="I47">
        <v>11</v>
      </c>
      <c r="J47">
        <v>0</v>
      </c>
      <c r="K47">
        <v>8</v>
      </c>
      <c r="L47">
        <v>38</v>
      </c>
      <c r="M47">
        <v>35</v>
      </c>
      <c r="N47">
        <v>5</v>
      </c>
      <c r="O47">
        <v>37</v>
      </c>
      <c r="P47">
        <v>77</v>
      </c>
      <c r="Q47">
        <v>3</v>
      </c>
      <c r="R47">
        <v>1</v>
      </c>
      <c r="T47">
        <f t="shared" si="0"/>
        <v>14.502173913043475</v>
      </c>
      <c r="V47">
        <f t="shared" si="1"/>
        <v>29.004347826086949</v>
      </c>
      <c r="AB47">
        <f t="shared" si="2"/>
        <v>10</v>
      </c>
      <c r="AC47">
        <f t="shared" si="3"/>
        <v>295</v>
      </c>
      <c r="AD47" s="2">
        <f t="shared" si="4"/>
        <v>0.26101694915254237</v>
      </c>
      <c r="AE47" s="2">
        <f t="shared" si="5"/>
        <v>0.14237288135593221</v>
      </c>
      <c r="AF47" s="3">
        <f t="shared" si="6"/>
        <v>88.13559322033899</v>
      </c>
      <c r="AG47">
        <f t="shared" si="7"/>
        <v>137.99999999999994</v>
      </c>
      <c r="AH47">
        <f t="shared" si="8"/>
        <v>145.02173913043475</v>
      </c>
    </row>
    <row r="48" spans="1:34" x14ac:dyDescent="0.25">
      <c r="A48" t="s">
        <v>73</v>
      </c>
      <c r="B48" t="s">
        <v>23</v>
      </c>
      <c r="C48">
        <v>23</v>
      </c>
      <c r="D48">
        <v>0.11799999999999999</v>
      </c>
      <c r="E48">
        <v>0.189</v>
      </c>
      <c r="F48">
        <v>0.23499999999999999</v>
      </c>
      <c r="G48">
        <v>34</v>
      </c>
      <c r="H48">
        <v>4</v>
      </c>
      <c r="I48">
        <v>1</v>
      </c>
      <c r="J48">
        <v>0</v>
      </c>
      <c r="K48">
        <v>1</v>
      </c>
      <c r="L48">
        <v>1</v>
      </c>
      <c r="M48">
        <v>2</v>
      </c>
      <c r="N48">
        <v>1</v>
      </c>
      <c r="O48">
        <v>2</v>
      </c>
      <c r="P48">
        <v>14</v>
      </c>
      <c r="Q48">
        <v>1</v>
      </c>
      <c r="R48">
        <v>1</v>
      </c>
      <c r="T48">
        <f t="shared" si="0"/>
        <v>0.60252173913043472</v>
      </c>
      <c r="V48">
        <f t="shared" si="1"/>
        <v>1.2050434782608694</v>
      </c>
      <c r="AB48">
        <f t="shared" si="2"/>
        <v>4</v>
      </c>
      <c r="AC48">
        <f t="shared" si="3"/>
        <v>37</v>
      </c>
      <c r="AD48" s="2">
        <f t="shared" si="4"/>
        <v>0.3783783783783784</v>
      </c>
      <c r="AE48" s="2">
        <f t="shared" si="5"/>
        <v>8.1081081081081086E-2</v>
      </c>
      <c r="AF48" s="3">
        <f t="shared" si="6"/>
        <v>70.270270270270274</v>
      </c>
      <c r="AG48">
        <f t="shared" si="7"/>
        <v>117</v>
      </c>
      <c r="AH48">
        <f t="shared" si="8"/>
        <v>6.0252173913043467</v>
      </c>
    </row>
    <row r="49" spans="1:34" x14ac:dyDescent="0.25">
      <c r="A49" t="s">
        <v>74</v>
      </c>
      <c r="B49" t="s">
        <v>31</v>
      </c>
      <c r="C49">
        <v>23</v>
      </c>
      <c r="D49">
        <v>0.23200000000000001</v>
      </c>
      <c r="E49">
        <v>0.26400000000000001</v>
      </c>
      <c r="F49">
        <v>0.31900000000000001</v>
      </c>
      <c r="G49">
        <v>69</v>
      </c>
      <c r="H49">
        <v>16</v>
      </c>
      <c r="I49">
        <v>3</v>
      </c>
      <c r="J49">
        <v>0</v>
      </c>
      <c r="K49">
        <v>1</v>
      </c>
      <c r="L49">
        <v>7</v>
      </c>
      <c r="M49">
        <v>8</v>
      </c>
      <c r="N49">
        <v>0</v>
      </c>
      <c r="O49">
        <v>3</v>
      </c>
      <c r="P49">
        <v>15</v>
      </c>
      <c r="Q49">
        <v>1</v>
      </c>
      <c r="R49">
        <v>0</v>
      </c>
      <c r="T49">
        <f t="shared" si="0"/>
        <v>2.132869565217391</v>
      </c>
      <c r="V49">
        <f t="shared" si="1"/>
        <v>4.265739130434782</v>
      </c>
      <c r="AB49">
        <f t="shared" si="2"/>
        <v>8</v>
      </c>
      <c r="AC49">
        <f t="shared" si="3"/>
        <v>72</v>
      </c>
      <c r="AD49" s="2">
        <f t="shared" si="4"/>
        <v>0.20833333333333334</v>
      </c>
      <c r="AE49" s="2">
        <f t="shared" si="5"/>
        <v>4.1666666666666664E-2</v>
      </c>
      <c r="AF49" s="3">
        <f t="shared" si="6"/>
        <v>83.333333333333329</v>
      </c>
      <c r="AG49">
        <f t="shared" si="7"/>
        <v>87</v>
      </c>
      <c r="AH49">
        <f t="shared" si="8"/>
        <v>21.328695652173909</v>
      </c>
    </row>
    <row r="50" spans="1:34" x14ac:dyDescent="0.25">
      <c r="A50" t="s">
        <v>75</v>
      </c>
      <c r="B50" t="s">
        <v>48</v>
      </c>
      <c r="C50">
        <v>24</v>
      </c>
      <c r="D50">
        <v>0.24</v>
      </c>
      <c r="E50">
        <v>0.28999999999999998</v>
      </c>
      <c r="F50">
        <v>0.40699999999999997</v>
      </c>
      <c r="G50">
        <v>300</v>
      </c>
      <c r="H50">
        <v>72</v>
      </c>
      <c r="I50">
        <v>15</v>
      </c>
      <c r="J50">
        <v>1</v>
      </c>
      <c r="K50">
        <v>11</v>
      </c>
      <c r="L50">
        <v>32</v>
      </c>
      <c r="M50">
        <v>38</v>
      </c>
      <c r="N50">
        <v>1</v>
      </c>
      <c r="O50">
        <v>21</v>
      </c>
      <c r="P50">
        <v>86</v>
      </c>
      <c r="Q50">
        <v>5</v>
      </c>
      <c r="R50">
        <v>0</v>
      </c>
      <c r="T50">
        <f t="shared" si="0"/>
        <v>3.3155833333333335</v>
      </c>
      <c r="V50">
        <f t="shared" si="1"/>
        <v>6.6311666666666671</v>
      </c>
      <c r="AB50">
        <f t="shared" si="2"/>
        <v>2</v>
      </c>
      <c r="AC50">
        <f t="shared" si="3"/>
        <v>322</v>
      </c>
      <c r="AD50" s="2">
        <f t="shared" si="4"/>
        <v>0.26708074534161491</v>
      </c>
      <c r="AE50" s="2">
        <f t="shared" si="5"/>
        <v>6.8322981366459631E-2</v>
      </c>
      <c r="AF50" s="3">
        <f t="shared" si="6"/>
        <v>80.124223602484477</v>
      </c>
      <c r="AG50">
        <f t="shared" si="7"/>
        <v>166.99999999999997</v>
      </c>
      <c r="AH50">
        <f t="shared" si="8"/>
        <v>33.155833333333334</v>
      </c>
    </row>
    <row r="51" spans="1:34" x14ac:dyDescent="0.25">
      <c r="A51" t="s">
        <v>76</v>
      </c>
      <c r="B51" t="s">
        <v>19</v>
      </c>
      <c r="C51">
        <v>24</v>
      </c>
      <c r="D51">
        <v>0.27400000000000002</v>
      </c>
      <c r="E51">
        <v>0.34100000000000003</v>
      </c>
      <c r="F51">
        <v>0.46899999999999997</v>
      </c>
      <c r="G51">
        <v>405</v>
      </c>
      <c r="H51">
        <v>111</v>
      </c>
      <c r="I51">
        <v>18</v>
      </c>
      <c r="J51">
        <v>2</v>
      </c>
      <c r="K51">
        <v>19</v>
      </c>
      <c r="L51">
        <v>56</v>
      </c>
      <c r="M51">
        <v>80</v>
      </c>
      <c r="N51">
        <v>3</v>
      </c>
      <c r="O51">
        <v>38</v>
      </c>
      <c r="P51">
        <v>68</v>
      </c>
      <c r="Q51">
        <v>0</v>
      </c>
      <c r="R51">
        <v>0</v>
      </c>
      <c r="T51">
        <f t="shared" si="0"/>
        <v>26.847916666666663</v>
      </c>
      <c r="V51">
        <f t="shared" si="1"/>
        <v>53.695833333333326</v>
      </c>
      <c r="AB51">
        <f t="shared" si="2"/>
        <v>10</v>
      </c>
      <c r="AC51">
        <f t="shared" si="3"/>
        <v>446</v>
      </c>
      <c r="AD51" s="2">
        <f t="shared" si="4"/>
        <v>0.15246636771300448</v>
      </c>
      <c r="AE51" s="2">
        <f t="shared" si="5"/>
        <v>9.1928251121076235E-2</v>
      </c>
      <c r="AF51" s="3">
        <f t="shared" si="6"/>
        <v>93.946188340807169</v>
      </c>
      <c r="AG51">
        <f t="shared" si="7"/>
        <v>194.99999999999994</v>
      </c>
      <c r="AH51">
        <f t="shared" si="8"/>
        <v>268.47916666666663</v>
      </c>
    </row>
    <row r="52" spans="1:34" x14ac:dyDescent="0.25">
      <c r="A52" t="s">
        <v>77</v>
      </c>
      <c r="B52" t="s">
        <v>60</v>
      </c>
      <c r="C52">
        <v>24</v>
      </c>
      <c r="D52">
        <v>0.14099999999999999</v>
      </c>
      <c r="E52">
        <v>0.16900000000000001</v>
      </c>
      <c r="F52">
        <v>0.22500000000000001</v>
      </c>
      <c r="G52">
        <v>71</v>
      </c>
      <c r="H52">
        <v>10</v>
      </c>
      <c r="I52">
        <v>3</v>
      </c>
      <c r="J52">
        <v>0</v>
      </c>
      <c r="K52">
        <v>1</v>
      </c>
      <c r="L52">
        <v>8</v>
      </c>
      <c r="M52">
        <v>7</v>
      </c>
      <c r="N52">
        <v>1</v>
      </c>
      <c r="O52">
        <v>2</v>
      </c>
      <c r="P52">
        <v>22</v>
      </c>
      <c r="Q52">
        <v>0</v>
      </c>
      <c r="R52">
        <v>0</v>
      </c>
      <c r="T52">
        <f t="shared" si="0"/>
        <v>1.9526666666666668</v>
      </c>
      <c r="V52">
        <f t="shared" si="1"/>
        <v>3.9053333333333335</v>
      </c>
      <c r="AB52">
        <f t="shared" si="2"/>
        <v>8</v>
      </c>
      <c r="AC52">
        <f t="shared" si="3"/>
        <v>74</v>
      </c>
      <c r="AD52" s="2">
        <f t="shared" si="4"/>
        <v>0.29729729729729731</v>
      </c>
      <c r="AE52" s="2">
        <f t="shared" si="5"/>
        <v>4.0540540540540543E-2</v>
      </c>
      <c r="AF52" s="3">
        <f t="shared" si="6"/>
        <v>74.324324324324323</v>
      </c>
      <c r="AG52">
        <f t="shared" si="7"/>
        <v>84.000000000000014</v>
      </c>
      <c r="AH52">
        <f t="shared" si="8"/>
        <v>19.526666666666667</v>
      </c>
    </row>
    <row r="53" spans="1:34" x14ac:dyDescent="0.25">
      <c r="A53" t="s">
        <v>78</v>
      </c>
      <c r="B53" t="s">
        <v>29</v>
      </c>
      <c r="C53">
        <v>24</v>
      </c>
      <c r="D53">
        <v>0.25</v>
      </c>
      <c r="E53">
        <v>0.53800000000000003</v>
      </c>
      <c r="F53">
        <v>0.375</v>
      </c>
      <c r="G53">
        <v>8</v>
      </c>
      <c r="H53">
        <v>2</v>
      </c>
      <c r="I53">
        <v>1</v>
      </c>
      <c r="J53">
        <v>0</v>
      </c>
      <c r="K53">
        <v>0</v>
      </c>
      <c r="L53">
        <v>1</v>
      </c>
      <c r="M53">
        <v>1</v>
      </c>
      <c r="N53">
        <v>0</v>
      </c>
      <c r="O53">
        <v>5</v>
      </c>
      <c r="P53">
        <v>1</v>
      </c>
      <c r="Q53">
        <v>0</v>
      </c>
      <c r="R53">
        <v>1</v>
      </c>
      <c r="T53">
        <f t="shared" si="0"/>
        <v>0.13854166666666667</v>
      </c>
      <c r="V53">
        <f t="shared" si="1"/>
        <v>0.27708333333333335</v>
      </c>
      <c r="AB53">
        <f t="shared" si="2"/>
        <v>2</v>
      </c>
      <c r="AC53">
        <f t="shared" si="3"/>
        <v>13</v>
      </c>
      <c r="AD53" s="2">
        <f t="shared" si="4"/>
        <v>7.6923076923076927E-2</v>
      </c>
      <c r="AE53" s="2">
        <f t="shared" si="5"/>
        <v>0.38461538461538464</v>
      </c>
      <c r="AF53" s="3">
        <f t="shared" si="6"/>
        <v>130.76923076923077</v>
      </c>
      <c r="AG53">
        <f t="shared" si="7"/>
        <v>125</v>
      </c>
      <c r="AH53">
        <f t="shared" si="8"/>
        <v>1.3854166666666667</v>
      </c>
    </row>
    <row r="54" spans="1:34" x14ac:dyDescent="0.25">
      <c r="A54" t="s">
        <v>79</v>
      </c>
      <c r="B54" t="s">
        <v>60</v>
      </c>
      <c r="C54">
        <v>24</v>
      </c>
      <c r="D54">
        <v>0.17899999999999999</v>
      </c>
      <c r="E54">
        <v>0.254</v>
      </c>
      <c r="F54">
        <v>0.25</v>
      </c>
      <c r="G54">
        <v>56</v>
      </c>
      <c r="H54">
        <v>10</v>
      </c>
      <c r="I54">
        <v>1</v>
      </c>
      <c r="J54">
        <v>0</v>
      </c>
      <c r="K54">
        <v>1</v>
      </c>
      <c r="L54">
        <v>9</v>
      </c>
      <c r="M54">
        <v>8</v>
      </c>
      <c r="N54">
        <v>3</v>
      </c>
      <c r="O54">
        <v>3</v>
      </c>
      <c r="P54">
        <v>18</v>
      </c>
      <c r="Q54">
        <v>1</v>
      </c>
      <c r="R54">
        <v>0</v>
      </c>
      <c r="T54">
        <f t="shared" si="0"/>
        <v>1.5670000000000002</v>
      </c>
      <c r="V54">
        <f t="shared" si="1"/>
        <v>3.1340000000000003</v>
      </c>
      <c r="AB54">
        <f t="shared" si="2"/>
        <v>8</v>
      </c>
      <c r="AC54">
        <f t="shared" si="3"/>
        <v>62</v>
      </c>
      <c r="AD54" s="2">
        <f t="shared" si="4"/>
        <v>0.29032258064516131</v>
      </c>
      <c r="AE54" s="2">
        <f t="shared" si="5"/>
        <v>9.6774193548387094E-2</v>
      </c>
      <c r="AF54" s="3">
        <f t="shared" si="6"/>
        <v>80.645161290322577</v>
      </c>
      <c r="AG54">
        <f t="shared" si="7"/>
        <v>71.000000000000014</v>
      </c>
      <c r="AH54">
        <f t="shared" si="8"/>
        <v>15.670000000000002</v>
      </c>
    </row>
    <row r="55" spans="1:34" x14ac:dyDescent="0.25">
      <c r="A55" t="s">
        <v>80</v>
      </c>
      <c r="B55" t="s">
        <v>23</v>
      </c>
      <c r="C55">
        <v>24</v>
      </c>
      <c r="D55">
        <v>0.255</v>
      </c>
      <c r="E55">
        <v>0.32700000000000001</v>
      </c>
      <c r="F55">
        <v>0.55300000000000005</v>
      </c>
      <c r="G55">
        <v>47</v>
      </c>
      <c r="H55">
        <v>12</v>
      </c>
      <c r="I55">
        <v>2</v>
      </c>
      <c r="J55">
        <v>0</v>
      </c>
      <c r="K55">
        <v>4</v>
      </c>
      <c r="L55">
        <v>9</v>
      </c>
      <c r="M55">
        <v>11</v>
      </c>
      <c r="N55">
        <v>0</v>
      </c>
      <c r="O55">
        <v>5</v>
      </c>
      <c r="P55">
        <v>20</v>
      </c>
      <c r="Q55">
        <v>3</v>
      </c>
      <c r="R55">
        <v>0</v>
      </c>
      <c r="T55">
        <f t="shared" si="0"/>
        <v>1.599666666666667</v>
      </c>
      <c r="V55">
        <f t="shared" si="1"/>
        <v>3.199333333333334</v>
      </c>
      <c r="AB55">
        <f t="shared" si="2"/>
        <v>4</v>
      </c>
      <c r="AC55">
        <f t="shared" si="3"/>
        <v>52</v>
      </c>
      <c r="AD55" s="2">
        <f t="shared" si="4"/>
        <v>0.38461538461538464</v>
      </c>
      <c r="AE55" s="2">
        <f t="shared" si="5"/>
        <v>9.6153846153846159E-2</v>
      </c>
      <c r="AF55" s="3">
        <f t="shared" si="6"/>
        <v>71.153846153846146</v>
      </c>
      <c r="AG55">
        <f t="shared" si="7"/>
        <v>298.00000000000006</v>
      </c>
      <c r="AH55">
        <f t="shared" si="8"/>
        <v>15.99666666666667</v>
      </c>
    </row>
    <row r="56" spans="1:34" x14ac:dyDescent="0.25">
      <c r="A56" t="s">
        <v>81</v>
      </c>
      <c r="B56" t="s">
        <v>29</v>
      </c>
      <c r="C56">
        <v>24</v>
      </c>
      <c r="D56">
        <v>0.2</v>
      </c>
      <c r="E56">
        <v>0.29399999999999998</v>
      </c>
      <c r="F56">
        <v>0.33300000000000002</v>
      </c>
      <c r="G56">
        <v>15</v>
      </c>
      <c r="H56">
        <v>3</v>
      </c>
      <c r="I56">
        <v>2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7</v>
      </c>
      <c r="Q56">
        <v>0</v>
      </c>
      <c r="R56">
        <v>0</v>
      </c>
      <c r="T56">
        <f t="shared" si="0"/>
        <v>0.14420833333333336</v>
      </c>
      <c r="V56">
        <f t="shared" si="1"/>
        <v>0.28841666666666671</v>
      </c>
      <c r="AB56">
        <f t="shared" si="2"/>
        <v>2</v>
      </c>
      <c r="AC56">
        <f t="shared" si="3"/>
        <v>17</v>
      </c>
      <c r="AD56" s="2">
        <f t="shared" si="4"/>
        <v>0.41176470588235292</v>
      </c>
      <c r="AE56" s="2">
        <f t="shared" si="5"/>
        <v>0.11764705882352941</v>
      </c>
      <c r="AF56" s="3">
        <f t="shared" si="6"/>
        <v>70.588235294117652</v>
      </c>
      <c r="AG56">
        <f t="shared" si="7"/>
        <v>133</v>
      </c>
      <c r="AH56">
        <f t="shared" si="8"/>
        <v>1.4420833333333336</v>
      </c>
    </row>
    <row r="57" spans="1:34" x14ac:dyDescent="0.25">
      <c r="A57" t="s">
        <v>82</v>
      </c>
      <c r="B57" t="s">
        <v>31</v>
      </c>
      <c r="C57">
        <v>24</v>
      </c>
      <c r="D57">
        <v>0.22800000000000001</v>
      </c>
      <c r="E57">
        <v>0.25800000000000001</v>
      </c>
      <c r="F57">
        <v>0.34200000000000003</v>
      </c>
      <c r="G57">
        <v>114</v>
      </c>
      <c r="H57">
        <v>26</v>
      </c>
      <c r="I57">
        <v>4</v>
      </c>
      <c r="J57">
        <v>0</v>
      </c>
      <c r="K57">
        <v>3</v>
      </c>
      <c r="L57">
        <v>13</v>
      </c>
      <c r="M57">
        <v>15</v>
      </c>
      <c r="N57">
        <v>0</v>
      </c>
      <c r="O57">
        <v>5</v>
      </c>
      <c r="P57">
        <v>19</v>
      </c>
      <c r="Q57">
        <v>1</v>
      </c>
      <c r="R57">
        <v>1</v>
      </c>
      <c r="T57">
        <f t="shared" si="0"/>
        <v>4.0110000000000001</v>
      </c>
      <c r="V57">
        <f t="shared" si="1"/>
        <v>8.0220000000000002</v>
      </c>
      <c r="AB57">
        <f t="shared" si="2"/>
        <v>8</v>
      </c>
      <c r="AC57">
        <f t="shared" si="3"/>
        <v>119</v>
      </c>
      <c r="AD57" s="2">
        <f t="shared" si="4"/>
        <v>0.15966386554621848</v>
      </c>
      <c r="AE57" s="2">
        <f t="shared" si="5"/>
        <v>4.2016806722689079E-2</v>
      </c>
      <c r="AF57" s="3">
        <f t="shared" si="6"/>
        <v>88.235294117647058</v>
      </c>
      <c r="AG57">
        <f t="shared" si="7"/>
        <v>114.00000000000001</v>
      </c>
      <c r="AH57">
        <f t="shared" si="8"/>
        <v>40.11</v>
      </c>
    </row>
    <row r="58" spans="1:34" x14ac:dyDescent="0.25">
      <c r="A58" t="s">
        <v>83</v>
      </c>
      <c r="B58" t="s">
        <v>23</v>
      </c>
      <c r="C58">
        <v>24</v>
      </c>
      <c r="D58">
        <v>0.19</v>
      </c>
      <c r="E58">
        <v>0.248</v>
      </c>
      <c r="F58">
        <v>0.35</v>
      </c>
      <c r="G58">
        <v>100</v>
      </c>
      <c r="H58">
        <v>19</v>
      </c>
      <c r="I58">
        <v>5</v>
      </c>
      <c r="J58">
        <v>1</v>
      </c>
      <c r="K58">
        <v>3</v>
      </c>
      <c r="L58">
        <v>12</v>
      </c>
      <c r="M58">
        <v>13</v>
      </c>
      <c r="N58">
        <v>1</v>
      </c>
      <c r="O58">
        <v>7</v>
      </c>
      <c r="P58">
        <v>20</v>
      </c>
      <c r="Q58">
        <v>1</v>
      </c>
      <c r="R58">
        <v>1</v>
      </c>
      <c r="T58">
        <f t="shared" si="0"/>
        <v>2.2400000000000002</v>
      </c>
      <c r="V58">
        <f t="shared" si="1"/>
        <v>4.4800000000000004</v>
      </c>
      <c r="AB58">
        <f t="shared" si="2"/>
        <v>4</v>
      </c>
      <c r="AC58">
        <f t="shared" si="3"/>
        <v>108</v>
      </c>
      <c r="AD58" s="2">
        <f t="shared" si="4"/>
        <v>0.18518518518518517</v>
      </c>
      <c r="AE58" s="2">
        <f t="shared" si="5"/>
        <v>7.407407407407407E-2</v>
      </c>
      <c r="AF58" s="3">
        <f t="shared" si="6"/>
        <v>88.888888888888886</v>
      </c>
      <c r="AG58">
        <f t="shared" si="7"/>
        <v>159.99999999999997</v>
      </c>
      <c r="AH58">
        <f t="shared" si="8"/>
        <v>22.400000000000002</v>
      </c>
    </row>
    <row r="59" spans="1:34" x14ac:dyDescent="0.25">
      <c r="A59" t="s">
        <v>84</v>
      </c>
      <c r="B59" t="s">
        <v>31</v>
      </c>
      <c r="C59">
        <v>24</v>
      </c>
      <c r="D59">
        <v>6.9000000000000006E-2</v>
      </c>
      <c r="E59">
        <v>0.129</v>
      </c>
      <c r="F59">
        <v>0.17199999999999999</v>
      </c>
      <c r="G59">
        <v>29</v>
      </c>
      <c r="H59">
        <v>2</v>
      </c>
      <c r="I59">
        <v>0</v>
      </c>
      <c r="J59">
        <v>0</v>
      </c>
      <c r="K59">
        <v>1</v>
      </c>
      <c r="L59">
        <v>2</v>
      </c>
      <c r="M59">
        <v>1</v>
      </c>
      <c r="N59">
        <v>0</v>
      </c>
      <c r="O59">
        <v>2</v>
      </c>
      <c r="P59">
        <v>8</v>
      </c>
      <c r="Q59">
        <v>0</v>
      </c>
      <c r="R59">
        <v>0</v>
      </c>
      <c r="T59">
        <f t="shared" si="0"/>
        <v>0.9488333333333332</v>
      </c>
      <c r="V59">
        <f t="shared" si="1"/>
        <v>1.8976666666666664</v>
      </c>
      <c r="AB59">
        <f t="shared" si="2"/>
        <v>8</v>
      </c>
      <c r="AC59">
        <f t="shared" si="3"/>
        <v>31</v>
      </c>
      <c r="AD59" s="2">
        <f t="shared" si="4"/>
        <v>0.25806451612903225</v>
      </c>
      <c r="AE59" s="2">
        <f t="shared" si="5"/>
        <v>6.4516129032258063E-2</v>
      </c>
      <c r="AF59" s="3">
        <f t="shared" si="6"/>
        <v>80.645161290322577</v>
      </c>
      <c r="AG59">
        <f t="shared" si="7"/>
        <v>102.99999999999999</v>
      </c>
      <c r="AH59">
        <f t="shared" si="8"/>
        <v>9.4883333333333315</v>
      </c>
    </row>
    <row r="60" spans="1:34" x14ac:dyDescent="0.25">
      <c r="A60" t="s">
        <v>85</v>
      </c>
      <c r="B60" t="s">
        <v>33</v>
      </c>
      <c r="C60">
        <v>24</v>
      </c>
      <c r="D60">
        <v>0.106</v>
      </c>
      <c r="E60">
        <v>0.23599999999999999</v>
      </c>
      <c r="F60">
        <v>0.106</v>
      </c>
      <c r="G60">
        <v>47</v>
      </c>
      <c r="H60">
        <v>5</v>
      </c>
      <c r="I60">
        <v>0</v>
      </c>
      <c r="J60">
        <v>0</v>
      </c>
      <c r="K60">
        <v>0</v>
      </c>
      <c r="L60">
        <v>8</v>
      </c>
      <c r="M60">
        <v>3</v>
      </c>
      <c r="N60">
        <v>1</v>
      </c>
      <c r="O60">
        <v>7</v>
      </c>
      <c r="P60">
        <v>16</v>
      </c>
      <c r="Q60">
        <v>0</v>
      </c>
      <c r="R60">
        <v>0</v>
      </c>
      <c r="T60">
        <f t="shared" si="0"/>
        <v>0.58750000000000002</v>
      </c>
      <c r="V60">
        <f t="shared" si="1"/>
        <v>1.175</v>
      </c>
      <c r="AB60">
        <f t="shared" si="2"/>
        <v>6</v>
      </c>
      <c r="AC60">
        <f t="shared" si="3"/>
        <v>55</v>
      </c>
      <c r="AD60" s="2">
        <f t="shared" si="4"/>
        <v>0.29090909090909089</v>
      </c>
      <c r="AE60" s="2">
        <f t="shared" si="5"/>
        <v>0.14545454545454545</v>
      </c>
      <c r="AF60" s="3">
        <f t="shared" si="6"/>
        <v>85.454545454545453</v>
      </c>
      <c r="AG60">
        <f t="shared" si="7"/>
        <v>0</v>
      </c>
      <c r="AH60">
        <f t="shared" si="8"/>
        <v>5.875</v>
      </c>
    </row>
    <row r="61" spans="1:34" x14ac:dyDescent="0.25">
      <c r="A61" t="s">
        <v>86</v>
      </c>
      <c r="B61" t="s">
        <v>60</v>
      </c>
      <c r="C61">
        <v>24</v>
      </c>
      <c r="D61">
        <v>0.23200000000000001</v>
      </c>
      <c r="E61">
        <v>0.24299999999999999</v>
      </c>
      <c r="F61">
        <v>0.46400000000000002</v>
      </c>
      <c r="G61">
        <v>69</v>
      </c>
      <c r="H61">
        <v>16</v>
      </c>
      <c r="I61">
        <v>2</v>
      </c>
      <c r="J61">
        <v>1</v>
      </c>
      <c r="K61">
        <v>4</v>
      </c>
      <c r="L61">
        <v>9</v>
      </c>
      <c r="M61">
        <v>9</v>
      </c>
      <c r="N61">
        <v>1</v>
      </c>
      <c r="O61">
        <v>0</v>
      </c>
      <c r="P61">
        <v>24</v>
      </c>
      <c r="Q61">
        <v>0</v>
      </c>
      <c r="R61">
        <v>0</v>
      </c>
      <c r="T61">
        <f t="shared" si="0"/>
        <v>3.4899999999999998</v>
      </c>
      <c r="V61">
        <f t="shared" si="1"/>
        <v>6.9799999999999995</v>
      </c>
      <c r="AB61">
        <f t="shared" si="2"/>
        <v>8</v>
      </c>
      <c r="AC61">
        <f t="shared" si="3"/>
        <v>70</v>
      </c>
      <c r="AD61" s="2">
        <f t="shared" si="4"/>
        <v>0.34285714285714286</v>
      </c>
      <c r="AE61" s="2">
        <f t="shared" si="5"/>
        <v>1.4285714285714285E-2</v>
      </c>
      <c r="AF61" s="3">
        <f t="shared" si="6"/>
        <v>67.142857142857139</v>
      </c>
      <c r="AG61">
        <f t="shared" si="7"/>
        <v>232</v>
      </c>
      <c r="AH61">
        <f t="shared" si="8"/>
        <v>34.9</v>
      </c>
    </row>
    <row r="62" spans="1:34" x14ac:dyDescent="0.25">
      <c r="A62" t="s">
        <v>87</v>
      </c>
      <c r="B62" t="s">
        <v>60</v>
      </c>
      <c r="C62">
        <v>24</v>
      </c>
      <c r="D62">
        <v>0.29199999999999998</v>
      </c>
      <c r="E62">
        <v>0.36299999999999999</v>
      </c>
      <c r="F62">
        <v>0.47799999999999998</v>
      </c>
      <c r="G62">
        <v>209</v>
      </c>
      <c r="H62">
        <v>61</v>
      </c>
      <c r="I62">
        <v>18</v>
      </c>
      <c r="J62">
        <v>3</v>
      </c>
      <c r="K62">
        <v>5</v>
      </c>
      <c r="L62">
        <v>28</v>
      </c>
      <c r="M62">
        <v>33</v>
      </c>
      <c r="N62">
        <v>2</v>
      </c>
      <c r="O62">
        <v>22</v>
      </c>
      <c r="P62">
        <v>48</v>
      </c>
      <c r="Q62">
        <v>14</v>
      </c>
      <c r="R62">
        <v>6</v>
      </c>
      <c r="T62">
        <f t="shared" si="0"/>
        <v>10.706333333333335</v>
      </c>
      <c r="V62">
        <f t="shared" si="1"/>
        <v>21.41266666666667</v>
      </c>
      <c r="AB62">
        <f t="shared" si="2"/>
        <v>8</v>
      </c>
      <c r="AC62">
        <f t="shared" si="3"/>
        <v>233</v>
      </c>
      <c r="AD62" s="2">
        <f t="shared" si="4"/>
        <v>0.20600858369098712</v>
      </c>
      <c r="AE62" s="2">
        <f t="shared" si="5"/>
        <v>0.10300429184549356</v>
      </c>
      <c r="AF62" s="3">
        <f t="shared" si="6"/>
        <v>89.699570815450642</v>
      </c>
      <c r="AG62">
        <f t="shared" si="7"/>
        <v>186</v>
      </c>
      <c r="AH62">
        <f t="shared" si="8"/>
        <v>107.06333333333335</v>
      </c>
    </row>
    <row r="63" spans="1:34" x14ac:dyDescent="0.25">
      <c r="A63" t="s">
        <v>88</v>
      </c>
      <c r="B63" t="s">
        <v>33</v>
      </c>
      <c r="C63">
        <v>24</v>
      </c>
      <c r="D63">
        <v>0.22600000000000001</v>
      </c>
      <c r="E63">
        <v>0.29299999999999998</v>
      </c>
      <c r="F63">
        <v>0.36899999999999999</v>
      </c>
      <c r="G63">
        <v>168</v>
      </c>
      <c r="H63">
        <v>38</v>
      </c>
      <c r="I63">
        <v>6</v>
      </c>
      <c r="J63">
        <v>0</v>
      </c>
      <c r="K63">
        <v>6</v>
      </c>
      <c r="L63">
        <v>19</v>
      </c>
      <c r="M63">
        <v>10</v>
      </c>
      <c r="N63">
        <v>1</v>
      </c>
      <c r="O63">
        <v>15</v>
      </c>
      <c r="P63">
        <v>54</v>
      </c>
      <c r="Q63">
        <v>4</v>
      </c>
      <c r="R63">
        <v>0</v>
      </c>
      <c r="T63">
        <f t="shared" si="0"/>
        <v>5.1140000000000008</v>
      </c>
      <c r="V63">
        <f t="shared" si="1"/>
        <v>10.228000000000002</v>
      </c>
      <c r="AB63">
        <f t="shared" si="2"/>
        <v>6</v>
      </c>
      <c r="AC63">
        <f t="shared" si="3"/>
        <v>184</v>
      </c>
      <c r="AD63" s="2">
        <f t="shared" si="4"/>
        <v>0.29347826086956524</v>
      </c>
      <c r="AE63" s="2">
        <f t="shared" si="5"/>
        <v>8.6956521739130432E-2</v>
      </c>
      <c r="AF63" s="3">
        <f t="shared" si="6"/>
        <v>79.347826086956516</v>
      </c>
      <c r="AG63">
        <f t="shared" si="7"/>
        <v>143</v>
      </c>
      <c r="AH63">
        <f t="shared" si="8"/>
        <v>51.140000000000008</v>
      </c>
    </row>
    <row r="64" spans="1:34" x14ac:dyDescent="0.25">
      <c r="A64" t="s">
        <v>89</v>
      </c>
      <c r="B64" t="s">
        <v>23</v>
      </c>
      <c r="C64">
        <v>24</v>
      </c>
      <c r="D64">
        <v>9.0999999999999998E-2</v>
      </c>
      <c r="E64">
        <v>0.16</v>
      </c>
      <c r="F64">
        <v>0.182</v>
      </c>
      <c r="G64">
        <v>22</v>
      </c>
      <c r="H64">
        <v>2</v>
      </c>
      <c r="I64">
        <v>0</v>
      </c>
      <c r="J64">
        <v>1</v>
      </c>
      <c r="K64">
        <v>0</v>
      </c>
      <c r="L64">
        <v>3</v>
      </c>
      <c r="M64">
        <v>2</v>
      </c>
      <c r="N64">
        <v>0</v>
      </c>
      <c r="O64">
        <v>2</v>
      </c>
      <c r="P64">
        <v>11</v>
      </c>
      <c r="Q64">
        <v>0</v>
      </c>
      <c r="R64">
        <v>0</v>
      </c>
      <c r="T64">
        <f t="shared" si="0"/>
        <v>0.307</v>
      </c>
      <c r="V64">
        <f t="shared" si="1"/>
        <v>0.61399999999999999</v>
      </c>
      <c r="AB64">
        <f t="shared" si="2"/>
        <v>4</v>
      </c>
      <c r="AC64">
        <f t="shared" si="3"/>
        <v>24</v>
      </c>
      <c r="AD64" s="2">
        <f t="shared" si="4"/>
        <v>0.45833333333333331</v>
      </c>
      <c r="AE64" s="2">
        <f t="shared" si="5"/>
        <v>8.3333333333333329E-2</v>
      </c>
      <c r="AF64" s="3">
        <f t="shared" si="6"/>
        <v>62.5</v>
      </c>
      <c r="AG64">
        <f t="shared" si="7"/>
        <v>91</v>
      </c>
      <c r="AH64">
        <f t="shared" si="8"/>
        <v>3.07</v>
      </c>
    </row>
    <row r="65" spans="1:34" x14ac:dyDescent="0.25">
      <c r="A65" t="s">
        <v>90</v>
      </c>
      <c r="B65" t="s">
        <v>60</v>
      </c>
      <c r="C65">
        <v>24</v>
      </c>
      <c r="D65">
        <v>0.157</v>
      </c>
      <c r="E65">
        <v>0.23400000000000001</v>
      </c>
      <c r="F65">
        <v>0.186</v>
      </c>
      <c r="G65">
        <v>70</v>
      </c>
      <c r="H65">
        <v>11</v>
      </c>
      <c r="I65">
        <v>0</v>
      </c>
      <c r="J65">
        <v>1</v>
      </c>
      <c r="K65">
        <v>0</v>
      </c>
      <c r="L65">
        <v>7</v>
      </c>
      <c r="M65">
        <v>7</v>
      </c>
      <c r="N65">
        <v>1</v>
      </c>
      <c r="O65">
        <v>6</v>
      </c>
      <c r="P65">
        <v>29</v>
      </c>
      <c r="Q65">
        <v>7</v>
      </c>
      <c r="R65">
        <v>2</v>
      </c>
      <c r="T65">
        <f t="shared" si="0"/>
        <v>1.2888333333333333</v>
      </c>
      <c r="V65">
        <f t="shared" si="1"/>
        <v>2.5776666666666666</v>
      </c>
      <c r="AB65">
        <f t="shared" si="2"/>
        <v>8</v>
      </c>
      <c r="AC65">
        <f t="shared" si="3"/>
        <v>77</v>
      </c>
      <c r="AD65" s="2">
        <f t="shared" si="4"/>
        <v>0.37662337662337664</v>
      </c>
      <c r="AE65" s="2">
        <f t="shared" si="5"/>
        <v>9.0909090909090912E-2</v>
      </c>
      <c r="AF65" s="3">
        <f t="shared" si="6"/>
        <v>71.428571428571431</v>
      </c>
      <c r="AG65">
        <f t="shared" si="7"/>
        <v>28.999999999999996</v>
      </c>
      <c r="AH65">
        <f t="shared" si="8"/>
        <v>12.888333333333334</v>
      </c>
    </row>
    <row r="66" spans="1:34" x14ac:dyDescent="0.25">
      <c r="A66" t="s">
        <v>91</v>
      </c>
      <c r="B66" t="s">
        <v>33</v>
      </c>
      <c r="C66">
        <v>24</v>
      </c>
      <c r="D66">
        <v>0.224</v>
      </c>
      <c r="E66">
        <v>0.311</v>
      </c>
      <c r="F66">
        <v>0.36599999999999999</v>
      </c>
      <c r="G66">
        <v>161</v>
      </c>
      <c r="H66">
        <v>36</v>
      </c>
      <c r="I66">
        <v>9</v>
      </c>
      <c r="J66">
        <v>1</v>
      </c>
      <c r="K66">
        <v>4</v>
      </c>
      <c r="L66">
        <v>18</v>
      </c>
      <c r="M66">
        <v>11</v>
      </c>
      <c r="N66">
        <v>0</v>
      </c>
      <c r="O66">
        <v>21</v>
      </c>
      <c r="P66">
        <v>36</v>
      </c>
      <c r="Q66">
        <v>2</v>
      </c>
      <c r="R66">
        <v>0</v>
      </c>
      <c r="T66">
        <f t="shared" si="0"/>
        <v>5.3179999999999996</v>
      </c>
      <c r="V66">
        <f t="shared" si="1"/>
        <v>10.635999999999999</v>
      </c>
      <c r="AB66">
        <f t="shared" si="2"/>
        <v>6</v>
      </c>
      <c r="AC66">
        <f t="shared" si="3"/>
        <v>182</v>
      </c>
      <c r="AD66" s="2">
        <f t="shared" si="4"/>
        <v>0.19780219780219779</v>
      </c>
      <c r="AE66" s="2">
        <f t="shared" si="5"/>
        <v>0.11538461538461539</v>
      </c>
      <c r="AF66" s="3">
        <f t="shared" si="6"/>
        <v>91.758241758241752</v>
      </c>
      <c r="AG66">
        <f t="shared" si="7"/>
        <v>142</v>
      </c>
      <c r="AH66">
        <f t="shared" si="8"/>
        <v>53.18</v>
      </c>
    </row>
    <row r="67" spans="1:34" x14ac:dyDescent="0.25">
      <c r="A67" t="s">
        <v>92</v>
      </c>
      <c r="B67" t="s">
        <v>26</v>
      </c>
      <c r="C67">
        <v>24</v>
      </c>
      <c r="D67">
        <v>0.2</v>
      </c>
      <c r="E67">
        <v>0.27300000000000002</v>
      </c>
      <c r="F67">
        <v>0.36299999999999999</v>
      </c>
      <c r="G67">
        <v>80</v>
      </c>
      <c r="H67">
        <v>16</v>
      </c>
      <c r="I67">
        <v>1</v>
      </c>
      <c r="J67">
        <v>0</v>
      </c>
      <c r="K67">
        <v>4</v>
      </c>
      <c r="L67">
        <v>9</v>
      </c>
      <c r="M67">
        <v>8</v>
      </c>
      <c r="N67">
        <v>2</v>
      </c>
      <c r="O67">
        <v>6</v>
      </c>
      <c r="P67">
        <v>25</v>
      </c>
      <c r="Q67">
        <v>4</v>
      </c>
      <c r="R67">
        <v>0</v>
      </c>
      <c r="T67">
        <f t="shared" ref="T67:T130" si="9">AH67/10</f>
        <v>4.4674999999999994</v>
      </c>
      <c r="V67">
        <f t="shared" ref="V67:V130" si="10">(T67*2)+U67</f>
        <v>8.9349999999999987</v>
      </c>
      <c r="AB67">
        <f t="shared" ref="AB67:AB130" si="11">_xlfn.IFS(B67="c", 10, B67="ss", 10, B67="cf", 8,  B67="2b", 8, B67="3b", 6, B67="rf", 4, B67="lf", 2, B67="1b", 2, B67 ="dh", 1)</f>
        <v>10</v>
      </c>
      <c r="AC67">
        <f t="shared" ref="AC67:AC130" si="12">(G67+N67+O67)</f>
        <v>88</v>
      </c>
      <c r="AD67" s="2">
        <f t="shared" ref="AD67:AD130" si="13">P67/AC67</f>
        <v>0.28409090909090912</v>
      </c>
      <c r="AE67" s="2">
        <f t="shared" ref="AE67:AE130" si="14">(N67+O67)/AC67</f>
        <v>9.0909090909090912E-2</v>
      </c>
      <c r="AF67" s="3">
        <f t="shared" ref="AF67:AF130" si="15">100-((AD67-AE67)*100)</f>
        <v>80.681818181818187</v>
      </c>
      <c r="AG67">
        <f t="shared" ref="AG67:AG130" si="16">(F67-D67)*1000</f>
        <v>162.99999999999997</v>
      </c>
      <c r="AH67">
        <f t="shared" si="8"/>
        <v>44.67499999999999</v>
      </c>
    </row>
    <row r="68" spans="1:34" x14ac:dyDescent="0.25">
      <c r="A68" t="s">
        <v>93</v>
      </c>
      <c r="B68" t="s">
        <v>60</v>
      </c>
      <c r="C68">
        <v>24</v>
      </c>
      <c r="D68">
        <v>0.13800000000000001</v>
      </c>
      <c r="E68">
        <v>0.219</v>
      </c>
      <c r="F68">
        <v>0.246</v>
      </c>
      <c r="G68">
        <v>65</v>
      </c>
      <c r="H68">
        <v>9</v>
      </c>
      <c r="I68">
        <v>1</v>
      </c>
      <c r="J68">
        <v>0</v>
      </c>
      <c r="K68">
        <v>2</v>
      </c>
      <c r="L68">
        <v>7</v>
      </c>
      <c r="M68">
        <v>8</v>
      </c>
      <c r="N68">
        <v>0</v>
      </c>
      <c r="O68">
        <v>7</v>
      </c>
      <c r="P68">
        <v>28</v>
      </c>
      <c r="Q68">
        <v>2</v>
      </c>
      <c r="R68">
        <v>0</v>
      </c>
      <c r="T68">
        <f t="shared" si="9"/>
        <v>2.1459999999999999</v>
      </c>
      <c r="V68">
        <f t="shared" si="10"/>
        <v>4.2919999999999998</v>
      </c>
      <c r="AB68">
        <f t="shared" si="11"/>
        <v>8</v>
      </c>
      <c r="AC68">
        <f t="shared" si="12"/>
        <v>72</v>
      </c>
      <c r="AD68" s="2">
        <f t="shared" si="13"/>
        <v>0.3888888888888889</v>
      </c>
      <c r="AE68" s="2">
        <f t="shared" si="14"/>
        <v>9.7222222222222224E-2</v>
      </c>
      <c r="AF68" s="3">
        <f t="shared" si="15"/>
        <v>70.833333333333329</v>
      </c>
      <c r="AG68">
        <f t="shared" si="16"/>
        <v>107.99999999999999</v>
      </c>
      <c r="AH68">
        <f t="shared" ref="AH68:AH131" si="17">(((AF68+AG68)/2)*(AC68/100)*AB68)/C68</f>
        <v>21.459999999999997</v>
      </c>
    </row>
    <row r="69" spans="1:34" x14ac:dyDescent="0.25">
      <c r="A69" t="s">
        <v>94</v>
      </c>
      <c r="B69" t="s">
        <v>26</v>
      </c>
      <c r="C69">
        <v>24</v>
      </c>
      <c r="D69">
        <v>0.24099999999999999</v>
      </c>
      <c r="E69">
        <v>0.29599999999999999</v>
      </c>
      <c r="F69">
        <v>0.33700000000000002</v>
      </c>
      <c r="G69">
        <v>187</v>
      </c>
      <c r="H69">
        <v>45</v>
      </c>
      <c r="I69">
        <v>9</v>
      </c>
      <c r="J69">
        <v>3</v>
      </c>
      <c r="K69">
        <v>1</v>
      </c>
      <c r="L69">
        <v>22</v>
      </c>
      <c r="M69">
        <v>18</v>
      </c>
      <c r="N69">
        <v>5</v>
      </c>
      <c r="O69">
        <v>10</v>
      </c>
      <c r="P69">
        <v>61</v>
      </c>
      <c r="Q69">
        <v>3</v>
      </c>
      <c r="R69">
        <v>1</v>
      </c>
      <c r="T69">
        <f t="shared" si="9"/>
        <v>7.2900000000000018</v>
      </c>
      <c r="V69">
        <f t="shared" si="10"/>
        <v>14.580000000000004</v>
      </c>
      <c r="AB69">
        <f t="shared" si="11"/>
        <v>10</v>
      </c>
      <c r="AC69">
        <f t="shared" si="12"/>
        <v>202</v>
      </c>
      <c r="AD69" s="2">
        <f t="shared" si="13"/>
        <v>0.30198019801980197</v>
      </c>
      <c r="AE69" s="2">
        <f t="shared" si="14"/>
        <v>7.4257425742574254E-2</v>
      </c>
      <c r="AF69" s="3">
        <f t="shared" si="15"/>
        <v>77.227722772277232</v>
      </c>
      <c r="AG69">
        <f t="shared" si="16"/>
        <v>96.000000000000028</v>
      </c>
      <c r="AH69">
        <f t="shared" si="17"/>
        <v>72.90000000000002</v>
      </c>
    </row>
    <row r="70" spans="1:34" x14ac:dyDescent="0.25">
      <c r="A70" t="s">
        <v>95</v>
      </c>
      <c r="B70" t="s">
        <v>60</v>
      </c>
      <c r="C70">
        <v>24</v>
      </c>
      <c r="D70">
        <v>0.224</v>
      </c>
      <c r="E70">
        <v>0.28000000000000003</v>
      </c>
      <c r="F70">
        <v>0.28899999999999998</v>
      </c>
      <c r="G70">
        <v>152</v>
      </c>
      <c r="H70">
        <v>34</v>
      </c>
      <c r="I70">
        <v>3</v>
      </c>
      <c r="J70">
        <v>2</v>
      </c>
      <c r="K70">
        <v>1</v>
      </c>
      <c r="L70">
        <v>23</v>
      </c>
      <c r="M70">
        <v>18</v>
      </c>
      <c r="N70">
        <v>0</v>
      </c>
      <c r="O70">
        <v>13</v>
      </c>
      <c r="P70">
        <v>40</v>
      </c>
      <c r="Q70">
        <v>12</v>
      </c>
      <c r="R70">
        <v>2</v>
      </c>
      <c r="T70">
        <f t="shared" si="9"/>
        <v>4.0874999999999995</v>
      </c>
      <c r="V70">
        <f t="shared" si="10"/>
        <v>8.1749999999999989</v>
      </c>
      <c r="AB70">
        <f t="shared" si="11"/>
        <v>8</v>
      </c>
      <c r="AC70">
        <f t="shared" si="12"/>
        <v>165</v>
      </c>
      <c r="AD70" s="2">
        <f t="shared" si="13"/>
        <v>0.24242424242424243</v>
      </c>
      <c r="AE70" s="2">
        <f t="shared" si="14"/>
        <v>7.8787878787878782E-2</v>
      </c>
      <c r="AF70" s="3">
        <f t="shared" si="15"/>
        <v>83.63636363636364</v>
      </c>
      <c r="AG70">
        <f t="shared" si="16"/>
        <v>64.999999999999972</v>
      </c>
      <c r="AH70">
        <f t="shared" si="17"/>
        <v>40.874999999999993</v>
      </c>
    </row>
    <row r="71" spans="1:34" x14ac:dyDescent="0.25">
      <c r="A71" t="s">
        <v>96</v>
      </c>
      <c r="B71" t="s">
        <v>19</v>
      </c>
      <c r="C71">
        <v>24</v>
      </c>
      <c r="D71">
        <v>0.20399999999999999</v>
      </c>
      <c r="E71">
        <v>0.25800000000000001</v>
      </c>
      <c r="F71">
        <v>0.32400000000000001</v>
      </c>
      <c r="G71">
        <v>142</v>
      </c>
      <c r="H71">
        <v>29</v>
      </c>
      <c r="I71">
        <v>5</v>
      </c>
      <c r="J71">
        <v>0</v>
      </c>
      <c r="K71">
        <v>4</v>
      </c>
      <c r="L71">
        <v>15</v>
      </c>
      <c r="M71">
        <v>24</v>
      </c>
      <c r="N71">
        <v>1</v>
      </c>
      <c r="O71">
        <v>10</v>
      </c>
      <c r="P71">
        <v>58</v>
      </c>
      <c r="Q71">
        <v>0</v>
      </c>
      <c r="R71">
        <v>0</v>
      </c>
      <c r="T71">
        <f t="shared" si="9"/>
        <v>6.0333333333333332</v>
      </c>
      <c r="V71">
        <f t="shared" si="10"/>
        <v>12.066666666666666</v>
      </c>
      <c r="AB71">
        <f t="shared" si="11"/>
        <v>10</v>
      </c>
      <c r="AC71">
        <f t="shared" si="12"/>
        <v>153</v>
      </c>
      <c r="AD71" s="2">
        <f t="shared" si="13"/>
        <v>0.37908496732026142</v>
      </c>
      <c r="AE71" s="2">
        <f t="shared" si="14"/>
        <v>7.1895424836601302E-2</v>
      </c>
      <c r="AF71" s="3">
        <f t="shared" si="15"/>
        <v>69.281045751633982</v>
      </c>
      <c r="AG71">
        <f t="shared" si="16"/>
        <v>120.00000000000003</v>
      </c>
      <c r="AH71">
        <f t="shared" si="17"/>
        <v>60.333333333333336</v>
      </c>
    </row>
    <row r="72" spans="1:34" x14ac:dyDescent="0.25">
      <c r="A72" t="s">
        <v>97</v>
      </c>
      <c r="B72" t="s">
        <v>60</v>
      </c>
      <c r="C72">
        <v>24</v>
      </c>
      <c r="D72">
        <v>0.29499999999999998</v>
      </c>
      <c r="E72">
        <v>0.32600000000000001</v>
      </c>
      <c r="F72">
        <v>0.34499999999999997</v>
      </c>
      <c r="G72">
        <v>414</v>
      </c>
      <c r="H72">
        <v>122</v>
      </c>
      <c r="I72">
        <v>15</v>
      </c>
      <c r="J72">
        <v>3</v>
      </c>
      <c r="K72">
        <v>0</v>
      </c>
      <c r="L72">
        <v>53</v>
      </c>
      <c r="M72">
        <v>26</v>
      </c>
      <c r="N72">
        <v>0</v>
      </c>
      <c r="O72">
        <v>20</v>
      </c>
      <c r="P72">
        <v>43</v>
      </c>
      <c r="Q72">
        <v>44</v>
      </c>
      <c r="R72">
        <v>12</v>
      </c>
      <c r="T72">
        <f t="shared" si="9"/>
        <v>10.466666666666665</v>
      </c>
      <c r="V72">
        <f t="shared" si="10"/>
        <v>20.93333333333333</v>
      </c>
      <c r="AB72">
        <f t="shared" si="11"/>
        <v>8</v>
      </c>
      <c r="AC72">
        <f t="shared" si="12"/>
        <v>434</v>
      </c>
      <c r="AD72" s="2">
        <f t="shared" si="13"/>
        <v>9.9078341013824886E-2</v>
      </c>
      <c r="AE72" s="2">
        <f t="shared" si="14"/>
        <v>4.6082949308755762E-2</v>
      </c>
      <c r="AF72" s="3">
        <f t="shared" si="15"/>
        <v>94.700460829493082</v>
      </c>
      <c r="AG72">
        <f t="shared" si="16"/>
        <v>49.999999999999986</v>
      </c>
      <c r="AH72">
        <f t="shared" si="17"/>
        <v>104.66666666666664</v>
      </c>
    </row>
    <row r="73" spans="1:34" x14ac:dyDescent="0.25">
      <c r="A73" t="s">
        <v>98</v>
      </c>
      <c r="B73" t="s">
        <v>23</v>
      </c>
      <c r="C73">
        <v>24</v>
      </c>
      <c r="D73">
        <v>0.22500000000000001</v>
      </c>
      <c r="E73">
        <v>0.26700000000000002</v>
      </c>
      <c r="F73">
        <v>0.41699999999999998</v>
      </c>
      <c r="G73">
        <v>120</v>
      </c>
      <c r="H73">
        <v>27</v>
      </c>
      <c r="I73">
        <v>5</v>
      </c>
      <c r="J73">
        <v>0</v>
      </c>
      <c r="K73">
        <v>6</v>
      </c>
      <c r="L73">
        <v>20</v>
      </c>
      <c r="M73">
        <v>19</v>
      </c>
      <c r="N73">
        <v>1</v>
      </c>
      <c r="O73">
        <v>7</v>
      </c>
      <c r="P73">
        <v>49</v>
      </c>
      <c r="Q73">
        <v>2</v>
      </c>
      <c r="R73">
        <v>1</v>
      </c>
      <c r="T73">
        <f t="shared" si="9"/>
        <v>2.7730000000000001</v>
      </c>
      <c r="V73">
        <f t="shared" si="10"/>
        <v>5.5460000000000003</v>
      </c>
      <c r="AB73">
        <f t="shared" si="11"/>
        <v>4</v>
      </c>
      <c r="AC73">
        <f t="shared" si="12"/>
        <v>128</v>
      </c>
      <c r="AD73" s="2">
        <f t="shared" si="13"/>
        <v>0.3828125</v>
      </c>
      <c r="AE73" s="2">
        <f t="shared" si="14"/>
        <v>6.25E-2</v>
      </c>
      <c r="AF73" s="3">
        <f t="shared" si="15"/>
        <v>67.96875</v>
      </c>
      <c r="AG73">
        <f t="shared" si="16"/>
        <v>191.99999999999997</v>
      </c>
      <c r="AH73">
        <f t="shared" si="17"/>
        <v>27.73</v>
      </c>
    </row>
    <row r="74" spans="1:34" x14ac:dyDescent="0.25">
      <c r="A74" t="s">
        <v>99</v>
      </c>
      <c r="B74" t="s">
        <v>21</v>
      </c>
      <c r="C74">
        <v>24</v>
      </c>
      <c r="D74">
        <v>0.22</v>
      </c>
      <c r="E74">
        <v>0.33300000000000002</v>
      </c>
      <c r="F74">
        <v>0.41499999999999998</v>
      </c>
      <c r="G74">
        <v>41</v>
      </c>
      <c r="H74">
        <v>9</v>
      </c>
      <c r="I74">
        <v>2</v>
      </c>
      <c r="J74">
        <v>0</v>
      </c>
      <c r="K74">
        <v>2</v>
      </c>
      <c r="L74">
        <v>7</v>
      </c>
      <c r="M74">
        <v>5</v>
      </c>
      <c r="N74">
        <v>0</v>
      </c>
      <c r="O74">
        <v>7</v>
      </c>
      <c r="P74">
        <v>13</v>
      </c>
      <c r="Q74">
        <v>0</v>
      </c>
      <c r="R74">
        <v>0</v>
      </c>
      <c r="T74">
        <f t="shared" si="9"/>
        <v>0.28249999999999997</v>
      </c>
      <c r="V74">
        <f t="shared" si="10"/>
        <v>0.56499999999999995</v>
      </c>
      <c r="AB74">
        <f t="shared" si="11"/>
        <v>1</v>
      </c>
      <c r="AC74">
        <f t="shared" si="12"/>
        <v>48</v>
      </c>
      <c r="AD74" s="2">
        <f t="shared" si="13"/>
        <v>0.27083333333333331</v>
      </c>
      <c r="AE74" s="2">
        <f t="shared" si="14"/>
        <v>0.14583333333333334</v>
      </c>
      <c r="AF74" s="3">
        <f t="shared" si="15"/>
        <v>87.5</v>
      </c>
      <c r="AG74">
        <f t="shared" si="16"/>
        <v>194.99999999999997</v>
      </c>
      <c r="AH74">
        <f t="shared" si="17"/>
        <v>2.8249999999999997</v>
      </c>
    </row>
    <row r="75" spans="1:34" x14ac:dyDescent="0.25">
      <c r="A75" t="s">
        <v>100</v>
      </c>
      <c r="B75" t="s">
        <v>31</v>
      </c>
      <c r="C75">
        <v>24</v>
      </c>
      <c r="D75">
        <v>0.161</v>
      </c>
      <c r="E75">
        <v>0.26600000000000001</v>
      </c>
      <c r="F75">
        <v>0.25</v>
      </c>
      <c r="G75">
        <v>56</v>
      </c>
      <c r="H75">
        <v>9</v>
      </c>
      <c r="I75">
        <v>2</v>
      </c>
      <c r="J75">
        <v>0</v>
      </c>
      <c r="K75">
        <v>1</v>
      </c>
      <c r="L75">
        <v>6</v>
      </c>
      <c r="M75">
        <v>5</v>
      </c>
      <c r="N75">
        <v>3</v>
      </c>
      <c r="O75">
        <v>5</v>
      </c>
      <c r="P75">
        <v>13</v>
      </c>
      <c r="Q75">
        <v>0</v>
      </c>
      <c r="R75">
        <v>0</v>
      </c>
      <c r="T75">
        <f t="shared" si="9"/>
        <v>1.9326666666666668</v>
      </c>
      <c r="V75">
        <f t="shared" si="10"/>
        <v>3.8653333333333335</v>
      </c>
      <c r="AB75">
        <f t="shared" si="11"/>
        <v>8</v>
      </c>
      <c r="AC75">
        <f t="shared" si="12"/>
        <v>64</v>
      </c>
      <c r="AD75" s="2">
        <f t="shared" si="13"/>
        <v>0.203125</v>
      </c>
      <c r="AE75" s="2">
        <f t="shared" si="14"/>
        <v>0.125</v>
      </c>
      <c r="AF75" s="3">
        <f t="shared" si="15"/>
        <v>92.1875</v>
      </c>
      <c r="AG75">
        <f t="shared" si="16"/>
        <v>89</v>
      </c>
      <c r="AH75">
        <f t="shared" si="17"/>
        <v>19.326666666666668</v>
      </c>
    </row>
    <row r="76" spans="1:34" x14ac:dyDescent="0.25">
      <c r="A76" t="s">
        <v>101</v>
      </c>
      <c r="B76" t="s">
        <v>33</v>
      </c>
      <c r="C76">
        <v>24</v>
      </c>
      <c r="D76">
        <v>0.253</v>
      </c>
      <c r="E76">
        <v>0.29399999999999998</v>
      </c>
      <c r="F76">
        <v>0.31</v>
      </c>
      <c r="G76">
        <v>277</v>
      </c>
      <c r="H76">
        <v>70</v>
      </c>
      <c r="I76">
        <v>13</v>
      </c>
      <c r="J76">
        <v>0</v>
      </c>
      <c r="K76">
        <v>1</v>
      </c>
      <c r="L76">
        <v>36</v>
      </c>
      <c r="M76">
        <v>21</v>
      </c>
      <c r="N76">
        <v>1</v>
      </c>
      <c r="O76">
        <v>15</v>
      </c>
      <c r="P76">
        <v>64</v>
      </c>
      <c r="Q76">
        <v>5</v>
      </c>
      <c r="R76">
        <v>1</v>
      </c>
      <c r="T76">
        <f t="shared" si="9"/>
        <v>5.1501250000000001</v>
      </c>
      <c r="V76">
        <f t="shared" si="10"/>
        <v>10.30025</v>
      </c>
      <c r="AB76">
        <f t="shared" si="11"/>
        <v>6</v>
      </c>
      <c r="AC76">
        <f t="shared" si="12"/>
        <v>293</v>
      </c>
      <c r="AD76" s="2">
        <f t="shared" si="13"/>
        <v>0.21843003412969283</v>
      </c>
      <c r="AE76" s="2">
        <f t="shared" si="14"/>
        <v>5.4607508532423209E-2</v>
      </c>
      <c r="AF76" s="3">
        <f t="shared" si="15"/>
        <v>83.617747440273035</v>
      </c>
      <c r="AG76">
        <f t="shared" si="16"/>
        <v>56.999999999999993</v>
      </c>
      <c r="AH76">
        <f t="shared" si="17"/>
        <v>51.501249999999999</v>
      </c>
    </row>
    <row r="77" spans="1:34" x14ac:dyDescent="0.25">
      <c r="A77" t="s">
        <v>102</v>
      </c>
      <c r="B77" t="s">
        <v>60</v>
      </c>
      <c r="C77">
        <v>25</v>
      </c>
      <c r="D77">
        <v>0</v>
      </c>
      <c r="E77">
        <v>0</v>
      </c>
      <c r="F77">
        <v>0</v>
      </c>
      <c r="G77">
        <v>5</v>
      </c>
      <c r="H77">
        <v>0</v>
      </c>
      <c r="I77">
        <v>0</v>
      </c>
      <c r="J77">
        <v>0</v>
      </c>
      <c r="K77">
        <v>0</v>
      </c>
      <c r="L77">
        <v>1</v>
      </c>
      <c r="M77">
        <v>0</v>
      </c>
      <c r="N77">
        <v>0</v>
      </c>
      <c r="O77">
        <v>0</v>
      </c>
      <c r="P77">
        <v>2</v>
      </c>
      <c r="Q77">
        <v>0</v>
      </c>
      <c r="R77">
        <v>0</v>
      </c>
      <c r="T77">
        <f t="shared" si="9"/>
        <v>4.8000000000000001E-2</v>
      </c>
      <c r="V77">
        <f t="shared" si="10"/>
        <v>9.6000000000000002E-2</v>
      </c>
      <c r="AB77">
        <f t="shared" si="11"/>
        <v>8</v>
      </c>
      <c r="AC77">
        <f t="shared" si="12"/>
        <v>5</v>
      </c>
      <c r="AD77" s="2">
        <f t="shared" si="13"/>
        <v>0.4</v>
      </c>
      <c r="AE77" s="2">
        <f t="shared" si="14"/>
        <v>0</v>
      </c>
      <c r="AF77" s="3">
        <f t="shared" si="15"/>
        <v>60</v>
      </c>
      <c r="AG77">
        <f t="shared" si="16"/>
        <v>0</v>
      </c>
      <c r="AH77">
        <f t="shared" si="17"/>
        <v>0.48</v>
      </c>
    </row>
    <row r="78" spans="1:34" x14ac:dyDescent="0.25">
      <c r="A78" t="s">
        <v>103</v>
      </c>
      <c r="B78" t="s">
        <v>48</v>
      </c>
      <c r="C78">
        <v>25</v>
      </c>
      <c r="D78">
        <v>0.05</v>
      </c>
      <c r="E78">
        <v>0.24</v>
      </c>
      <c r="F78">
        <v>0.05</v>
      </c>
      <c r="G78">
        <v>20</v>
      </c>
      <c r="H78">
        <v>1</v>
      </c>
      <c r="I78">
        <v>0</v>
      </c>
      <c r="J78">
        <v>0</v>
      </c>
      <c r="K78">
        <v>0</v>
      </c>
      <c r="L78">
        <v>4</v>
      </c>
      <c r="M78">
        <v>0</v>
      </c>
      <c r="N78">
        <v>0</v>
      </c>
      <c r="O78">
        <v>5</v>
      </c>
      <c r="P78">
        <v>9</v>
      </c>
      <c r="Q78">
        <v>4</v>
      </c>
      <c r="R78">
        <v>1</v>
      </c>
      <c r="T78">
        <f t="shared" si="9"/>
        <v>8.3999999999999991E-2</v>
      </c>
      <c r="V78">
        <f t="shared" si="10"/>
        <v>0.16799999999999998</v>
      </c>
      <c r="AB78">
        <f t="shared" si="11"/>
        <v>2</v>
      </c>
      <c r="AC78">
        <f t="shared" si="12"/>
        <v>25</v>
      </c>
      <c r="AD78" s="2">
        <f t="shared" si="13"/>
        <v>0.36</v>
      </c>
      <c r="AE78" s="2">
        <f t="shared" si="14"/>
        <v>0.2</v>
      </c>
      <c r="AF78" s="3">
        <f t="shared" si="15"/>
        <v>84</v>
      </c>
      <c r="AG78">
        <f t="shared" si="16"/>
        <v>0</v>
      </c>
      <c r="AH78">
        <f t="shared" si="17"/>
        <v>0.84</v>
      </c>
    </row>
    <row r="79" spans="1:34" x14ac:dyDescent="0.25">
      <c r="A79" t="s">
        <v>104</v>
      </c>
      <c r="B79" t="s">
        <v>19</v>
      </c>
      <c r="C79">
        <v>25</v>
      </c>
      <c r="D79">
        <v>0.1</v>
      </c>
      <c r="E79">
        <v>0.1</v>
      </c>
      <c r="F79">
        <v>0.1</v>
      </c>
      <c r="G79">
        <v>10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6</v>
      </c>
      <c r="Q79">
        <v>0</v>
      </c>
      <c r="R79">
        <v>0</v>
      </c>
      <c r="T79">
        <f t="shared" si="9"/>
        <v>0.08</v>
      </c>
      <c r="V79">
        <f t="shared" si="10"/>
        <v>0.16</v>
      </c>
      <c r="AB79">
        <f t="shared" si="11"/>
        <v>10</v>
      </c>
      <c r="AC79">
        <f t="shared" si="12"/>
        <v>10</v>
      </c>
      <c r="AD79" s="2">
        <f t="shared" si="13"/>
        <v>0.6</v>
      </c>
      <c r="AE79" s="2">
        <f t="shared" si="14"/>
        <v>0</v>
      </c>
      <c r="AF79" s="3">
        <f t="shared" si="15"/>
        <v>40</v>
      </c>
      <c r="AG79">
        <f t="shared" si="16"/>
        <v>0</v>
      </c>
      <c r="AH79">
        <f t="shared" si="17"/>
        <v>0.8</v>
      </c>
    </row>
    <row r="80" spans="1:34" x14ac:dyDescent="0.25">
      <c r="A80" t="s">
        <v>105</v>
      </c>
      <c r="B80" t="s">
        <v>48</v>
      </c>
      <c r="C80">
        <v>25</v>
      </c>
      <c r="D80">
        <v>0.16700000000000001</v>
      </c>
      <c r="E80">
        <v>0.16700000000000001</v>
      </c>
      <c r="F80">
        <v>0.16700000000000001</v>
      </c>
      <c r="G80">
        <v>6</v>
      </c>
      <c r="H80">
        <v>1</v>
      </c>
      <c r="I80">
        <v>0</v>
      </c>
      <c r="J80">
        <v>0</v>
      </c>
      <c r="K80">
        <v>0</v>
      </c>
      <c r="L80">
        <v>0</v>
      </c>
      <c r="M80">
        <v>1</v>
      </c>
      <c r="N80">
        <v>0</v>
      </c>
      <c r="O80">
        <v>0</v>
      </c>
      <c r="P80">
        <v>1</v>
      </c>
      <c r="Q80">
        <v>0</v>
      </c>
      <c r="R80">
        <v>0</v>
      </c>
      <c r="T80">
        <f t="shared" si="9"/>
        <v>0.02</v>
      </c>
      <c r="V80">
        <f t="shared" si="10"/>
        <v>0.04</v>
      </c>
      <c r="AB80">
        <f t="shared" si="11"/>
        <v>2</v>
      </c>
      <c r="AC80">
        <f t="shared" si="12"/>
        <v>6</v>
      </c>
      <c r="AD80" s="2">
        <f t="shared" si="13"/>
        <v>0.16666666666666666</v>
      </c>
      <c r="AE80" s="2">
        <f t="shared" si="14"/>
        <v>0</v>
      </c>
      <c r="AF80" s="3">
        <f t="shared" si="15"/>
        <v>83.333333333333343</v>
      </c>
      <c r="AG80">
        <f t="shared" si="16"/>
        <v>0</v>
      </c>
      <c r="AH80">
        <f t="shared" si="17"/>
        <v>0.2</v>
      </c>
    </row>
    <row r="81" spans="1:34" x14ac:dyDescent="0.25">
      <c r="A81" t="s">
        <v>106</v>
      </c>
      <c r="B81" t="s">
        <v>48</v>
      </c>
      <c r="C81">
        <v>25</v>
      </c>
      <c r="D81">
        <v>0.218</v>
      </c>
      <c r="E81">
        <v>0.27400000000000002</v>
      </c>
      <c r="F81">
        <v>0.33800000000000002</v>
      </c>
      <c r="G81">
        <v>216</v>
      </c>
      <c r="H81">
        <v>47</v>
      </c>
      <c r="I81">
        <v>6</v>
      </c>
      <c r="J81">
        <v>1</v>
      </c>
      <c r="K81">
        <v>6</v>
      </c>
      <c r="L81">
        <v>25</v>
      </c>
      <c r="M81">
        <v>20</v>
      </c>
      <c r="N81">
        <v>0</v>
      </c>
      <c r="O81">
        <v>17</v>
      </c>
      <c r="P81">
        <v>80</v>
      </c>
      <c r="Q81">
        <v>3</v>
      </c>
      <c r="R81">
        <v>1</v>
      </c>
      <c r="T81">
        <f t="shared" si="9"/>
        <v>1.7984000000000004</v>
      </c>
      <c r="V81">
        <f t="shared" si="10"/>
        <v>3.5968000000000009</v>
      </c>
      <c r="AB81">
        <f t="shared" si="11"/>
        <v>2</v>
      </c>
      <c r="AC81">
        <f t="shared" si="12"/>
        <v>233</v>
      </c>
      <c r="AD81" s="2">
        <f t="shared" si="13"/>
        <v>0.34334763948497854</v>
      </c>
      <c r="AE81" s="2">
        <f t="shared" si="14"/>
        <v>7.2961373390557943E-2</v>
      </c>
      <c r="AF81" s="3">
        <f t="shared" si="15"/>
        <v>72.961373390557938</v>
      </c>
      <c r="AG81">
        <f t="shared" si="16"/>
        <v>120.00000000000003</v>
      </c>
      <c r="AH81">
        <f t="shared" si="17"/>
        <v>17.984000000000005</v>
      </c>
    </row>
    <row r="82" spans="1:34" x14ac:dyDescent="0.25">
      <c r="A82" t="s">
        <v>107</v>
      </c>
      <c r="B82" t="s">
        <v>60</v>
      </c>
      <c r="C82">
        <v>25</v>
      </c>
      <c r="D82">
        <v>0.23</v>
      </c>
      <c r="E82">
        <v>0.27400000000000002</v>
      </c>
      <c r="F82">
        <v>0.372</v>
      </c>
      <c r="G82">
        <v>148</v>
      </c>
      <c r="H82">
        <v>34</v>
      </c>
      <c r="I82">
        <v>8</v>
      </c>
      <c r="J82">
        <v>2</v>
      </c>
      <c r="K82">
        <v>3</v>
      </c>
      <c r="L82">
        <v>18</v>
      </c>
      <c r="M82">
        <v>8</v>
      </c>
      <c r="N82">
        <v>3</v>
      </c>
      <c r="O82">
        <v>6</v>
      </c>
      <c r="P82">
        <v>61</v>
      </c>
      <c r="Q82">
        <v>6</v>
      </c>
      <c r="R82">
        <v>0</v>
      </c>
      <c r="T82">
        <f t="shared" si="9"/>
        <v>5.2470400000000001</v>
      </c>
      <c r="V82">
        <f t="shared" si="10"/>
        <v>10.49408</v>
      </c>
      <c r="AB82">
        <f t="shared" si="11"/>
        <v>8</v>
      </c>
      <c r="AC82">
        <f t="shared" si="12"/>
        <v>157</v>
      </c>
      <c r="AD82" s="2">
        <f t="shared" si="13"/>
        <v>0.38853503184713378</v>
      </c>
      <c r="AE82" s="2">
        <f t="shared" si="14"/>
        <v>5.7324840764331211E-2</v>
      </c>
      <c r="AF82" s="3">
        <f t="shared" si="15"/>
        <v>66.878980891719749</v>
      </c>
      <c r="AG82">
        <f t="shared" si="16"/>
        <v>142</v>
      </c>
      <c r="AH82">
        <f t="shared" si="17"/>
        <v>52.470399999999998</v>
      </c>
    </row>
    <row r="83" spans="1:34" x14ac:dyDescent="0.25">
      <c r="A83" t="s">
        <v>108</v>
      </c>
      <c r="B83" t="s">
        <v>60</v>
      </c>
      <c r="C83">
        <v>25</v>
      </c>
      <c r="D83">
        <v>0</v>
      </c>
      <c r="E83">
        <v>0.5</v>
      </c>
      <c r="F83">
        <v>0</v>
      </c>
      <c r="G83">
        <v>2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2</v>
      </c>
      <c r="P83">
        <v>1</v>
      </c>
      <c r="Q83">
        <v>0</v>
      </c>
      <c r="R83">
        <v>0</v>
      </c>
      <c r="T83">
        <f t="shared" si="9"/>
        <v>0.08</v>
      </c>
      <c r="V83">
        <f t="shared" si="10"/>
        <v>0.16</v>
      </c>
      <c r="AB83">
        <f t="shared" si="11"/>
        <v>8</v>
      </c>
      <c r="AC83">
        <f t="shared" si="12"/>
        <v>4</v>
      </c>
      <c r="AD83" s="2">
        <f t="shared" si="13"/>
        <v>0.25</v>
      </c>
      <c r="AE83" s="2">
        <f t="shared" si="14"/>
        <v>0.5</v>
      </c>
      <c r="AF83" s="3">
        <f t="shared" si="15"/>
        <v>125</v>
      </c>
      <c r="AG83">
        <f t="shared" si="16"/>
        <v>0</v>
      </c>
      <c r="AH83">
        <f t="shared" si="17"/>
        <v>0.8</v>
      </c>
    </row>
    <row r="84" spans="1:34" x14ac:dyDescent="0.25">
      <c r="A84" t="s">
        <v>109</v>
      </c>
      <c r="B84" t="s">
        <v>19</v>
      </c>
      <c r="C84">
        <v>25</v>
      </c>
      <c r="D84">
        <v>0.16700000000000001</v>
      </c>
      <c r="E84">
        <v>0.23400000000000001</v>
      </c>
      <c r="F84">
        <v>0.27800000000000002</v>
      </c>
      <c r="G84">
        <v>252</v>
      </c>
      <c r="H84">
        <v>42</v>
      </c>
      <c r="I84">
        <v>7</v>
      </c>
      <c r="J84">
        <v>0</v>
      </c>
      <c r="K84">
        <v>7</v>
      </c>
      <c r="L84">
        <v>25</v>
      </c>
      <c r="M84">
        <v>22</v>
      </c>
      <c r="N84">
        <v>5</v>
      </c>
      <c r="O84">
        <v>18</v>
      </c>
      <c r="P84">
        <v>76</v>
      </c>
      <c r="Q84">
        <v>2</v>
      </c>
      <c r="R84">
        <v>1</v>
      </c>
      <c r="T84">
        <f t="shared" si="9"/>
        <v>10.545</v>
      </c>
      <c r="V84">
        <f t="shared" si="10"/>
        <v>21.09</v>
      </c>
      <c r="AB84">
        <f t="shared" si="11"/>
        <v>10</v>
      </c>
      <c r="AC84">
        <f t="shared" si="12"/>
        <v>275</v>
      </c>
      <c r="AD84" s="2">
        <f t="shared" si="13"/>
        <v>0.27636363636363637</v>
      </c>
      <c r="AE84" s="2">
        <f t="shared" si="14"/>
        <v>8.3636363636363634E-2</v>
      </c>
      <c r="AF84" s="3">
        <f t="shared" si="15"/>
        <v>80.72727272727272</v>
      </c>
      <c r="AG84">
        <f t="shared" si="16"/>
        <v>111.00000000000001</v>
      </c>
      <c r="AH84">
        <f t="shared" si="17"/>
        <v>105.45</v>
      </c>
    </row>
    <row r="85" spans="1:34" x14ac:dyDescent="0.25">
      <c r="A85" t="s">
        <v>110</v>
      </c>
      <c r="B85" t="s">
        <v>48</v>
      </c>
      <c r="C85">
        <v>25</v>
      </c>
      <c r="D85">
        <v>0.245</v>
      </c>
      <c r="E85">
        <v>0.32100000000000001</v>
      </c>
      <c r="F85">
        <v>0.36699999999999999</v>
      </c>
      <c r="G85">
        <v>98</v>
      </c>
      <c r="H85">
        <v>24</v>
      </c>
      <c r="I85">
        <v>6</v>
      </c>
      <c r="J85">
        <v>0</v>
      </c>
      <c r="K85">
        <v>2</v>
      </c>
      <c r="L85">
        <v>17</v>
      </c>
      <c r="M85">
        <v>10</v>
      </c>
      <c r="N85">
        <v>0</v>
      </c>
      <c r="O85">
        <v>11</v>
      </c>
      <c r="P85">
        <v>37</v>
      </c>
      <c r="Q85">
        <v>1</v>
      </c>
      <c r="R85">
        <v>0</v>
      </c>
      <c r="T85">
        <f t="shared" si="9"/>
        <v>0.86392000000000002</v>
      </c>
      <c r="V85">
        <f t="shared" si="10"/>
        <v>1.72784</v>
      </c>
      <c r="AB85">
        <f t="shared" si="11"/>
        <v>2</v>
      </c>
      <c r="AC85">
        <f t="shared" si="12"/>
        <v>109</v>
      </c>
      <c r="AD85" s="2">
        <f t="shared" si="13"/>
        <v>0.33944954128440369</v>
      </c>
      <c r="AE85" s="2">
        <f t="shared" si="14"/>
        <v>0.10091743119266056</v>
      </c>
      <c r="AF85" s="3">
        <f t="shared" si="15"/>
        <v>76.146788990825684</v>
      </c>
      <c r="AG85">
        <f t="shared" si="16"/>
        <v>122</v>
      </c>
      <c r="AH85">
        <f t="shared" si="17"/>
        <v>8.6392000000000007</v>
      </c>
    </row>
    <row r="86" spans="1:34" x14ac:dyDescent="0.25">
      <c r="A86" t="s">
        <v>111</v>
      </c>
      <c r="B86" t="s">
        <v>33</v>
      </c>
      <c r="C86">
        <v>25</v>
      </c>
      <c r="D86">
        <v>0.25600000000000001</v>
      </c>
      <c r="E86">
        <v>0.33400000000000002</v>
      </c>
      <c r="F86">
        <v>0.38700000000000001</v>
      </c>
      <c r="G86">
        <v>445</v>
      </c>
      <c r="H86">
        <v>114</v>
      </c>
      <c r="I86">
        <v>25</v>
      </c>
      <c r="J86">
        <v>0</v>
      </c>
      <c r="K86">
        <v>11</v>
      </c>
      <c r="L86">
        <v>60</v>
      </c>
      <c r="M86">
        <v>53</v>
      </c>
      <c r="N86">
        <v>24</v>
      </c>
      <c r="O86">
        <v>30</v>
      </c>
      <c r="P86">
        <v>50</v>
      </c>
      <c r="Q86">
        <v>18</v>
      </c>
      <c r="R86">
        <v>6</v>
      </c>
      <c r="T86">
        <f t="shared" si="9"/>
        <v>13.880280000000003</v>
      </c>
      <c r="V86">
        <f t="shared" si="10"/>
        <v>27.760560000000005</v>
      </c>
      <c r="AB86">
        <f t="shared" si="11"/>
        <v>6</v>
      </c>
      <c r="AC86">
        <f t="shared" si="12"/>
        <v>499</v>
      </c>
      <c r="AD86" s="2">
        <f t="shared" si="13"/>
        <v>0.10020040080160321</v>
      </c>
      <c r="AE86" s="2">
        <f t="shared" si="14"/>
        <v>0.10821643286573146</v>
      </c>
      <c r="AF86" s="3">
        <f t="shared" si="15"/>
        <v>100.80160320641282</v>
      </c>
      <c r="AG86">
        <f t="shared" si="16"/>
        <v>131</v>
      </c>
      <c r="AH86">
        <f t="shared" si="17"/>
        <v>138.80280000000002</v>
      </c>
    </row>
    <row r="87" spans="1:34" x14ac:dyDescent="0.25">
      <c r="A87" t="s">
        <v>112</v>
      </c>
      <c r="B87" t="s">
        <v>48</v>
      </c>
      <c r="C87">
        <v>25</v>
      </c>
      <c r="D87">
        <v>0.2</v>
      </c>
      <c r="E87">
        <v>0.25600000000000001</v>
      </c>
      <c r="F87">
        <v>0.35</v>
      </c>
      <c r="G87">
        <v>40</v>
      </c>
      <c r="H87">
        <v>8</v>
      </c>
      <c r="I87">
        <v>3</v>
      </c>
      <c r="J87">
        <v>0</v>
      </c>
      <c r="K87">
        <v>1</v>
      </c>
      <c r="L87">
        <v>5</v>
      </c>
      <c r="M87">
        <v>2</v>
      </c>
      <c r="N87">
        <v>0</v>
      </c>
      <c r="O87">
        <v>3</v>
      </c>
      <c r="P87">
        <v>13</v>
      </c>
      <c r="Q87">
        <v>1</v>
      </c>
      <c r="R87">
        <v>1</v>
      </c>
      <c r="T87">
        <f t="shared" si="9"/>
        <v>0.38999999999999996</v>
      </c>
      <c r="V87">
        <f t="shared" si="10"/>
        <v>0.77999999999999992</v>
      </c>
      <c r="AB87">
        <f t="shared" si="11"/>
        <v>2</v>
      </c>
      <c r="AC87">
        <f t="shared" si="12"/>
        <v>43</v>
      </c>
      <c r="AD87" s="2">
        <f t="shared" si="13"/>
        <v>0.30232558139534882</v>
      </c>
      <c r="AE87" s="2">
        <f t="shared" si="14"/>
        <v>6.9767441860465115E-2</v>
      </c>
      <c r="AF87" s="3">
        <f t="shared" si="15"/>
        <v>76.744186046511629</v>
      </c>
      <c r="AG87">
        <f t="shared" si="16"/>
        <v>149.99999999999997</v>
      </c>
      <c r="AH87">
        <f t="shared" si="17"/>
        <v>3.8999999999999995</v>
      </c>
    </row>
    <row r="88" spans="1:34" x14ac:dyDescent="0.25">
      <c r="A88" t="s">
        <v>113</v>
      </c>
      <c r="B88" t="s">
        <v>48</v>
      </c>
      <c r="C88">
        <v>25</v>
      </c>
      <c r="D88">
        <v>0.26600000000000001</v>
      </c>
      <c r="E88">
        <v>0.34699999999999998</v>
      </c>
      <c r="F88">
        <v>0.438</v>
      </c>
      <c r="G88">
        <v>256</v>
      </c>
      <c r="H88">
        <v>68</v>
      </c>
      <c r="I88">
        <v>12</v>
      </c>
      <c r="J88">
        <v>1</v>
      </c>
      <c r="K88">
        <v>10</v>
      </c>
      <c r="L88">
        <v>40</v>
      </c>
      <c r="M88">
        <v>45</v>
      </c>
      <c r="N88">
        <v>3</v>
      </c>
      <c r="O88">
        <v>31</v>
      </c>
      <c r="P88">
        <v>77</v>
      </c>
      <c r="Q88">
        <v>1</v>
      </c>
      <c r="R88">
        <v>1</v>
      </c>
      <c r="T88">
        <f t="shared" si="9"/>
        <v>2.9832000000000005</v>
      </c>
      <c r="V88">
        <f t="shared" si="10"/>
        <v>5.966400000000001</v>
      </c>
      <c r="AB88">
        <f t="shared" si="11"/>
        <v>2</v>
      </c>
      <c r="AC88">
        <f t="shared" si="12"/>
        <v>290</v>
      </c>
      <c r="AD88" s="2">
        <f t="shared" si="13"/>
        <v>0.26551724137931032</v>
      </c>
      <c r="AE88" s="2">
        <f t="shared" si="14"/>
        <v>0.11724137931034483</v>
      </c>
      <c r="AF88" s="3">
        <f t="shared" si="15"/>
        <v>85.172413793103459</v>
      </c>
      <c r="AG88">
        <f t="shared" si="16"/>
        <v>172</v>
      </c>
      <c r="AH88">
        <f t="shared" si="17"/>
        <v>29.832000000000004</v>
      </c>
    </row>
    <row r="89" spans="1:34" x14ac:dyDescent="0.25">
      <c r="A89" t="s">
        <v>114</v>
      </c>
      <c r="B89" t="s">
        <v>23</v>
      </c>
      <c r="C89">
        <v>25</v>
      </c>
      <c r="D89">
        <v>0.27600000000000002</v>
      </c>
      <c r="E89">
        <v>0.32800000000000001</v>
      </c>
      <c r="F89">
        <v>0.44700000000000001</v>
      </c>
      <c r="G89">
        <v>170</v>
      </c>
      <c r="H89">
        <v>47</v>
      </c>
      <c r="I89">
        <v>10</v>
      </c>
      <c r="J89">
        <v>2</v>
      </c>
      <c r="K89">
        <v>5</v>
      </c>
      <c r="L89">
        <v>20</v>
      </c>
      <c r="M89">
        <v>21</v>
      </c>
      <c r="N89">
        <v>2</v>
      </c>
      <c r="O89">
        <v>11</v>
      </c>
      <c r="P89">
        <v>50</v>
      </c>
      <c r="Q89">
        <v>0</v>
      </c>
      <c r="R89">
        <v>2</v>
      </c>
      <c r="T89">
        <f t="shared" si="9"/>
        <v>3.6714399999999996</v>
      </c>
      <c r="V89">
        <f t="shared" si="10"/>
        <v>7.3428799999999992</v>
      </c>
      <c r="AB89">
        <f t="shared" si="11"/>
        <v>4</v>
      </c>
      <c r="AC89">
        <f t="shared" si="12"/>
        <v>183</v>
      </c>
      <c r="AD89" s="2">
        <f t="shared" si="13"/>
        <v>0.27322404371584702</v>
      </c>
      <c r="AE89" s="2">
        <f t="shared" si="14"/>
        <v>7.1038251366120214E-2</v>
      </c>
      <c r="AF89" s="3">
        <f t="shared" si="15"/>
        <v>79.78142076502732</v>
      </c>
      <c r="AG89">
        <f t="shared" si="16"/>
        <v>170.99999999999997</v>
      </c>
      <c r="AH89">
        <f t="shared" si="17"/>
        <v>36.714399999999998</v>
      </c>
    </row>
    <row r="90" spans="1:34" x14ac:dyDescent="0.25">
      <c r="A90" t="s">
        <v>115</v>
      </c>
      <c r="B90" t="s">
        <v>23</v>
      </c>
      <c r="C90">
        <v>25</v>
      </c>
      <c r="D90">
        <v>0.16700000000000001</v>
      </c>
      <c r="E90">
        <v>0.23100000000000001</v>
      </c>
      <c r="F90">
        <v>0.3</v>
      </c>
      <c r="G90">
        <v>60</v>
      </c>
      <c r="H90">
        <v>10</v>
      </c>
      <c r="I90">
        <v>2</v>
      </c>
      <c r="J90">
        <v>0</v>
      </c>
      <c r="K90">
        <v>2</v>
      </c>
      <c r="L90">
        <v>7</v>
      </c>
      <c r="M90">
        <v>2</v>
      </c>
      <c r="N90">
        <v>0</v>
      </c>
      <c r="O90">
        <v>5</v>
      </c>
      <c r="P90">
        <v>23</v>
      </c>
      <c r="Q90">
        <v>0</v>
      </c>
      <c r="R90">
        <v>1</v>
      </c>
      <c r="T90">
        <f t="shared" si="9"/>
        <v>1.0675999999999999</v>
      </c>
      <c r="V90">
        <f t="shared" si="10"/>
        <v>2.1351999999999998</v>
      </c>
      <c r="AB90">
        <f t="shared" si="11"/>
        <v>4</v>
      </c>
      <c r="AC90">
        <f t="shared" si="12"/>
        <v>65</v>
      </c>
      <c r="AD90" s="2">
        <f t="shared" si="13"/>
        <v>0.35384615384615387</v>
      </c>
      <c r="AE90" s="2">
        <f t="shared" si="14"/>
        <v>7.6923076923076927E-2</v>
      </c>
      <c r="AF90" s="3">
        <f t="shared" si="15"/>
        <v>72.307692307692307</v>
      </c>
      <c r="AG90">
        <f t="shared" si="16"/>
        <v>132.99999999999997</v>
      </c>
      <c r="AH90">
        <f t="shared" si="17"/>
        <v>10.675999999999998</v>
      </c>
    </row>
    <row r="91" spans="1:34" x14ac:dyDescent="0.25">
      <c r="A91" t="s">
        <v>116</v>
      </c>
      <c r="B91" t="s">
        <v>33</v>
      </c>
      <c r="C91">
        <v>25</v>
      </c>
      <c r="D91">
        <v>0.23400000000000001</v>
      </c>
      <c r="E91">
        <v>0.29799999999999999</v>
      </c>
      <c r="F91">
        <v>0.41099999999999998</v>
      </c>
      <c r="G91">
        <v>197</v>
      </c>
      <c r="H91">
        <v>46</v>
      </c>
      <c r="I91">
        <v>11</v>
      </c>
      <c r="J91">
        <v>0</v>
      </c>
      <c r="K91">
        <v>8</v>
      </c>
      <c r="L91">
        <v>26</v>
      </c>
      <c r="M91">
        <v>28</v>
      </c>
      <c r="N91">
        <v>7</v>
      </c>
      <c r="O91">
        <v>12</v>
      </c>
      <c r="P91">
        <v>67</v>
      </c>
      <c r="Q91">
        <v>2</v>
      </c>
      <c r="R91">
        <v>2</v>
      </c>
      <c r="T91">
        <f t="shared" si="9"/>
        <v>6.6038399999999999</v>
      </c>
      <c r="V91">
        <f t="shared" si="10"/>
        <v>13.20768</v>
      </c>
      <c r="AB91">
        <f t="shared" si="11"/>
        <v>6</v>
      </c>
      <c r="AC91">
        <f t="shared" si="12"/>
        <v>216</v>
      </c>
      <c r="AD91" s="2">
        <f t="shared" si="13"/>
        <v>0.31018518518518517</v>
      </c>
      <c r="AE91" s="2">
        <f t="shared" si="14"/>
        <v>8.7962962962962965E-2</v>
      </c>
      <c r="AF91" s="3">
        <f t="shared" si="15"/>
        <v>77.777777777777771</v>
      </c>
      <c r="AG91">
        <f t="shared" si="16"/>
        <v>176.99999999999997</v>
      </c>
      <c r="AH91">
        <f t="shared" si="17"/>
        <v>66.038399999999996</v>
      </c>
    </row>
    <row r="92" spans="1:34" x14ac:dyDescent="0.25">
      <c r="A92" t="s">
        <v>117</v>
      </c>
      <c r="B92" t="s">
        <v>33</v>
      </c>
      <c r="C92">
        <v>25</v>
      </c>
      <c r="D92">
        <v>0.5</v>
      </c>
      <c r="E92">
        <v>0.5</v>
      </c>
      <c r="F92">
        <v>0.5</v>
      </c>
      <c r="G92">
        <v>4</v>
      </c>
      <c r="H92">
        <v>2</v>
      </c>
      <c r="I92">
        <v>0</v>
      </c>
      <c r="J92">
        <v>0</v>
      </c>
      <c r="K92">
        <v>0</v>
      </c>
      <c r="L92">
        <v>1</v>
      </c>
      <c r="M92">
        <v>0</v>
      </c>
      <c r="N92">
        <v>0</v>
      </c>
      <c r="O92">
        <v>0</v>
      </c>
      <c r="P92">
        <v>1</v>
      </c>
      <c r="Q92">
        <v>0</v>
      </c>
      <c r="R92">
        <v>0</v>
      </c>
      <c r="T92">
        <f t="shared" si="9"/>
        <v>3.5999999999999997E-2</v>
      </c>
      <c r="V92">
        <f t="shared" si="10"/>
        <v>7.1999999999999995E-2</v>
      </c>
      <c r="AB92">
        <f t="shared" si="11"/>
        <v>6</v>
      </c>
      <c r="AC92">
        <f t="shared" si="12"/>
        <v>4</v>
      </c>
      <c r="AD92" s="2">
        <f t="shared" si="13"/>
        <v>0.25</v>
      </c>
      <c r="AE92" s="2">
        <f t="shared" si="14"/>
        <v>0</v>
      </c>
      <c r="AF92" s="3">
        <f t="shared" si="15"/>
        <v>75</v>
      </c>
      <c r="AG92">
        <f t="shared" si="16"/>
        <v>0</v>
      </c>
      <c r="AH92">
        <f t="shared" si="17"/>
        <v>0.36</v>
      </c>
    </row>
    <row r="93" spans="1:34" x14ac:dyDescent="0.25">
      <c r="A93" t="s">
        <v>118</v>
      </c>
      <c r="B93" t="s">
        <v>21</v>
      </c>
      <c r="C93">
        <v>25</v>
      </c>
      <c r="D93">
        <v>0.221</v>
      </c>
      <c r="E93">
        <v>0.34599999999999997</v>
      </c>
      <c r="F93">
        <v>0.308</v>
      </c>
      <c r="G93">
        <v>104</v>
      </c>
      <c r="H93">
        <v>23</v>
      </c>
      <c r="I93">
        <v>6</v>
      </c>
      <c r="J93">
        <v>0</v>
      </c>
      <c r="K93">
        <v>1</v>
      </c>
      <c r="L93">
        <v>15</v>
      </c>
      <c r="M93">
        <v>17</v>
      </c>
      <c r="N93">
        <v>1</v>
      </c>
      <c r="O93">
        <v>20</v>
      </c>
      <c r="P93">
        <v>32</v>
      </c>
      <c r="Q93">
        <v>0</v>
      </c>
      <c r="R93">
        <v>0</v>
      </c>
      <c r="T93">
        <f t="shared" si="9"/>
        <v>0.44550000000000001</v>
      </c>
      <c r="V93">
        <f t="shared" si="10"/>
        <v>0.89100000000000001</v>
      </c>
      <c r="AB93">
        <f t="shared" si="11"/>
        <v>1</v>
      </c>
      <c r="AC93">
        <f t="shared" si="12"/>
        <v>125</v>
      </c>
      <c r="AD93" s="2">
        <f t="shared" si="13"/>
        <v>0.25600000000000001</v>
      </c>
      <c r="AE93" s="2">
        <f t="shared" si="14"/>
        <v>0.16800000000000001</v>
      </c>
      <c r="AF93" s="3">
        <f t="shared" si="15"/>
        <v>91.2</v>
      </c>
      <c r="AG93">
        <f t="shared" si="16"/>
        <v>87</v>
      </c>
      <c r="AH93">
        <f t="shared" si="17"/>
        <v>4.4550000000000001</v>
      </c>
    </row>
    <row r="94" spans="1:34" x14ac:dyDescent="0.25">
      <c r="A94" t="s">
        <v>119</v>
      </c>
      <c r="B94" t="s">
        <v>26</v>
      </c>
      <c r="C94">
        <v>25</v>
      </c>
      <c r="D94">
        <v>0.222</v>
      </c>
      <c r="E94">
        <v>0.3</v>
      </c>
      <c r="F94">
        <v>0.222</v>
      </c>
      <c r="G94">
        <v>9</v>
      </c>
      <c r="H94">
        <v>2</v>
      </c>
      <c r="I94">
        <v>0</v>
      </c>
      <c r="J94">
        <v>0</v>
      </c>
      <c r="K94">
        <v>0</v>
      </c>
      <c r="L94">
        <v>1</v>
      </c>
      <c r="M94">
        <v>0</v>
      </c>
      <c r="N94">
        <v>0</v>
      </c>
      <c r="O94">
        <v>1</v>
      </c>
      <c r="P94">
        <v>3</v>
      </c>
      <c r="Q94">
        <v>0</v>
      </c>
      <c r="R94">
        <v>0</v>
      </c>
      <c r="T94">
        <f t="shared" si="9"/>
        <v>0.16</v>
      </c>
      <c r="V94">
        <f t="shared" si="10"/>
        <v>0.32</v>
      </c>
      <c r="AB94">
        <f t="shared" si="11"/>
        <v>10</v>
      </c>
      <c r="AC94">
        <f t="shared" si="12"/>
        <v>10</v>
      </c>
      <c r="AD94" s="2">
        <f t="shared" si="13"/>
        <v>0.3</v>
      </c>
      <c r="AE94" s="2">
        <f t="shared" si="14"/>
        <v>0.1</v>
      </c>
      <c r="AF94" s="3">
        <f t="shared" si="15"/>
        <v>80</v>
      </c>
      <c r="AG94">
        <f t="shared" si="16"/>
        <v>0</v>
      </c>
      <c r="AH94">
        <f t="shared" si="17"/>
        <v>1.6</v>
      </c>
    </row>
    <row r="95" spans="1:34" x14ac:dyDescent="0.25">
      <c r="A95" t="s">
        <v>120</v>
      </c>
      <c r="B95" t="s">
        <v>48</v>
      </c>
      <c r="C95">
        <v>25</v>
      </c>
      <c r="D95">
        <v>7.0999999999999994E-2</v>
      </c>
      <c r="E95">
        <v>0.188</v>
      </c>
      <c r="F95">
        <v>7.0999999999999994E-2</v>
      </c>
      <c r="G95">
        <v>14</v>
      </c>
      <c r="H95">
        <v>1</v>
      </c>
      <c r="I95">
        <v>0</v>
      </c>
      <c r="J95">
        <v>0</v>
      </c>
      <c r="K95">
        <v>0</v>
      </c>
      <c r="L95">
        <v>0</v>
      </c>
      <c r="M95">
        <v>1</v>
      </c>
      <c r="N95">
        <v>0</v>
      </c>
      <c r="O95">
        <v>2</v>
      </c>
      <c r="P95">
        <v>2</v>
      </c>
      <c r="Q95">
        <v>0</v>
      </c>
      <c r="R95">
        <v>0</v>
      </c>
      <c r="T95">
        <f t="shared" si="9"/>
        <v>6.4000000000000001E-2</v>
      </c>
      <c r="V95">
        <f t="shared" si="10"/>
        <v>0.128</v>
      </c>
      <c r="AB95">
        <f t="shared" si="11"/>
        <v>2</v>
      </c>
      <c r="AC95">
        <f t="shared" si="12"/>
        <v>16</v>
      </c>
      <c r="AD95" s="2">
        <f t="shared" si="13"/>
        <v>0.125</v>
      </c>
      <c r="AE95" s="2">
        <f t="shared" si="14"/>
        <v>0.125</v>
      </c>
      <c r="AF95" s="3">
        <f t="shared" si="15"/>
        <v>100</v>
      </c>
      <c r="AG95">
        <f t="shared" si="16"/>
        <v>0</v>
      </c>
      <c r="AH95">
        <f t="shared" si="17"/>
        <v>0.64</v>
      </c>
    </row>
    <row r="96" spans="1:34" x14ac:dyDescent="0.25">
      <c r="A96" t="s">
        <v>121</v>
      </c>
      <c r="B96" t="s">
        <v>33</v>
      </c>
      <c r="C96">
        <v>25</v>
      </c>
      <c r="D96">
        <v>0.16400000000000001</v>
      </c>
      <c r="E96">
        <v>0.223</v>
      </c>
      <c r="F96">
        <v>0.25</v>
      </c>
      <c r="G96">
        <v>244</v>
      </c>
      <c r="H96">
        <v>40</v>
      </c>
      <c r="I96">
        <v>6</v>
      </c>
      <c r="J96">
        <v>0</v>
      </c>
      <c r="K96">
        <v>5</v>
      </c>
      <c r="L96">
        <v>24</v>
      </c>
      <c r="M96">
        <v>20</v>
      </c>
      <c r="N96">
        <v>2</v>
      </c>
      <c r="O96">
        <v>17</v>
      </c>
      <c r="P96">
        <v>80</v>
      </c>
      <c r="Q96">
        <v>9</v>
      </c>
      <c r="R96">
        <v>0</v>
      </c>
      <c r="T96">
        <f t="shared" si="9"/>
        <v>5.1381600000000001</v>
      </c>
      <c r="V96">
        <f t="shared" si="10"/>
        <v>10.27632</v>
      </c>
      <c r="AB96">
        <f t="shared" si="11"/>
        <v>6</v>
      </c>
      <c r="AC96">
        <f t="shared" si="12"/>
        <v>263</v>
      </c>
      <c r="AD96" s="2">
        <f t="shared" si="13"/>
        <v>0.30418250950570341</v>
      </c>
      <c r="AE96" s="2">
        <f t="shared" si="14"/>
        <v>7.2243346007604556E-2</v>
      </c>
      <c r="AF96" s="3">
        <f t="shared" si="15"/>
        <v>76.806083650190118</v>
      </c>
      <c r="AG96">
        <f t="shared" si="16"/>
        <v>86</v>
      </c>
      <c r="AH96">
        <f t="shared" si="17"/>
        <v>51.381599999999999</v>
      </c>
    </row>
    <row r="97" spans="1:34" x14ac:dyDescent="0.25">
      <c r="A97" t="s">
        <v>122</v>
      </c>
      <c r="B97" t="s">
        <v>60</v>
      </c>
      <c r="C97">
        <v>25</v>
      </c>
      <c r="D97">
        <v>0</v>
      </c>
      <c r="E97">
        <v>0</v>
      </c>
      <c r="F97">
        <v>0</v>
      </c>
      <c r="G97">
        <v>12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7</v>
      </c>
      <c r="Q97">
        <v>0</v>
      </c>
      <c r="R97">
        <v>0</v>
      </c>
      <c r="T97">
        <f t="shared" si="9"/>
        <v>7.9999999999999988E-2</v>
      </c>
      <c r="V97">
        <f t="shared" si="10"/>
        <v>0.15999999999999998</v>
      </c>
      <c r="AB97">
        <f t="shared" si="11"/>
        <v>8</v>
      </c>
      <c r="AC97">
        <f t="shared" si="12"/>
        <v>12</v>
      </c>
      <c r="AD97" s="2">
        <f t="shared" si="13"/>
        <v>0.58333333333333337</v>
      </c>
      <c r="AE97" s="2">
        <f t="shared" si="14"/>
        <v>0</v>
      </c>
      <c r="AF97" s="3">
        <f t="shared" si="15"/>
        <v>41.666666666666664</v>
      </c>
      <c r="AG97">
        <f t="shared" si="16"/>
        <v>0</v>
      </c>
      <c r="AH97">
        <f t="shared" si="17"/>
        <v>0.79999999999999982</v>
      </c>
    </row>
    <row r="98" spans="1:34" x14ac:dyDescent="0.25">
      <c r="A98" t="s">
        <v>123</v>
      </c>
      <c r="B98" t="s">
        <v>48</v>
      </c>
      <c r="C98">
        <v>25</v>
      </c>
      <c r="D98">
        <v>0.191</v>
      </c>
      <c r="E98">
        <v>0.26100000000000001</v>
      </c>
      <c r="F98">
        <v>0.29399999999999998</v>
      </c>
      <c r="G98">
        <v>136</v>
      </c>
      <c r="H98">
        <v>26</v>
      </c>
      <c r="I98">
        <v>6</v>
      </c>
      <c r="J98">
        <v>1</v>
      </c>
      <c r="K98">
        <v>2</v>
      </c>
      <c r="L98">
        <v>17</v>
      </c>
      <c r="M98">
        <v>9</v>
      </c>
      <c r="N98">
        <v>6</v>
      </c>
      <c r="O98">
        <v>8</v>
      </c>
      <c r="P98">
        <v>37</v>
      </c>
      <c r="Q98">
        <v>1</v>
      </c>
      <c r="R98">
        <v>1</v>
      </c>
      <c r="T98">
        <f t="shared" si="9"/>
        <v>1.1259999999999999</v>
      </c>
      <c r="V98">
        <f t="shared" si="10"/>
        <v>2.2519999999999998</v>
      </c>
      <c r="AB98">
        <f t="shared" si="11"/>
        <v>2</v>
      </c>
      <c r="AC98">
        <f t="shared" si="12"/>
        <v>150</v>
      </c>
      <c r="AD98" s="2">
        <f t="shared" si="13"/>
        <v>0.24666666666666667</v>
      </c>
      <c r="AE98" s="2">
        <f t="shared" si="14"/>
        <v>9.3333333333333338E-2</v>
      </c>
      <c r="AF98" s="3">
        <f t="shared" si="15"/>
        <v>84.666666666666671</v>
      </c>
      <c r="AG98">
        <f t="shared" si="16"/>
        <v>102.99999999999999</v>
      </c>
      <c r="AH98">
        <f t="shared" si="17"/>
        <v>11.26</v>
      </c>
    </row>
    <row r="99" spans="1:34" x14ac:dyDescent="0.25">
      <c r="A99" t="s">
        <v>124</v>
      </c>
      <c r="B99" t="s">
        <v>23</v>
      </c>
      <c r="C99">
        <v>25</v>
      </c>
      <c r="D99">
        <v>0.19700000000000001</v>
      </c>
      <c r="E99">
        <v>0.26</v>
      </c>
      <c r="F99">
        <v>0.36599999999999999</v>
      </c>
      <c r="G99">
        <v>71</v>
      </c>
      <c r="H99">
        <v>14</v>
      </c>
      <c r="I99">
        <v>4</v>
      </c>
      <c r="J99">
        <v>1</v>
      </c>
      <c r="K99">
        <v>2</v>
      </c>
      <c r="L99">
        <v>6</v>
      </c>
      <c r="M99">
        <v>10</v>
      </c>
      <c r="N99">
        <v>0</v>
      </c>
      <c r="O99">
        <v>6</v>
      </c>
      <c r="P99">
        <v>22</v>
      </c>
      <c r="Q99">
        <v>1</v>
      </c>
      <c r="R99">
        <v>0</v>
      </c>
      <c r="T99">
        <f t="shared" si="9"/>
        <v>1.52904</v>
      </c>
      <c r="V99">
        <f t="shared" si="10"/>
        <v>3.0580799999999999</v>
      </c>
      <c r="AB99">
        <f t="shared" si="11"/>
        <v>4</v>
      </c>
      <c r="AC99">
        <f t="shared" si="12"/>
        <v>77</v>
      </c>
      <c r="AD99" s="2">
        <f t="shared" si="13"/>
        <v>0.2857142857142857</v>
      </c>
      <c r="AE99" s="2">
        <f t="shared" si="14"/>
        <v>7.792207792207792E-2</v>
      </c>
      <c r="AF99" s="3">
        <f t="shared" si="15"/>
        <v>79.220779220779221</v>
      </c>
      <c r="AG99">
        <f t="shared" si="16"/>
        <v>168.99999999999997</v>
      </c>
      <c r="AH99">
        <f t="shared" si="17"/>
        <v>15.2904</v>
      </c>
    </row>
    <row r="100" spans="1:34" x14ac:dyDescent="0.25">
      <c r="A100" t="s">
        <v>125</v>
      </c>
      <c r="B100" t="s">
        <v>60</v>
      </c>
      <c r="C100">
        <v>25</v>
      </c>
      <c r="D100">
        <v>0.23499999999999999</v>
      </c>
      <c r="E100">
        <v>0.316</v>
      </c>
      <c r="F100">
        <v>0.23499999999999999</v>
      </c>
      <c r="G100">
        <v>17</v>
      </c>
      <c r="H100">
        <v>4</v>
      </c>
      <c r="I100">
        <v>0</v>
      </c>
      <c r="J100">
        <v>0</v>
      </c>
      <c r="K100">
        <v>0</v>
      </c>
      <c r="L100">
        <v>4</v>
      </c>
      <c r="M100">
        <v>0</v>
      </c>
      <c r="N100">
        <v>0</v>
      </c>
      <c r="O100">
        <v>2</v>
      </c>
      <c r="P100">
        <v>7</v>
      </c>
      <c r="Q100">
        <v>0</v>
      </c>
      <c r="R100">
        <v>0</v>
      </c>
      <c r="T100">
        <f t="shared" si="9"/>
        <v>0.22400000000000003</v>
      </c>
      <c r="V100">
        <f t="shared" si="10"/>
        <v>0.44800000000000006</v>
      </c>
      <c r="AB100">
        <f t="shared" si="11"/>
        <v>8</v>
      </c>
      <c r="AC100">
        <f t="shared" si="12"/>
        <v>19</v>
      </c>
      <c r="AD100" s="2">
        <f t="shared" si="13"/>
        <v>0.36842105263157893</v>
      </c>
      <c r="AE100" s="2">
        <f t="shared" si="14"/>
        <v>0.10526315789473684</v>
      </c>
      <c r="AF100" s="3">
        <f t="shared" si="15"/>
        <v>73.684210526315795</v>
      </c>
      <c r="AG100">
        <f t="shared" si="16"/>
        <v>0</v>
      </c>
      <c r="AH100">
        <f t="shared" si="17"/>
        <v>2.2400000000000002</v>
      </c>
    </row>
    <row r="101" spans="1:34" x14ac:dyDescent="0.25">
      <c r="A101" t="s">
        <v>126</v>
      </c>
      <c r="B101" t="s">
        <v>31</v>
      </c>
      <c r="C101">
        <v>25</v>
      </c>
      <c r="D101">
        <v>0.23400000000000001</v>
      </c>
      <c r="E101">
        <v>0.29899999999999999</v>
      </c>
      <c r="F101">
        <v>0.27300000000000002</v>
      </c>
      <c r="G101">
        <v>77</v>
      </c>
      <c r="H101">
        <v>18</v>
      </c>
      <c r="I101">
        <v>3</v>
      </c>
      <c r="J101">
        <v>0</v>
      </c>
      <c r="K101">
        <v>0</v>
      </c>
      <c r="L101">
        <v>10</v>
      </c>
      <c r="M101">
        <v>7</v>
      </c>
      <c r="N101">
        <v>0</v>
      </c>
      <c r="O101">
        <v>8</v>
      </c>
      <c r="P101">
        <v>15</v>
      </c>
      <c r="Q101">
        <v>1</v>
      </c>
      <c r="R101">
        <v>0</v>
      </c>
      <c r="T101">
        <f t="shared" si="9"/>
        <v>1.7784000000000002</v>
      </c>
      <c r="V101">
        <f t="shared" si="10"/>
        <v>3.5568000000000004</v>
      </c>
      <c r="AB101">
        <f t="shared" si="11"/>
        <v>8</v>
      </c>
      <c r="AC101">
        <f t="shared" si="12"/>
        <v>85</v>
      </c>
      <c r="AD101" s="2">
        <f t="shared" si="13"/>
        <v>0.17647058823529413</v>
      </c>
      <c r="AE101" s="2">
        <f t="shared" si="14"/>
        <v>9.4117647058823528E-2</v>
      </c>
      <c r="AF101" s="3">
        <f t="shared" si="15"/>
        <v>91.764705882352942</v>
      </c>
      <c r="AG101">
        <f t="shared" si="16"/>
        <v>39.000000000000007</v>
      </c>
      <c r="AH101">
        <f t="shared" si="17"/>
        <v>17.784000000000002</v>
      </c>
    </row>
    <row r="102" spans="1:34" x14ac:dyDescent="0.25">
      <c r="A102" t="s">
        <v>127</v>
      </c>
      <c r="B102" t="s">
        <v>26</v>
      </c>
      <c r="C102">
        <v>25</v>
      </c>
      <c r="D102">
        <v>0.19600000000000001</v>
      </c>
      <c r="E102">
        <v>0.25800000000000001</v>
      </c>
      <c r="F102">
        <v>0.29099999999999998</v>
      </c>
      <c r="G102">
        <v>296</v>
      </c>
      <c r="H102">
        <v>58</v>
      </c>
      <c r="I102">
        <v>6</v>
      </c>
      <c r="J102">
        <v>2</v>
      </c>
      <c r="K102">
        <v>6</v>
      </c>
      <c r="L102">
        <v>36</v>
      </c>
      <c r="M102">
        <v>32</v>
      </c>
      <c r="N102">
        <v>0</v>
      </c>
      <c r="O102">
        <v>26</v>
      </c>
      <c r="P102">
        <v>92</v>
      </c>
      <c r="Q102">
        <v>3</v>
      </c>
      <c r="R102">
        <v>1</v>
      </c>
      <c r="T102">
        <f t="shared" si="9"/>
        <v>11.238</v>
      </c>
      <c r="V102">
        <f t="shared" si="10"/>
        <v>22.475999999999999</v>
      </c>
      <c r="AB102">
        <f t="shared" si="11"/>
        <v>10</v>
      </c>
      <c r="AC102">
        <f t="shared" si="12"/>
        <v>322</v>
      </c>
      <c r="AD102" s="2">
        <f t="shared" si="13"/>
        <v>0.2857142857142857</v>
      </c>
      <c r="AE102" s="2">
        <f t="shared" si="14"/>
        <v>8.0745341614906832E-2</v>
      </c>
      <c r="AF102" s="3">
        <f t="shared" si="15"/>
        <v>79.50310559006212</v>
      </c>
      <c r="AG102">
        <f t="shared" si="16"/>
        <v>94.999999999999972</v>
      </c>
      <c r="AH102">
        <f t="shared" si="17"/>
        <v>112.38</v>
      </c>
    </row>
    <row r="103" spans="1:34" x14ac:dyDescent="0.25">
      <c r="A103" t="s">
        <v>128</v>
      </c>
      <c r="B103" t="s">
        <v>23</v>
      </c>
      <c r="C103">
        <v>25</v>
      </c>
      <c r="D103">
        <v>0.125</v>
      </c>
      <c r="E103">
        <v>0.2</v>
      </c>
      <c r="F103">
        <v>0.25</v>
      </c>
      <c r="G103">
        <v>8</v>
      </c>
      <c r="H103">
        <v>1</v>
      </c>
      <c r="I103">
        <v>1</v>
      </c>
      <c r="J103">
        <v>0</v>
      </c>
      <c r="K103">
        <v>0</v>
      </c>
      <c r="L103">
        <v>2</v>
      </c>
      <c r="M103">
        <v>2</v>
      </c>
      <c r="N103">
        <v>0</v>
      </c>
      <c r="O103">
        <v>1</v>
      </c>
      <c r="P103">
        <v>0</v>
      </c>
      <c r="Q103">
        <v>0</v>
      </c>
      <c r="R103">
        <v>0</v>
      </c>
      <c r="T103">
        <f t="shared" si="9"/>
        <v>0.16999999999999998</v>
      </c>
      <c r="V103">
        <f t="shared" si="10"/>
        <v>0.33999999999999997</v>
      </c>
      <c r="AB103">
        <f t="shared" si="11"/>
        <v>4</v>
      </c>
      <c r="AC103">
        <f t="shared" si="12"/>
        <v>9</v>
      </c>
      <c r="AD103" s="2">
        <f t="shared" si="13"/>
        <v>0</v>
      </c>
      <c r="AE103" s="2">
        <f t="shared" si="14"/>
        <v>0.1111111111111111</v>
      </c>
      <c r="AF103" s="3">
        <f t="shared" si="15"/>
        <v>111.11111111111111</v>
      </c>
      <c r="AG103">
        <f t="shared" si="16"/>
        <v>125</v>
      </c>
      <c r="AH103">
        <f t="shared" si="17"/>
        <v>1.7</v>
      </c>
    </row>
    <row r="104" spans="1:34" x14ac:dyDescent="0.25">
      <c r="A104" t="s">
        <v>129</v>
      </c>
      <c r="B104" t="s">
        <v>26</v>
      </c>
      <c r="C104">
        <v>25</v>
      </c>
      <c r="D104">
        <v>0.16</v>
      </c>
      <c r="E104">
        <v>0.20799999999999999</v>
      </c>
      <c r="F104">
        <v>0.24</v>
      </c>
      <c r="G104">
        <v>50</v>
      </c>
      <c r="H104">
        <v>8</v>
      </c>
      <c r="I104">
        <v>1</v>
      </c>
      <c r="J104">
        <v>0</v>
      </c>
      <c r="K104">
        <v>1</v>
      </c>
      <c r="L104">
        <v>6</v>
      </c>
      <c r="M104">
        <v>3</v>
      </c>
      <c r="N104">
        <v>0</v>
      </c>
      <c r="O104">
        <v>3</v>
      </c>
      <c r="P104">
        <v>14</v>
      </c>
      <c r="Q104">
        <v>2</v>
      </c>
      <c r="R104">
        <v>0</v>
      </c>
      <c r="T104">
        <f t="shared" si="9"/>
        <v>1.6879999999999999</v>
      </c>
      <c r="V104">
        <f t="shared" si="10"/>
        <v>3.3759999999999999</v>
      </c>
      <c r="AB104">
        <f t="shared" si="11"/>
        <v>10</v>
      </c>
      <c r="AC104">
        <f t="shared" si="12"/>
        <v>53</v>
      </c>
      <c r="AD104" s="2">
        <f t="shared" si="13"/>
        <v>0.26415094339622641</v>
      </c>
      <c r="AE104" s="2">
        <f t="shared" si="14"/>
        <v>5.6603773584905662E-2</v>
      </c>
      <c r="AF104" s="3">
        <f t="shared" si="15"/>
        <v>79.245283018867923</v>
      </c>
      <c r="AG104">
        <f t="shared" si="16"/>
        <v>79.999999999999986</v>
      </c>
      <c r="AH104">
        <f t="shared" si="17"/>
        <v>16.88</v>
      </c>
    </row>
    <row r="105" spans="1:34" x14ac:dyDescent="0.25">
      <c r="A105" t="s">
        <v>130</v>
      </c>
      <c r="B105" t="s">
        <v>33</v>
      </c>
      <c r="C105">
        <v>25</v>
      </c>
      <c r="D105">
        <v>0.188</v>
      </c>
      <c r="E105">
        <v>0.23499999999999999</v>
      </c>
      <c r="F105">
        <v>0.25</v>
      </c>
      <c r="G105">
        <v>16</v>
      </c>
      <c r="H105">
        <v>3</v>
      </c>
      <c r="I105">
        <v>1</v>
      </c>
      <c r="J105">
        <v>0</v>
      </c>
      <c r="K105">
        <v>0</v>
      </c>
      <c r="L105">
        <v>0</v>
      </c>
      <c r="M105">
        <v>2</v>
      </c>
      <c r="N105">
        <v>0</v>
      </c>
      <c r="O105">
        <v>1</v>
      </c>
      <c r="P105">
        <v>7</v>
      </c>
      <c r="Q105">
        <v>1</v>
      </c>
      <c r="R105">
        <v>0</v>
      </c>
      <c r="T105">
        <f t="shared" si="9"/>
        <v>0.25847999999999999</v>
      </c>
      <c r="V105">
        <f t="shared" si="10"/>
        <v>0.51695999999999998</v>
      </c>
      <c r="AB105">
        <f t="shared" si="11"/>
        <v>6</v>
      </c>
      <c r="AC105">
        <f t="shared" si="12"/>
        <v>17</v>
      </c>
      <c r="AD105" s="2">
        <f t="shared" si="13"/>
        <v>0.41176470588235292</v>
      </c>
      <c r="AE105" s="2">
        <f t="shared" si="14"/>
        <v>5.8823529411764705E-2</v>
      </c>
      <c r="AF105" s="3">
        <f t="shared" si="15"/>
        <v>64.705882352941188</v>
      </c>
      <c r="AG105">
        <f t="shared" si="16"/>
        <v>62</v>
      </c>
      <c r="AH105">
        <f t="shared" si="17"/>
        <v>2.5848</v>
      </c>
    </row>
    <row r="106" spans="1:34" x14ac:dyDescent="0.25">
      <c r="A106" t="s">
        <v>131</v>
      </c>
      <c r="B106" t="s">
        <v>26</v>
      </c>
      <c r="C106">
        <v>26</v>
      </c>
      <c r="D106">
        <v>0.106</v>
      </c>
      <c r="E106">
        <v>0.13900000000000001</v>
      </c>
      <c r="F106">
        <v>0.121</v>
      </c>
      <c r="G106">
        <v>66</v>
      </c>
      <c r="H106">
        <v>7</v>
      </c>
      <c r="I106">
        <v>1</v>
      </c>
      <c r="J106">
        <v>0</v>
      </c>
      <c r="K106">
        <v>0</v>
      </c>
      <c r="L106">
        <v>7</v>
      </c>
      <c r="M106">
        <v>8</v>
      </c>
      <c r="N106">
        <v>0</v>
      </c>
      <c r="O106">
        <v>3</v>
      </c>
      <c r="P106">
        <v>16</v>
      </c>
      <c r="Q106">
        <v>2</v>
      </c>
      <c r="R106">
        <v>0</v>
      </c>
      <c r="T106">
        <f t="shared" si="9"/>
        <v>1.2759615384615386</v>
      </c>
      <c r="V106">
        <f t="shared" si="10"/>
        <v>2.5519230769230772</v>
      </c>
      <c r="AB106">
        <f t="shared" si="11"/>
        <v>10</v>
      </c>
      <c r="AC106">
        <f t="shared" si="12"/>
        <v>69</v>
      </c>
      <c r="AD106" s="2">
        <f t="shared" si="13"/>
        <v>0.2318840579710145</v>
      </c>
      <c r="AE106" s="2">
        <f t="shared" si="14"/>
        <v>4.3478260869565216E-2</v>
      </c>
      <c r="AF106" s="3">
        <f t="shared" si="15"/>
        <v>81.159420289855063</v>
      </c>
      <c r="AG106">
        <f t="shared" si="16"/>
        <v>15</v>
      </c>
      <c r="AH106">
        <f t="shared" si="17"/>
        <v>12.759615384615385</v>
      </c>
    </row>
    <row r="107" spans="1:34" x14ac:dyDescent="0.25">
      <c r="A107" t="s">
        <v>132</v>
      </c>
      <c r="B107" t="s">
        <v>48</v>
      </c>
      <c r="C107">
        <v>26</v>
      </c>
      <c r="D107">
        <v>0.11799999999999999</v>
      </c>
      <c r="E107">
        <v>0.16700000000000001</v>
      </c>
      <c r="F107">
        <v>0.17599999999999999</v>
      </c>
      <c r="G107">
        <v>17</v>
      </c>
      <c r="H107">
        <v>2</v>
      </c>
      <c r="I107">
        <v>1</v>
      </c>
      <c r="J107">
        <v>0</v>
      </c>
      <c r="K107">
        <v>0</v>
      </c>
      <c r="L107">
        <v>0</v>
      </c>
      <c r="M107">
        <v>1</v>
      </c>
      <c r="N107">
        <v>0</v>
      </c>
      <c r="O107">
        <v>1</v>
      </c>
      <c r="P107">
        <v>5</v>
      </c>
      <c r="Q107">
        <v>1</v>
      </c>
      <c r="R107">
        <v>0</v>
      </c>
      <c r="T107">
        <f t="shared" si="9"/>
        <v>9.4E-2</v>
      </c>
      <c r="V107">
        <f t="shared" si="10"/>
        <v>0.188</v>
      </c>
      <c r="AB107">
        <f t="shared" si="11"/>
        <v>2</v>
      </c>
      <c r="AC107">
        <f t="shared" si="12"/>
        <v>18</v>
      </c>
      <c r="AD107" s="2">
        <f t="shared" si="13"/>
        <v>0.27777777777777779</v>
      </c>
      <c r="AE107" s="2">
        <f t="shared" si="14"/>
        <v>5.5555555555555552E-2</v>
      </c>
      <c r="AF107" s="3">
        <f t="shared" si="15"/>
        <v>77.777777777777771</v>
      </c>
      <c r="AG107">
        <f t="shared" si="16"/>
        <v>57.999999999999993</v>
      </c>
      <c r="AH107">
        <f t="shared" si="17"/>
        <v>0.94</v>
      </c>
    </row>
    <row r="108" spans="1:34" x14ac:dyDescent="0.25">
      <c r="A108" t="s">
        <v>133</v>
      </c>
      <c r="B108" t="s">
        <v>60</v>
      </c>
      <c r="C108">
        <v>26</v>
      </c>
      <c r="D108">
        <v>0</v>
      </c>
      <c r="E108">
        <v>0.16700000000000001</v>
      </c>
      <c r="F108">
        <v>0</v>
      </c>
      <c r="G108">
        <v>5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1</v>
      </c>
      <c r="P108">
        <v>2</v>
      </c>
      <c r="Q108">
        <v>1</v>
      </c>
      <c r="R108">
        <v>0</v>
      </c>
      <c r="T108">
        <f t="shared" si="9"/>
        <v>7.6923076923076927E-2</v>
      </c>
      <c r="V108">
        <f t="shared" si="10"/>
        <v>0.15384615384615385</v>
      </c>
      <c r="AB108">
        <f t="shared" si="11"/>
        <v>8</v>
      </c>
      <c r="AC108">
        <f t="shared" si="12"/>
        <v>6</v>
      </c>
      <c r="AD108" s="2">
        <f t="shared" si="13"/>
        <v>0.33333333333333331</v>
      </c>
      <c r="AE108" s="2">
        <f t="shared" si="14"/>
        <v>0.16666666666666666</v>
      </c>
      <c r="AF108" s="3">
        <f t="shared" si="15"/>
        <v>83.333333333333343</v>
      </c>
      <c r="AG108">
        <f t="shared" si="16"/>
        <v>0</v>
      </c>
      <c r="AH108">
        <f t="shared" si="17"/>
        <v>0.76923076923076927</v>
      </c>
    </row>
    <row r="109" spans="1:34" x14ac:dyDescent="0.25">
      <c r="A109" t="s">
        <v>134</v>
      </c>
      <c r="B109" t="s">
        <v>21</v>
      </c>
      <c r="C109">
        <v>26</v>
      </c>
      <c r="D109">
        <v>0</v>
      </c>
      <c r="E109">
        <v>0.222</v>
      </c>
      <c r="F109">
        <v>0</v>
      </c>
      <c r="G109">
        <v>21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6</v>
      </c>
      <c r="P109">
        <v>11</v>
      </c>
      <c r="Q109">
        <v>0</v>
      </c>
      <c r="R109">
        <v>0</v>
      </c>
      <c r="T109">
        <f t="shared" si="9"/>
        <v>4.230769230769231E-2</v>
      </c>
      <c r="V109">
        <f t="shared" si="10"/>
        <v>8.461538461538462E-2</v>
      </c>
      <c r="AB109">
        <f t="shared" si="11"/>
        <v>1</v>
      </c>
      <c r="AC109">
        <f t="shared" si="12"/>
        <v>27</v>
      </c>
      <c r="AD109" s="2">
        <f t="shared" si="13"/>
        <v>0.40740740740740738</v>
      </c>
      <c r="AE109" s="2">
        <f t="shared" si="14"/>
        <v>0.22222222222222221</v>
      </c>
      <c r="AF109" s="3">
        <f t="shared" si="15"/>
        <v>81.481481481481481</v>
      </c>
      <c r="AG109">
        <f t="shared" si="16"/>
        <v>0</v>
      </c>
      <c r="AH109">
        <f t="shared" si="17"/>
        <v>0.42307692307692307</v>
      </c>
    </row>
    <row r="110" spans="1:34" x14ac:dyDescent="0.25">
      <c r="A110" t="s">
        <v>135</v>
      </c>
      <c r="B110" t="s">
        <v>48</v>
      </c>
      <c r="C110">
        <v>26</v>
      </c>
      <c r="D110">
        <v>0.20300000000000001</v>
      </c>
      <c r="E110">
        <v>0.27800000000000002</v>
      </c>
      <c r="F110">
        <v>0.33600000000000002</v>
      </c>
      <c r="G110">
        <v>217</v>
      </c>
      <c r="H110">
        <v>44</v>
      </c>
      <c r="I110">
        <v>9</v>
      </c>
      <c r="J110">
        <v>1</v>
      </c>
      <c r="K110">
        <v>6</v>
      </c>
      <c r="L110">
        <v>17</v>
      </c>
      <c r="M110">
        <v>20</v>
      </c>
      <c r="N110">
        <v>2</v>
      </c>
      <c r="O110">
        <v>21</v>
      </c>
      <c r="P110">
        <v>54</v>
      </c>
      <c r="Q110">
        <v>3</v>
      </c>
      <c r="R110">
        <v>3</v>
      </c>
      <c r="T110">
        <f t="shared" si="9"/>
        <v>2.0315384615384615</v>
      </c>
      <c r="V110">
        <f t="shared" si="10"/>
        <v>4.063076923076923</v>
      </c>
      <c r="AB110">
        <f t="shared" si="11"/>
        <v>2</v>
      </c>
      <c r="AC110">
        <f t="shared" si="12"/>
        <v>240</v>
      </c>
      <c r="AD110" s="2">
        <f t="shared" si="13"/>
        <v>0.22500000000000001</v>
      </c>
      <c r="AE110" s="2">
        <f t="shared" si="14"/>
        <v>9.583333333333334E-2</v>
      </c>
      <c r="AF110" s="3">
        <f t="shared" si="15"/>
        <v>87.083333333333343</v>
      </c>
      <c r="AG110">
        <f t="shared" si="16"/>
        <v>133</v>
      </c>
      <c r="AH110">
        <f t="shared" si="17"/>
        <v>20.315384615384616</v>
      </c>
    </row>
    <row r="111" spans="1:34" x14ac:dyDescent="0.25">
      <c r="A111" t="s">
        <v>136</v>
      </c>
      <c r="B111" t="s">
        <v>29</v>
      </c>
      <c r="C111">
        <v>26</v>
      </c>
      <c r="D111">
        <v>0.182</v>
      </c>
      <c r="E111">
        <v>0.247</v>
      </c>
      <c r="F111">
        <v>0.25800000000000001</v>
      </c>
      <c r="G111">
        <v>66</v>
      </c>
      <c r="H111">
        <v>12</v>
      </c>
      <c r="I111">
        <v>2</v>
      </c>
      <c r="J111">
        <v>0</v>
      </c>
      <c r="K111">
        <v>1</v>
      </c>
      <c r="L111">
        <v>4</v>
      </c>
      <c r="M111">
        <v>5</v>
      </c>
      <c r="N111">
        <v>1</v>
      </c>
      <c r="O111">
        <v>5</v>
      </c>
      <c r="P111">
        <v>22</v>
      </c>
      <c r="Q111">
        <v>0</v>
      </c>
      <c r="R111">
        <v>0</v>
      </c>
      <c r="T111">
        <f t="shared" si="9"/>
        <v>0.42584615384615382</v>
      </c>
      <c r="V111">
        <f t="shared" si="10"/>
        <v>0.85169230769230764</v>
      </c>
      <c r="AB111">
        <f t="shared" si="11"/>
        <v>2</v>
      </c>
      <c r="AC111">
        <f t="shared" si="12"/>
        <v>72</v>
      </c>
      <c r="AD111" s="2">
        <f t="shared" si="13"/>
        <v>0.30555555555555558</v>
      </c>
      <c r="AE111" s="2">
        <f t="shared" si="14"/>
        <v>8.3333333333333329E-2</v>
      </c>
      <c r="AF111" s="3">
        <f t="shared" si="15"/>
        <v>77.777777777777771</v>
      </c>
      <c r="AG111">
        <f t="shared" si="16"/>
        <v>76.000000000000014</v>
      </c>
      <c r="AH111">
        <f t="shared" si="17"/>
        <v>4.2584615384615381</v>
      </c>
    </row>
    <row r="112" spans="1:34" x14ac:dyDescent="0.25">
      <c r="A112" t="s">
        <v>137</v>
      </c>
      <c r="B112" t="s">
        <v>60</v>
      </c>
      <c r="C112">
        <v>26</v>
      </c>
      <c r="D112">
        <v>0.33300000000000002</v>
      </c>
      <c r="E112">
        <v>0.33300000000000002</v>
      </c>
      <c r="F112">
        <v>0.33300000000000002</v>
      </c>
      <c r="G112">
        <v>6</v>
      </c>
      <c r="H112">
        <v>2</v>
      </c>
      <c r="I112">
        <v>0</v>
      </c>
      <c r="J112">
        <v>0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T112">
        <f t="shared" si="9"/>
        <v>7.6923076923076927E-2</v>
      </c>
      <c r="V112">
        <f t="shared" si="10"/>
        <v>0.15384615384615385</v>
      </c>
      <c r="AB112">
        <f t="shared" si="11"/>
        <v>8</v>
      </c>
      <c r="AC112">
        <f t="shared" si="12"/>
        <v>6</v>
      </c>
      <c r="AD112" s="2">
        <f t="shared" si="13"/>
        <v>0.16666666666666666</v>
      </c>
      <c r="AE112" s="2">
        <f t="shared" si="14"/>
        <v>0</v>
      </c>
      <c r="AF112" s="3">
        <f t="shared" si="15"/>
        <v>83.333333333333343</v>
      </c>
      <c r="AG112">
        <f t="shared" si="16"/>
        <v>0</v>
      </c>
      <c r="AH112">
        <f t="shared" si="17"/>
        <v>0.76923076923076927</v>
      </c>
    </row>
    <row r="113" spans="1:34" x14ac:dyDescent="0.25">
      <c r="A113" t="s">
        <v>138</v>
      </c>
      <c r="B113" t="s">
        <v>60</v>
      </c>
      <c r="C113">
        <v>26</v>
      </c>
      <c r="D113">
        <v>0.33300000000000002</v>
      </c>
      <c r="E113">
        <v>0.35599999999999998</v>
      </c>
      <c r="F113">
        <v>0.45600000000000002</v>
      </c>
      <c r="G113">
        <v>57</v>
      </c>
      <c r="H113">
        <v>19</v>
      </c>
      <c r="I113">
        <v>1</v>
      </c>
      <c r="J113">
        <v>3</v>
      </c>
      <c r="K113">
        <v>0</v>
      </c>
      <c r="L113">
        <v>5</v>
      </c>
      <c r="M113">
        <v>4</v>
      </c>
      <c r="N113">
        <v>0</v>
      </c>
      <c r="O113">
        <v>2</v>
      </c>
      <c r="P113">
        <v>13</v>
      </c>
      <c r="Q113">
        <v>6</v>
      </c>
      <c r="R113">
        <v>0</v>
      </c>
      <c r="T113">
        <f t="shared" si="9"/>
        <v>1.8549230769230767</v>
      </c>
      <c r="V113">
        <f t="shared" si="10"/>
        <v>3.7098461538461533</v>
      </c>
      <c r="AB113">
        <f t="shared" si="11"/>
        <v>8</v>
      </c>
      <c r="AC113">
        <f t="shared" si="12"/>
        <v>59</v>
      </c>
      <c r="AD113" s="2">
        <f t="shared" si="13"/>
        <v>0.22033898305084745</v>
      </c>
      <c r="AE113" s="2">
        <f t="shared" si="14"/>
        <v>3.3898305084745763E-2</v>
      </c>
      <c r="AF113" s="3">
        <f t="shared" si="15"/>
        <v>81.355932203389827</v>
      </c>
      <c r="AG113">
        <f t="shared" si="16"/>
        <v>123</v>
      </c>
      <c r="AH113">
        <f t="shared" si="17"/>
        <v>18.549230769230768</v>
      </c>
    </row>
    <row r="114" spans="1:34" x14ac:dyDescent="0.25">
      <c r="A114" t="s">
        <v>139</v>
      </c>
      <c r="B114" t="s">
        <v>23</v>
      </c>
      <c r="C114">
        <v>26</v>
      </c>
      <c r="D114">
        <v>0.15</v>
      </c>
      <c r="E114">
        <v>0.32</v>
      </c>
      <c r="F114">
        <v>0.23300000000000001</v>
      </c>
      <c r="G114">
        <v>60</v>
      </c>
      <c r="H114">
        <v>9</v>
      </c>
      <c r="I114">
        <v>2</v>
      </c>
      <c r="J114">
        <v>0</v>
      </c>
      <c r="K114">
        <v>1</v>
      </c>
      <c r="L114">
        <v>10</v>
      </c>
      <c r="M114">
        <v>7</v>
      </c>
      <c r="N114">
        <v>7</v>
      </c>
      <c r="O114">
        <v>8</v>
      </c>
      <c r="P114">
        <v>25</v>
      </c>
      <c r="Q114">
        <v>1</v>
      </c>
      <c r="R114">
        <v>1</v>
      </c>
      <c r="T114">
        <f t="shared" si="9"/>
        <v>0.97884615384615403</v>
      </c>
      <c r="V114">
        <f t="shared" si="10"/>
        <v>1.9576923076923081</v>
      </c>
      <c r="AB114">
        <f t="shared" si="11"/>
        <v>4</v>
      </c>
      <c r="AC114">
        <f t="shared" si="12"/>
        <v>75</v>
      </c>
      <c r="AD114" s="2">
        <f t="shared" si="13"/>
        <v>0.33333333333333331</v>
      </c>
      <c r="AE114" s="2">
        <f t="shared" si="14"/>
        <v>0.2</v>
      </c>
      <c r="AF114" s="3">
        <f t="shared" si="15"/>
        <v>86.666666666666671</v>
      </c>
      <c r="AG114">
        <f t="shared" si="16"/>
        <v>83.000000000000014</v>
      </c>
      <c r="AH114">
        <f t="shared" si="17"/>
        <v>9.7884615384615401</v>
      </c>
    </row>
    <row r="115" spans="1:34" x14ac:dyDescent="0.25">
      <c r="A115" t="s">
        <v>140</v>
      </c>
      <c r="B115" t="s">
        <v>26</v>
      </c>
      <c r="C115">
        <v>26</v>
      </c>
      <c r="D115">
        <v>0.224</v>
      </c>
      <c r="E115">
        <v>0.26600000000000001</v>
      </c>
      <c r="F115">
        <v>0.29299999999999998</v>
      </c>
      <c r="G115">
        <v>205</v>
      </c>
      <c r="H115">
        <v>46</v>
      </c>
      <c r="I115">
        <v>14</v>
      </c>
      <c r="J115">
        <v>0</v>
      </c>
      <c r="K115">
        <v>0</v>
      </c>
      <c r="L115">
        <v>16</v>
      </c>
      <c r="M115">
        <v>14</v>
      </c>
      <c r="N115">
        <v>4</v>
      </c>
      <c r="O115">
        <v>8</v>
      </c>
      <c r="P115">
        <v>55</v>
      </c>
      <c r="Q115">
        <v>11</v>
      </c>
      <c r="R115">
        <v>2</v>
      </c>
      <c r="T115">
        <f t="shared" si="9"/>
        <v>6.2255769230769218</v>
      </c>
      <c r="V115">
        <f t="shared" si="10"/>
        <v>12.451153846153844</v>
      </c>
      <c r="AB115">
        <f t="shared" si="11"/>
        <v>10</v>
      </c>
      <c r="AC115">
        <f t="shared" si="12"/>
        <v>217</v>
      </c>
      <c r="AD115" s="2">
        <f t="shared" si="13"/>
        <v>0.25345622119815669</v>
      </c>
      <c r="AE115" s="2">
        <f t="shared" si="14"/>
        <v>5.5299539170506916E-2</v>
      </c>
      <c r="AF115" s="3">
        <f t="shared" si="15"/>
        <v>80.184331797235018</v>
      </c>
      <c r="AG115">
        <f t="shared" si="16"/>
        <v>68.999999999999972</v>
      </c>
      <c r="AH115">
        <f t="shared" si="17"/>
        <v>62.255769230769218</v>
      </c>
    </row>
    <row r="116" spans="1:34" x14ac:dyDescent="0.25">
      <c r="A116" t="s">
        <v>141</v>
      </c>
      <c r="B116" t="s">
        <v>29</v>
      </c>
      <c r="C116">
        <v>26</v>
      </c>
      <c r="D116">
        <v>0.13400000000000001</v>
      </c>
      <c r="E116">
        <v>0.19400000000000001</v>
      </c>
      <c r="F116">
        <v>0.32800000000000001</v>
      </c>
      <c r="G116">
        <v>67</v>
      </c>
      <c r="H116">
        <v>9</v>
      </c>
      <c r="I116">
        <v>1</v>
      </c>
      <c r="J116">
        <v>0</v>
      </c>
      <c r="K116">
        <v>4</v>
      </c>
      <c r="L116">
        <v>6</v>
      </c>
      <c r="M116">
        <v>8</v>
      </c>
      <c r="N116">
        <v>0</v>
      </c>
      <c r="O116">
        <v>5</v>
      </c>
      <c r="P116">
        <v>30</v>
      </c>
      <c r="Q116">
        <v>1</v>
      </c>
      <c r="R116">
        <v>0</v>
      </c>
      <c r="T116">
        <f t="shared" si="9"/>
        <v>0.71799999999999986</v>
      </c>
      <c r="V116">
        <f t="shared" si="10"/>
        <v>1.4359999999999997</v>
      </c>
      <c r="AB116">
        <f t="shared" si="11"/>
        <v>2</v>
      </c>
      <c r="AC116">
        <f t="shared" si="12"/>
        <v>72</v>
      </c>
      <c r="AD116" s="2">
        <f t="shared" si="13"/>
        <v>0.41666666666666669</v>
      </c>
      <c r="AE116" s="2">
        <f t="shared" si="14"/>
        <v>6.9444444444444448E-2</v>
      </c>
      <c r="AF116" s="3">
        <f t="shared" si="15"/>
        <v>65.277777777777771</v>
      </c>
      <c r="AG116">
        <f t="shared" si="16"/>
        <v>194</v>
      </c>
      <c r="AH116">
        <f t="shared" si="17"/>
        <v>7.1799999999999988</v>
      </c>
    </row>
    <row r="117" spans="1:34" x14ac:dyDescent="0.25">
      <c r="A117" t="s">
        <v>142</v>
      </c>
      <c r="B117" t="s">
        <v>31</v>
      </c>
      <c r="C117">
        <v>26</v>
      </c>
      <c r="D117">
        <v>0.28299999999999997</v>
      </c>
      <c r="E117">
        <v>0.377</v>
      </c>
      <c r="F117">
        <v>0.41699999999999998</v>
      </c>
      <c r="G117">
        <v>60</v>
      </c>
      <c r="H117">
        <v>17</v>
      </c>
      <c r="I117">
        <v>5</v>
      </c>
      <c r="J117">
        <v>0</v>
      </c>
      <c r="K117">
        <v>1</v>
      </c>
      <c r="L117">
        <v>5</v>
      </c>
      <c r="M117">
        <v>9</v>
      </c>
      <c r="N117">
        <v>1</v>
      </c>
      <c r="O117">
        <v>8</v>
      </c>
      <c r="P117">
        <v>10</v>
      </c>
      <c r="Q117">
        <v>2</v>
      </c>
      <c r="R117">
        <v>2</v>
      </c>
      <c r="T117">
        <f t="shared" si="9"/>
        <v>2.4686153846153842</v>
      </c>
      <c r="V117">
        <f t="shared" si="10"/>
        <v>4.9372307692307684</v>
      </c>
      <c r="AB117">
        <f t="shared" si="11"/>
        <v>8</v>
      </c>
      <c r="AC117">
        <f t="shared" si="12"/>
        <v>69</v>
      </c>
      <c r="AD117" s="2">
        <f t="shared" si="13"/>
        <v>0.14492753623188406</v>
      </c>
      <c r="AE117" s="2">
        <f t="shared" si="14"/>
        <v>0.13043478260869565</v>
      </c>
      <c r="AF117" s="3">
        <f t="shared" si="15"/>
        <v>98.550724637681157</v>
      </c>
      <c r="AG117">
        <f t="shared" si="16"/>
        <v>134</v>
      </c>
      <c r="AH117">
        <f t="shared" si="17"/>
        <v>24.686153846153843</v>
      </c>
    </row>
    <row r="118" spans="1:34" x14ac:dyDescent="0.25">
      <c r="A118" t="s">
        <v>143</v>
      </c>
      <c r="B118" t="s">
        <v>29</v>
      </c>
      <c r="C118">
        <v>26</v>
      </c>
      <c r="D118">
        <v>0.111</v>
      </c>
      <c r="E118">
        <v>0.111</v>
      </c>
      <c r="F118">
        <v>0.222</v>
      </c>
      <c r="G118">
        <v>9</v>
      </c>
      <c r="H118">
        <v>1</v>
      </c>
      <c r="I118">
        <v>1</v>
      </c>
      <c r="J118">
        <v>0</v>
      </c>
      <c r="K118">
        <v>0</v>
      </c>
      <c r="L118">
        <v>0</v>
      </c>
      <c r="M118">
        <v>2</v>
      </c>
      <c r="N118">
        <v>0</v>
      </c>
      <c r="O118">
        <v>0</v>
      </c>
      <c r="P118">
        <v>3</v>
      </c>
      <c r="Q118">
        <v>0</v>
      </c>
      <c r="R118">
        <v>0</v>
      </c>
      <c r="T118">
        <f t="shared" si="9"/>
        <v>6.1500000000000013E-2</v>
      </c>
      <c r="V118">
        <f t="shared" si="10"/>
        <v>0.12300000000000003</v>
      </c>
      <c r="AB118">
        <f t="shared" si="11"/>
        <v>2</v>
      </c>
      <c r="AC118">
        <f t="shared" si="12"/>
        <v>9</v>
      </c>
      <c r="AD118" s="2">
        <f t="shared" si="13"/>
        <v>0.33333333333333331</v>
      </c>
      <c r="AE118" s="2">
        <f t="shared" si="14"/>
        <v>0</v>
      </c>
      <c r="AF118" s="3">
        <f t="shared" si="15"/>
        <v>66.666666666666671</v>
      </c>
      <c r="AG118">
        <f t="shared" si="16"/>
        <v>111</v>
      </c>
      <c r="AH118">
        <f t="shared" si="17"/>
        <v>0.6150000000000001</v>
      </c>
    </row>
    <row r="119" spans="1:34" x14ac:dyDescent="0.25">
      <c r="A119" t="s">
        <v>144</v>
      </c>
      <c r="B119" t="s">
        <v>19</v>
      </c>
      <c r="C119">
        <v>26</v>
      </c>
      <c r="D119">
        <v>0.21299999999999999</v>
      </c>
      <c r="E119">
        <v>0.26700000000000002</v>
      </c>
      <c r="F119">
        <v>0.32400000000000001</v>
      </c>
      <c r="G119">
        <v>108</v>
      </c>
      <c r="H119">
        <v>23</v>
      </c>
      <c r="I119">
        <v>5</v>
      </c>
      <c r="J119">
        <v>2</v>
      </c>
      <c r="K119">
        <v>1</v>
      </c>
      <c r="L119">
        <v>11</v>
      </c>
      <c r="M119">
        <v>16</v>
      </c>
      <c r="N119">
        <v>2</v>
      </c>
      <c r="O119">
        <v>7</v>
      </c>
      <c r="P119">
        <v>36</v>
      </c>
      <c r="Q119">
        <v>1</v>
      </c>
      <c r="R119">
        <v>0</v>
      </c>
      <c r="T119">
        <f t="shared" si="9"/>
        <v>4.2282692307692304</v>
      </c>
      <c r="V119">
        <f t="shared" si="10"/>
        <v>8.4565384615384609</v>
      </c>
      <c r="AB119">
        <f t="shared" si="11"/>
        <v>10</v>
      </c>
      <c r="AC119">
        <f t="shared" si="12"/>
        <v>117</v>
      </c>
      <c r="AD119" s="2">
        <f t="shared" si="13"/>
        <v>0.30769230769230771</v>
      </c>
      <c r="AE119" s="2">
        <f t="shared" si="14"/>
        <v>7.6923076923076927E-2</v>
      </c>
      <c r="AF119" s="3">
        <f t="shared" si="15"/>
        <v>76.92307692307692</v>
      </c>
      <c r="AG119">
        <f t="shared" si="16"/>
        <v>111.00000000000001</v>
      </c>
      <c r="AH119">
        <f t="shared" si="17"/>
        <v>42.282692307692301</v>
      </c>
    </row>
    <row r="120" spans="1:34" x14ac:dyDescent="0.25">
      <c r="A120" t="s">
        <v>145</v>
      </c>
      <c r="B120" t="s">
        <v>19</v>
      </c>
      <c r="C120">
        <v>26</v>
      </c>
      <c r="D120">
        <v>0.247</v>
      </c>
      <c r="E120">
        <v>0.34599999999999997</v>
      </c>
      <c r="F120">
        <v>0.34599999999999997</v>
      </c>
      <c r="G120">
        <v>332</v>
      </c>
      <c r="H120">
        <v>82</v>
      </c>
      <c r="I120">
        <v>13</v>
      </c>
      <c r="J120">
        <v>1</v>
      </c>
      <c r="K120">
        <v>6</v>
      </c>
      <c r="L120">
        <v>37</v>
      </c>
      <c r="M120">
        <v>45</v>
      </c>
      <c r="N120">
        <v>9</v>
      </c>
      <c r="O120">
        <v>43</v>
      </c>
      <c r="P120">
        <v>56</v>
      </c>
      <c r="Q120">
        <v>2</v>
      </c>
      <c r="R120">
        <v>0</v>
      </c>
      <c r="T120">
        <f t="shared" si="9"/>
        <v>14.618461538461537</v>
      </c>
      <c r="V120">
        <f t="shared" si="10"/>
        <v>29.236923076923073</v>
      </c>
      <c r="AB120">
        <f t="shared" si="11"/>
        <v>10</v>
      </c>
      <c r="AC120">
        <f t="shared" si="12"/>
        <v>384</v>
      </c>
      <c r="AD120" s="2">
        <f t="shared" si="13"/>
        <v>0.14583333333333334</v>
      </c>
      <c r="AE120" s="2">
        <f t="shared" si="14"/>
        <v>0.13541666666666666</v>
      </c>
      <c r="AF120" s="3">
        <f t="shared" si="15"/>
        <v>98.958333333333329</v>
      </c>
      <c r="AG120">
        <f t="shared" si="16"/>
        <v>98.999999999999972</v>
      </c>
      <c r="AH120">
        <f t="shared" si="17"/>
        <v>146.18461538461537</v>
      </c>
    </row>
    <row r="121" spans="1:34" x14ac:dyDescent="0.25">
      <c r="A121" t="s">
        <v>146</v>
      </c>
      <c r="B121" t="s">
        <v>29</v>
      </c>
      <c r="C121">
        <v>26</v>
      </c>
      <c r="D121">
        <v>0.1</v>
      </c>
      <c r="E121">
        <v>0.217</v>
      </c>
      <c r="F121">
        <v>0.1</v>
      </c>
      <c r="G121">
        <v>20</v>
      </c>
      <c r="H121">
        <v>2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3</v>
      </c>
      <c r="P121">
        <v>10</v>
      </c>
      <c r="Q121">
        <v>0</v>
      </c>
      <c r="R121">
        <v>0</v>
      </c>
      <c r="T121">
        <f t="shared" si="9"/>
        <v>6.1538461538461542E-2</v>
      </c>
      <c r="V121">
        <f t="shared" si="10"/>
        <v>0.12307692307692308</v>
      </c>
      <c r="AB121">
        <f t="shared" si="11"/>
        <v>2</v>
      </c>
      <c r="AC121">
        <f t="shared" si="12"/>
        <v>23</v>
      </c>
      <c r="AD121" s="2">
        <f t="shared" si="13"/>
        <v>0.43478260869565216</v>
      </c>
      <c r="AE121" s="2">
        <f t="shared" si="14"/>
        <v>0.13043478260869565</v>
      </c>
      <c r="AF121" s="3">
        <f t="shared" si="15"/>
        <v>69.565217391304344</v>
      </c>
      <c r="AG121">
        <f t="shared" si="16"/>
        <v>0</v>
      </c>
      <c r="AH121">
        <f t="shared" si="17"/>
        <v>0.61538461538461542</v>
      </c>
    </row>
    <row r="122" spans="1:34" x14ac:dyDescent="0.25">
      <c r="A122" t="s">
        <v>147</v>
      </c>
      <c r="B122" t="s">
        <v>33</v>
      </c>
      <c r="C122">
        <v>26</v>
      </c>
      <c r="D122">
        <v>6.9000000000000006E-2</v>
      </c>
      <c r="E122">
        <v>0.156</v>
      </c>
      <c r="F122">
        <v>0.10299999999999999</v>
      </c>
      <c r="G122">
        <v>29</v>
      </c>
      <c r="H122">
        <v>2</v>
      </c>
      <c r="I122">
        <v>1</v>
      </c>
      <c r="J122">
        <v>0</v>
      </c>
      <c r="K122">
        <v>0</v>
      </c>
      <c r="L122">
        <v>2</v>
      </c>
      <c r="M122">
        <v>1</v>
      </c>
      <c r="N122">
        <v>1</v>
      </c>
      <c r="O122">
        <v>2</v>
      </c>
      <c r="P122">
        <v>8</v>
      </c>
      <c r="Q122">
        <v>0</v>
      </c>
      <c r="R122">
        <v>0</v>
      </c>
      <c r="T122">
        <f t="shared" si="9"/>
        <v>0.43707692307692303</v>
      </c>
      <c r="V122">
        <f t="shared" si="10"/>
        <v>0.87415384615384606</v>
      </c>
      <c r="AB122">
        <f t="shared" si="11"/>
        <v>6</v>
      </c>
      <c r="AC122">
        <f t="shared" si="12"/>
        <v>32</v>
      </c>
      <c r="AD122" s="2">
        <f t="shared" si="13"/>
        <v>0.25</v>
      </c>
      <c r="AE122" s="2">
        <f t="shared" si="14"/>
        <v>9.375E-2</v>
      </c>
      <c r="AF122" s="3">
        <f t="shared" si="15"/>
        <v>84.375</v>
      </c>
      <c r="AG122">
        <f t="shared" si="16"/>
        <v>33.999999999999986</v>
      </c>
      <c r="AH122">
        <f t="shared" si="17"/>
        <v>4.3707692307692305</v>
      </c>
    </row>
    <row r="123" spans="1:34" x14ac:dyDescent="0.25">
      <c r="A123" t="s">
        <v>148</v>
      </c>
      <c r="B123" t="s">
        <v>31</v>
      </c>
      <c r="C123">
        <v>26</v>
      </c>
      <c r="D123">
        <v>0.28000000000000003</v>
      </c>
      <c r="E123">
        <v>0.314</v>
      </c>
      <c r="F123">
        <v>0.38500000000000001</v>
      </c>
      <c r="G123">
        <v>161</v>
      </c>
      <c r="H123">
        <v>45</v>
      </c>
      <c r="I123">
        <v>6</v>
      </c>
      <c r="J123">
        <v>1</v>
      </c>
      <c r="K123">
        <v>3</v>
      </c>
      <c r="L123">
        <v>19</v>
      </c>
      <c r="M123">
        <v>17</v>
      </c>
      <c r="N123">
        <v>1</v>
      </c>
      <c r="O123">
        <v>7</v>
      </c>
      <c r="P123">
        <v>52</v>
      </c>
      <c r="Q123">
        <v>13</v>
      </c>
      <c r="R123">
        <v>1</v>
      </c>
      <c r="T123">
        <f t="shared" si="9"/>
        <v>4.653076923076922</v>
      </c>
      <c r="V123">
        <f t="shared" si="10"/>
        <v>9.306153846153844</v>
      </c>
      <c r="AB123">
        <f t="shared" si="11"/>
        <v>8</v>
      </c>
      <c r="AC123">
        <f t="shared" si="12"/>
        <v>169</v>
      </c>
      <c r="AD123" s="2">
        <f t="shared" si="13"/>
        <v>0.30769230769230771</v>
      </c>
      <c r="AE123" s="2">
        <f t="shared" si="14"/>
        <v>4.7337278106508875E-2</v>
      </c>
      <c r="AF123" s="3">
        <f t="shared" si="15"/>
        <v>73.964497041420117</v>
      </c>
      <c r="AG123">
        <f t="shared" si="16"/>
        <v>104.99999999999999</v>
      </c>
      <c r="AH123">
        <f t="shared" si="17"/>
        <v>46.530769230769224</v>
      </c>
    </row>
    <row r="124" spans="1:34" x14ac:dyDescent="0.25">
      <c r="A124" t="s">
        <v>149</v>
      </c>
      <c r="B124" t="s">
        <v>19</v>
      </c>
      <c r="C124">
        <v>26</v>
      </c>
      <c r="D124">
        <v>0.25700000000000001</v>
      </c>
      <c r="E124">
        <v>0.33300000000000002</v>
      </c>
      <c r="F124">
        <v>0.42899999999999999</v>
      </c>
      <c r="G124">
        <v>35</v>
      </c>
      <c r="H124">
        <v>9</v>
      </c>
      <c r="I124">
        <v>3</v>
      </c>
      <c r="J124">
        <v>0</v>
      </c>
      <c r="K124">
        <v>1</v>
      </c>
      <c r="L124">
        <v>10</v>
      </c>
      <c r="M124">
        <v>3</v>
      </c>
      <c r="N124">
        <v>0</v>
      </c>
      <c r="O124">
        <v>4</v>
      </c>
      <c r="P124">
        <v>7</v>
      </c>
      <c r="Q124">
        <v>0</v>
      </c>
      <c r="R124">
        <v>0</v>
      </c>
      <c r="T124">
        <f t="shared" si="9"/>
        <v>1.9823076923076925</v>
      </c>
      <c r="V124">
        <f t="shared" si="10"/>
        <v>3.9646153846153851</v>
      </c>
      <c r="AB124">
        <f t="shared" si="11"/>
        <v>10</v>
      </c>
      <c r="AC124">
        <f t="shared" si="12"/>
        <v>39</v>
      </c>
      <c r="AD124" s="2">
        <f t="shared" si="13"/>
        <v>0.17948717948717949</v>
      </c>
      <c r="AE124" s="2">
        <f t="shared" si="14"/>
        <v>0.10256410256410256</v>
      </c>
      <c r="AF124" s="3">
        <f t="shared" si="15"/>
        <v>92.307692307692307</v>
      </c>
      <c r="AG124">
        <f t="shared" si="16"/>
        <v>172</v>
      </c>
      <c r="AH124">
        <f t="shared" si="17"/>
        <v>19.823076923076925</v>
      </c>
    </row>
    <row r="125" spans="1:34" x14ac:dyDescent="0.25">
      <c r="A125" t="s">
        <v>150</v>
      </c>
      <c r="B125" t="s">
        <v>48</v>
      </c>
      <c r="C125">
        <v>26</v>
      </c>
      <c r="D125">
        <v>0.20799999999999999</v>
      </c>
      <c r="E125">
        <v>0.27800000000000002</v>
      </c>
      <c r="F125">
        <v>0.35699999999999998</v>
      </c>
      <c r="G125">
        <v>168</v>
      </c>
      <c r="H125">
        <v>35</v>
      </c>
      <c r="I125">
        <v>9</v>
      </c>
      <c r="J125">
        <v>2</v>
      </c>
      <c r="K125">
        <v>4</v>
      </c>
      <c r="L125">
        <v>17</v>
      </c>
      <c r="M125">
        <v>20</v>
      </c>
      <c r="N125">
        <v>3</v>
      </c>
      <c r="O125">
        <v>14</v>
      </c>
      <c r="P125">
        <v>27</v>
      </c>
      <c r="Q125">
        <v>1</v>
      </c>
      <c r="R125">
        <v>1</v>
      </c>
      <c r="T125">
        <f t="shared" si="9"/>
        <v>1.7332692307692306</v>
      </c>
      <c r="V125">
        <f t="shared" si="10"/>
        <v>3.4665384615384611</v>
      </c>
      <c r="AB125">
        <f t="shared" si="11"/>
        <v>2</v>
      </c>
      <c r="AC125">
        <f t="shared" si="12"/>
        <v>185</v>
      </c>
      <c r="AD125" s="2">
        <f t="shared" si="13"/>
        <v>0.14594594594594595</v>
      </c>
      <c r="AE125" s="2">
        <f t="shared" si="14"/>
        <v>9.1891891891891897E-2</v>
      </c>
      <c r="AF125" s="3">
        <f t="shared" si="15"/>
        <v>94.594594594594597</v>
      </c>
      <c r="AG125">
        <f t="shared" si="16"/>
        <v>149</v>
      </c>
      <c r="AH125">
        <f t="shared" si="17"/>
        <v>17.332692307692305</v>
      </c>
    </row>
    <row r="126" spans="1:34" x14ac:dyDescent="0.25">
      <c r="A126" t="s">
        <v>151</v>
      </c>
      <c r="B126" t="s">
        <v>19</v>
      </c>
      <c r="C126">
        <v>26</v>
      </c>
      <c r="D126">
        <v>0.21</v>
      </c>
      <c r="E126">
        <v>0.28199999999999997</v>
      </c>
      <c r="F126">
        <v>0.30499999999999999</v>
      </c>
      <c r="G126">
        <v>105</v>
      </c>
      <c r="H126">
        <v>22</v>
      </c>
      <c r="I126">
        <v>4</v>
      </c>
      <c r="J126">
        <v>0</v>
      </c>
      <c r="K126">
        <v>2</v>
      </c>
      <c r="L126">
        <v>9</v>
      </c>
      <c r="M126">
        <v>13</v>
      </c>
      <c r="N126">
        <v>1</v>
      </c>
      <c r="O126">
        <v>10</v>
      </c>
      <c r="P126">
        <v>17</v>
      </c>
      <c r="Q126">
        <v>0</v>
      </c>
      <c r="R126">
        <v>0</v>
      </c>
      <c r="T126">
        <f t="shared" si="9"/>
        <v>4.2346153846153847</v>
      </c>
      <c r="V126">
        <f t="shared" si="10"/>
        <v>8.4692307692307693</v>
      </c>
      <c r="AB126">
        <f t="shared" si="11"/>
        <v>10</v>
      </c>
      <c r="AC126">
        <f t="shared" si="12"/>
        <v>116</v>
      </c>
      <c r="AD126" s="2">
        <f t="shared" si="13"/>
        <v>0.14655172413793102</v>
      </c>
      <c r="AE126" s="2">
        <f t="shared" si="14"/>
        <v>9.4827586206896547E-2</v>
      </c>
      <c r="AF126" s="3">
        <f t="shared" si="15"/>
        <v>94.827586206896555</v>
      </c>
      <c r="AG126">
        <f t="shared" si="16"/>
        <v>95</v>
      </c>
      <c r="AH126">
        <f t="shared" si="17"/>
        <v>42.346153846153847</v>
      </c>
    </row>
    <row r="127" spans="1:34" x14ac:dyDescent="0.25">
      <c r="A127" t="s">
        <v>152</v>
      </c>
      <c r="B127" t="s">
        <v>48</v>
      </c>
      <c r="C127">
        <v>26</v>
      </c>
      <c r="D127">
        <v>8.3000000000000004E-2</v>
      </c>
      <c r="E127">
        <v>0.154</v>
      </c>
      <c r="F127">
        <v>0.16700000000000001</v>
      </c>
      <c r="G127">
        <v>60</v>
      </c>
      <c r="H127">
        <v>5</v>
      </c>
      <c r="I127">
        <v>2</v>
      </c>
      <c r="J127">
        <v>0</v>
      </c>
      <c r="K127">
        <v>1</v>
      </c>
      <c r="L127">
        <v>5</v>
      </c>
      <c r="M127">
        <v>1</v>
      </c>
      <c r="N127">
        <v>2</v>
      </c>
      <c r="O127">
        <v>3</v>
      </c>
      <c r="P127">
        <v>23</v>
      </c>
      <c r="Q127">
        <v>0</v>
      </c>
      <c r="R127">
        <v>0</v>
      </c>
      <c r="T127">
        <f t="shared" si="9"/>
        <v>0.39076923076923081</v>
      </c>
      <c r="V127">
        <f t="shared" si="10"/>
        <v>0.78153846153846163</v>
      </c>
      <c r="AB127">
        <f t="shared" si="11"/>
        <v>2</v>
      </c>
      <c r="AC127">
        <f t="shared" si="12"/>
        <v>65</v>
      </c>
      <c r="AD127" s="2">
        <f t="shared" si="13"/>
        <v>0.35384615384615387</v>
      </c>
      <c r="AE127" s="2">
        <f t="shared" si="14"/>
        <v>7.6923076923076927E-2</v>
      </c>
      <c r="AF127" s="3">
        <f t="shared" si="15"/>
        <v>72.307692307692307</v>
      </c>
      <c r="AG127">
        <f t="shared" si="16"/>
        <v>84</v>
      </c>
      <c r="AH127">
        <f t="shared" si="17"/>
        <v>3.907692307692308</v>
      </c>
    </row>
    <row r="128" spans="1:34" x14ac:dyDescent="0.25">
      <c r="A128" t="s">
        <v>153</v>
      </c>
      <c r="B128" t="s">
        <v>31</v>
      </c>
      <c r="C128">
        <v>26</v>
      </c>
      <c r="D128">
        <v>0.16700000000000001</v>
      </c>
      <c r="E128">
        <v>0.16700000000000001</v>
      </c>
      <c r="F128">
        <v>0.16700000000000001</v>
      </c>
      <c r="G128">
        <v>6</v>
      </c>
      <c r="H128">
        <v>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5</v>
      </c>
      <c r="Q128">
        <v>0</v>
      </c>
      <c r="R128">
        <v>0</v>
      </c>
      <c r="T128">
        <f t="shared" si="9"/>
        <v>1.5384615384615377E-2</v>
      </c>
      <c r="V128">
        <f t="shared" si="10"/>
        <v>3.0769230769230754E-2</v>
      </c>
      <c r="AB128">
        <f t="shared" si="11"/>
        <v>8</v>
      </c>
      <c r="AC128">
        <f t="shared" si="12"/>
        <v>6</v>
      </c>
      <c r="AD128" s="2">
        <f t="shared" si="13"/>
        <v>0.83333333333333337</v>
      </c>
      <c r="AE128" s="2">
        <f t="shared" si="14"/>
        <v>0</v>
      </c>
      <c r="AF128" s="3">
        <f t="shared" si="15"/>
        <v>16.666666666666657</v>
      </c>
      <c r="AG128">
        <f t="shared" si="16"/>
        <v>0</v>
      </c>
      <c r="AH128">
        <f t="shared" si="17"/>
        <v>0.15384615384615377</v>
      </c>
    </row>
    <row r="129" spans="1:34" x14ac:dyDescent="0.25">
      <c r="A129" t="s">
        <v>154</v>
      </c>
      <c r="B129" t="s">
        <v>19</v>
      </c>
      <c r="C129">
        <v>26</v>
      </c>
      <c r="D129">
        <v>0.182</v>
      </c>
      <c r="E129">
        <v>0.20599999999999999</v>
      </c>
      <c r="F129">
        <v>0.24199999999999999</v>
      </c>
      <c r="G129">
        <v>33</v>
      </c>
      <c r="H129">
        <v>6</v>
      </c>
      <c r="I129">
        <v>2</v>
      </c>
      <c r="J129">
        <v>0</v>
      </c>
      <c r="K129">
        <v>0</v>
      </c>
      <c r="L129">
        <v>4</v>
      </c>
      <c r="M129">
        <v>2</v>
      </c>
      <c r="N129">
        <v>0</v>
      </c>
      <c r="O129">
        <v>1</v>
      </c>
      <c r="P129">
        <v>9</v>
      </c>
      <c r="Q129">
        <v>1</v>
      </c>
      <c r="R129">
        <v>0</v>
      </c>
      <c r="T129">
        <f t="shared" si="9"/>
        <v>0.89230769230769236</v>
      </c>
      <c r="V129">
        <f t="shared" si="10"/>
        <v>1.7846153846153847</v>
      </c>
      <c r="AB129">
        <f t="shared" si="11"/>
        <v>10</v>
      </c>
      <c r="AC129">
        <f t="shared" si="12"/>
        <v>34</v>
      </c>
      <c r="AD129" s="2">
        <f t="shared" si="13"/>
        <v>0.26470588235294118</v>
      </c>
      <c r="AE129" s="2">
        <f t="shared" si="14"/>
        <v>2.9411764705882353E-2</v>
      </c>
      <c r="AF129" s="3">
        <f t="shared" si="15"/>
        <v>76.470588235294116</v>
      </c>
      <c r="AG129">
        <f t="shared" si="16"/>
        <v>60</v>
      </c>
      <c r="AH129">
        <f t="shared" si="17"/>
        <v>8.9230769230769234</v>
      </c>
    </row>
    <row r="130" spans="1:34" x14ac:dyDescent="0.25">
      <c r="A130" t="s">
        <v>155</v>
      </c>
      <c r="B130" t="s">
        <v>48</v>
      </c>
      <c r="C130">
        <v>26</v>
      </c>
      <c r="D130">
        <v>0.19</v>
      </c>
      <c r="E130">
        <v>0.26100000000000001</v>
      </c>
      <c r="F130">
        <v>0.33300000000000002</v>
      </c>
      <c r="G130">
        <v>21</v>
      </c>
      <c r="H130">
        <v>4</v>
      </c>
      <c r="I130">
        <v>0</v>
      </c>
      <c r="J130">
        <v>0</v>
      </c>
      <c r="K130">
        <v>1</v>
      </c>
      <c r="L130">
        <v>2</v>
      </c>
      <c r="M130">
        <v>2</v>
      </c>
      <c r="N130">
        <v>0</v>
      </c>
      <c r="O130">
        <v>2</v>
      </c>
      <c r="P130">
        <v>8</v>
      </c>
      <c r="Q130">
        <v>4</v>
      </c>
      <c r="R130">
        <v>0</v>
      </c>
      <c r="T130">
        <f t="shared" si="9"/>
        <v>0.1918846153846154</v>
      </c>
      <c r="V130">
        <f t="shared" si="10"/>
        <v>0.38376923076923081</v>
      </c>
      <c r="AB130">
        <f t="shared" si="11"/>
        <v>2</v>
      </c>
      <c r="AC130">
        <f t="shared" si="12"/>
        <v>23</v>
      </c>
      <c r="AD130" s="2">
        <f t="shared" si="13"/>
        <v>0.34782608695652173</v>
      </c>
      <c r="AE130" s="2">
        <f t="shared" si="14"/>
        <v>8.6956521739130432E-2</v>
      </c>
      <c r="AF130" s="3">
        <f t="shared" si="15"/>
        <v>73.913043478260875</v>
      </c>
      <c r="AG130">
        <f t="shared" si="16"/>
        <v>143.00000000000003</v>
      </c>
      <c r="AH130">
        <f t="shared" si="17"/>
        <v>1.9188461538461541</v>
      </c>
    </row>
    <row r="131" spans="1:34" x14ac:dyDescent="0.25">
      <c r="A131" t="s">
        <v>156</v>
      </c>
      <c r="B131" t="s">
        <v>33</v>
      </c>
      <c r="C131">
        <v>26</v>
      </c>
      <c r="D131">
        <v>0.19400000000000001</v>
      </c>
      <c r="E131">
        <v>0.29199999999999998</v>
      </c>
      <c r="F131">
        <v>0.21</v>
      </c>
      <c r="G131">
        <v>62</v>
      </c>
      <c r="H131">
        <v>12</v>
      </c>
      <c r="I131">
        <v>1</v>
      </c>
      <c r="J131">
        <v>0</v>
      </c>
      <c r="K131">
        <v>0</v>
      </c>
      <c r="L131">
        <v>6</v>
      </c>
      <c r="M131">
        <v>5</v>
      </c>
      <c r="N131">
        <v>1</v>
      </c>
      <c r="O131">
        <v>8</v>
      </c>
      <c r="P131">
        <v>16</v>
      </c>
      <c r="Q131">
        <v>2</v>
      </c>
      <c r="R131">
        <v>0</v>
      </c>
      <c r="T131">
        <f t="shared" ref="T131:T194" si="18">AH131/10</f>
        <v>0.86953846153846137</v>
      </c>
      <c r="V131">
        <f t="shared" ref="V131:V194" si="19">(T131*2)+U131</f>
        <v>1.7390769230769227</v>
      </c>
      <c r="AB131">
        <f t="shared" ref="AB131:AB194" si="20">_xlfn.IFS(B131="c", 10, B131="ss", 10, B131="cf", 8,  B131="2b", 8, B131="3b", 6, B131="rf", 4, B131="lf", 2, B131="1b", 2, B131 ="dh", 1)</f>
        <v>6</v>
      </c>
      <c r="AC131">
        <f t="shared" ref="AC131:AC194" si="21">(G131+N131+O131)</f>
        <v>71</v>
      </c>
      <c r="AD131" s="2">
        <f t="shared" ref="AD131:AD194" si="22">P131/AC131</f>
        <v>0.22535211267605634</v>
      </c>
      <c r="AE131" s="2">
        <f t="shared" ref="AE131:AE194" si="23">(N131+O131)/AC131</f>
        <v>0.12676056338028169</v>
      </c>
      <c r="AF131" s="3">
        <f t="shared" ref="AF131:AF194" si="24">100-((AD131-AE131)*100)</f>
        <v>90.140845070422529</v>
      </c>
      <c r="AG131">
        <f t="shared" ref="AG131:AG194" si="25">(F131-D131)*1000</f>
        <v>15.999999999999986</v>
      </c>
      <c r="AH131">
        <f t="shared" si="17"/>
        <v>8.6953846153846133</v>
      </c>
    </row>
    <row r="132" spans="1:34" x14ac:dyDescent="0.25">
      <c r="A132" t="s">
        <v>157</v>
      </c>
      <c r="B132" t="s">
        <v>29</v>
      </c>
      <c r="C132">
        <v>26</v>
      </c>
      <c r="D132">
        <v>0.20499999999999999</v>
      </c>
      <c r="E132">
        <v>0.253</v>
      </c>
      <c r="F132">
        <v>0.28199999999999997</v>
      </c>
      <c r="G132">
        <v>78</v>
      </c>
      <c r="H132">
        <v>16</v>
      </c>
      <c r="I132">
        <v>1</v>
      </c>
      <c r="J132">
        <v>1</v>
      </c>
      <c r="K132">
        <v>1</v>
      </c>
      <c r="L132">
        <v>9</v>
      </c>
      <c r="M132">
        <v>5</v>
      </c>
      <c r="N132">
        <v>1</v>
      </c>
      <c r="O132">
        <v>4</v>
      </c>
      <c r="P132">
        <v>32</v>
      </c>
      <c r="Q132">
        <v>1</v>
      </c>
      <c r="R132">
        <v>0</v>
      </c>
      <c r="T132">
        <f t="shared" si="18"/>
        <v>0.46119230769230757</v>
      </c>
      <c r="V132">
        <f t="shared" si="19"/>
        <v>0.92238461538461514</v>
      </c>
      <c r="AB132">
        <f t="shared" si="20"/>
        <v>2</v>
      </c>
      <c r="AC132">
        <f t="shared" si="21"/>
        <v>83</v>
      </c>
      <c r="AD132" s="2">
        <f t="shared" si="22"/>
        <v>0.38554216867469882</v>
      </c>
      <c r="AE132" s="2">
        <f t="shared" si="23"/>
        <v>6.0240963855421686E-2</v>
      </c>
      <c r="AF132" s="3">
        <f t="shared" si="24"/>
        <v>67.469879518072275</v>
      </c>
      <c r="AG132">
        <f t="shared" si="25"/>
        <v>76.999999999999986</v>
      </c>
      <c r="AH132">
        <f t="shared" ref="AH132:AH195" si="26">(((AF132+AG132)/2)*(AC132/100)*AB132)/C132</f>
        <v>4.6119230769230759</v>
      </c>
    </row>
    <row r="133" spans="1:34" x14ac:dyDescent="0.25">
      <c r="A133" t="s">
        <v>158</v>
      </c>
      <c r="B133" t="s">
        <v>31</v>
      </c>
      <c r="C133">
        <v>26</v>
      </c>
      <c r="D133">
        <v>0.154</v>
      </c>
      <c r="E133">
        <v>0.154</v>
      </c>
      <c r="F133">
        <v>0.154</v>
      </c>
      <c r="G133">
        <v>13</v>
      </c>
      <c r="H133">
        <v>2</v>
      </c>
      <c r="I133">
        <v>0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7</v>
      </c>
      <c r="Q133">
        <v>0</v>
      </c>
      <c r="R133">
        <v>1</v>
      </c>
      <c r="T133">
        <f t="shared" si="18"/>
        <v>9.2307692307692313E-2</v>
      </c>
      <c r="V133">
        <f t="shared" si="19"/>
        <v>0.18461538461538463</v>
      </c>
      <c r="AB133">
        <f t="shared" si="20"/>
        <v>8</v>
      </c>
      <c r="AC133">
        <f t="shared" si="21"/>
        <v>13</v>
      </c>
      <c r="AD133" s="2">
        <f t="shared" si="22"/>
        <v>0.53846153846153844</v>
      </c>
      <c r="AE133" s="2">
        <f t="shared" si="23"/>
        <v>0</v>
      </c>
      <c r="AF133" s="3">
        <f t="shared" si="24"/>
        <v>46.153846153846153</v>
      </c>
      <c r="AG133">
        <f t="shared" si="25"/>
        <v>0</v>
      </c>
      <c r="AH133">
        <f t="shared" si="26"/>
        <v>0.92307692307692313</v>
      </c>
    </row>
    <row r="134" spans="1:34" x14ac:dyDescent="0.25">
      <c r="A134" t="s">
        <v>159</v>
      </c>
      <c r="B134" t="s">
        <v>60</v>
      </c>
      <c r="C134">
        <v>26</v>
      </c>
      <c r="D134">
        <v>0.14699999999999999</v>
      </c>
      <c r="E134">
        <v>0.28100000000000003</v>
      </c>
      <c r="F134">
        <v>0.253</v>
      </c>
      <c r="G134">
        <v>150</v>
      </c>
      <c r="H134">
        <v>22</v>
      </c>
      <c r="I134">
        <v>7</v>
      </c>
      <c r="J134">
        <v>0</v>
      </c>
      <c r="K134">
        <v>3</v>
      </c>
      <c r="L134">
        <v>15</v>
      </c>
      <c r="M134">
        <v>10</v>
      </c>
      <c r="N134">
        <v>4</v>
      </c>
      <c r="O134">
        <v>24</v>
      </c>
      <c r="P134">
        <v>57</v>
      </c>
      <c r="Q134">
        <v>7</v>
      </c>
      <c r="R134">
        <v>1</v>
      </c>
      <c r="T134">
        <f t="shared" si="18"/>
        <v>5.1950769230769236</v>
      </c>
      <c r="V134">
        <f t="shared" si="19"/>
        <v>10.390153846153847</v>
      </c>
      <c r="AB134">
        <f t="shared" si="20"/>
        <v>8</v>
      </c>
      <c r="AC134">
        <f t="shared" si="21"/>
        <v>178</v>
      </c>
      <c r="AD134" s="2">
        <f t="shared" si="22"/>
        <v>0.3202247191011236</v>
      </c>
      <c r="AE134" s="2">
        <f t="shared" si="23"/>
        <v>0.15730337078651685</v>
      </c>
      <c r="AF134" s="3">
        <f t="shared" si="24"/>
        <v>83.707865168539328</v>
      </c>
      <c r="AG134">
        <f t="shared" si="25"/>
        <v>106.00000000000001</v>
      </c>
      <c r="AH134">
        <f t="shared" si="26"/>
        <v>51.950769230769232</v>
      </c>
    </row>
    <row r="135" spans="1:34" x14ac:dyDescent="0.25">
      <c r="A135" t="s">
        <v>160</v>
      </c>
      <c r="B135" t="s">
        <v>60</v>
      </c>
      <c r="C135">
        <v>26</v>
      </c>
      <c r="D135">
        <v>0.20499999999999999</v>
      </c>
      <c r="E135">
        <v>0.22600000000000001</v>
      </c>
      <c r="F135">
        <v>0.30399999999999999</v>
      </c>
      <c r="G135">
        <v>171</v>
      </c>
      <c r="H135">
        <v>35</v>
      </c>
      <c r="I135">
        <v>6</v>
      </c>
      <c r="J135">
        <v>1</v>
      </c>
      <c r="K135">
        <v>3</v>
      </c>
      <c r="L135">
        <v>13</v>
      </c>
      <c r="M135">
        <v>17</v>
      </c>
      <c r="N135">
        <v>0</v>
      </c>
      <c r="O135">
        <v>5</v>
      </c>
      <c r="P135">
        <v>50</v>
      </c>
      <c r="Q135">
        <v>9</v>
      </c>
      <c r="R135">
        <v>3</v>
      </c>
      <c r="T135">
        <f t="shared" si="18"/>
        <v>4.6959999999999997</v>
      </c>
      <c r="V135">
        <f t="shared" si="19"/>
        <v>9.3919999999999995</v>
      </c>
      <c r="AB135">
        <f t="shared" si="20"/>
        <v>8</v>
      </c>
      <c r="AC135">
        <f t="shared" si="21"/>
        <v>176</v>
      </c>
      <c r="AD135" s="2">
        <f t="shared" si="22"/>
        <v>0.28409090909090912</v>
      </c>
      <c r="AE135" s="2">
        <f t="shared" si="23"/>
        <v>2.8409090909090908E-2</v>
      </c>
      <c r="AF135" s="3">
        <f t="shared" si="24"/>
        <v>74.431818181818173</v>
      </c>
      <c r="AG135">
        <f t="shared" si="25"/>
        <v>99</v>
      </c>
      <c r="AH135">
        <f t="shared" si="26"/>
        <v>46.96</v>
      </c>
    </row>
    <row r="136" spans="1:34" x14ac:dyDescent="0.25">
      <c r="A136" t="s">
        <v>161</v>
      </c>
      <c r="B136" t="s">
        <v>31</v>
      </c>
      <c r="C136">
        <v>26</v>
      </c>
      <c r="D136">
        <v>0.20100000000000001</v>
      </c>
      <c r="E136">
        <v>0.27400000000000002</v>
      </c>
      <c r="F136">
        <v>0.34699999999999998</v>
      </c>
      <c r="G136">
        <v>199</v>
      </c>
      <c r="H136">
        <v>40</v>
      </c>
      <c r="I136">
        <v>8</v>
      </c>
      <c r="J136">
        <v>0</v>
      </c>
      <c r="K136">
        <v>7</v>
      </c>
      <c r="L136">
        <v>29</v>
      </c>
      <c r="M136">
        <v>18</v>
      </c>
      <c r="N136">
        <v>1</v>
      </c>
      <c r="O136">
        <v>20</v>
      </c>
      <c r="P136">
        <v>64</v>
      </c>
      <c r="Q136">
        <v>8</v>
      </c>
      <c r="R136">
        <v>2</v>
      </c>
      <c r="T136">
        <f t="shared" si="18"/>
        <v>7.6646153846153853</v>
      </c>
      <c r="V136">
        <f t="shared" si="19"/>
        <v>15.329230769230771</v>
      </c>
      <c r="AB136">
        <f t="shared" si="20"/>
        <v>8</v>
      </c>
      <c r="AC136">
        <f t="shared" si="21"/>
        <v>220</v>
      </c>
      <c r="AD136" s="2">
        <f t="shared" si="22"/>
        <v>0.29090909090909089</v>
      </c>
      <c r="AE136" s="2">
        <f t="shared" si="23"/>
        <v>9.5454545454545459E-2</v>
      </c>
      <c r="AF136" s="3">
        <f t="shared" si="24"/>
        <v>80.454545454545453</v>
      </c>
      <c r="AG136">
        <f t="shared" si="25"/>
        <v>145.99999999999997</v>
      </c>
      <c r="AH136">
        <f t="shared" si="26"/>
        <v>76.646153846153851</v>
      </c>
    </row>
    <row r="137" spans="1:34" x14ac:dyDescent="0.25">
      <c r="A137" t="s">
        <v>162</v>
      </c>
      <c r="B137" t="s">
        <v>23</v>
      </c>
      <c r="C137">
        <v>26</v>
      </c>
      <c r="D137">
        <v>0.125</v>
      </c>
      <c r="E137">
        <v>0.125</v>
      </c>
      <c r="F137">
        <v>0.125</v>
      </c>
      <c r="G137">
        <v>8</v>
      </c>
      <c r="H137">
        <v>1</v>
      </c>
      <c r="I137">
        <v>0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1</v>
      </c>
      <c r="Q137">
        <v>0</v>
      </c>
      <c r="R137">
        <v>0</v>
      </c>
      <c r="T137">
        <f t="shared" si="18"/>
        <v>5.3846153846153842E-2</v>
      </c>
      <c r="V137">
        <f t="shared" si="19"/>
        <v>0.10769230769230768</v>
      </c>
      <c r="AB137">
        <f t="shared" si="20"/>
        <v>4</v>
      </c>
      <c r="AC137">
        <f t="shared" si="21"/>
        <v>8</v>
      </c>
      <c r="AD137" s="2">
        <f t="shared" si="22"/>
        <v>0.125</v>
      </c>
      <c r="AE137" s="2">
        <f t="shared" si="23"/>
        <v>0</v>
      </c>
      <c r="AF137" s="3">
        <f t="shared" si="24"/>
        <v>87.5</v>
      </c>
      <c r="AG137">
        <f t="shared" si="25"/>
        <v>0</v>
      </c>
      <c r="AH137">
        <f t="shared" si="26"/>
        <v>0.53846153846153844</v>
      </c>
    </row>
    <row r="138" spans="1:34" x14ac:dyDescent="0.25">
      <c r="A138" t="s">
        <v>163</v>
      </c>
      <c r="B138" t="s">
        <v>60</v>
      </c>
      <c r="C138">
        <v>26</v>
      </c>
      <c r="D138">
        <v>0.20300000000000001</v>
      </c>
      <c r="E138">
        <v>0.248</v>
      </c>
      <c r="F138">
        <v>0.30399999999999999</v>
      </c>
      <c r="G138">
        <v>138</v>
      </c>
      <c r="H138">
        <v>28</v>
      </c>
      <c r="I138">
        <v>7</v>
      </c>
      <c r="J138">
        <v>2</v>
      </c>
      <c r="K138">
        <v>1</v>
      </c>
      <c r="L138">
        <v>12</v>
      </c>
      <c r="M138">
        <v>7</v>
      </c>
      <c r="N138">
        <v>4</v>
      </c>
      <c r="O138">
        <v>5</v>
      </c>
      <c r="P138">
        <v>47</v>
      </c>
      <c r="Q138">
        <v>7</v>
      </c>
      <c r="R138">
        <v>1</v>
      </c>
      <c r="T138">
        <f t="shared" si="18"/>
        <v>3.9610769230769227</v>
      </c>
      <c r="V138">
        <f t="shared" si="19"/>
        <v>7.9221538461538454</v>
      </c>
      <c r="AB138">
        <f t="shared" si="20"/>
        <v>8</v>
      </c>
      <c r="AC138">
        <f t="shared" si="21"/>
        <v>147</v>
      </c>
      <c r="AD138" s="2">
        <f t="shared" si="22"/>
        <v>0.31972789115646261</v>
      </c>
      <c r="AE138" s="2">
        <f t="shared" si="23"/>
        <v>6.1224489795918366E-2</v>
      </c>
      <c r="AF138" s="3">
        <f t="shared" si="24"/>
        <v>74.149659863945573</v>
      </c>
      <c r="AG138">
        <f t="shared" si="25"/>
        <v>100.99999999999997</v>
      </c>
      <c r="AH138">
        <f t="shared" si="26"/>
        <v>39.610769230769229</v>
      </c>
    </row>
    <row r="139" spans="1:34" x14ac:dyDescent="0.25">
      <c r="A139" t="s">
        <v>164</v>
      </c>
      <c r="B139" t="s">
        <v>29</v>
      </c>
      <c r="C139">
        <v>26</v>
      </c>
      <c r="D139">
        <v>0.20899999999999999</v>
      </c>
      <c r="E139">
        <v>0.29399999999999998</v>
      </c>
      <c r="F139">
        <v>0.36299999999999999</v>
      </c>
      <c r="G139">
        <v>91</v>
      </c>
      <c r="H139">
        <v>19</v>
      </c>
      <c r="I139">
        <v>4</v>
      </c>
      <c r="J139">
        <v>2</v>
      </c>
      <c r="K139">
        <v>2</v>
      </c>
      <c r="L139">
        <v>7</v>
      </c>
      <c r="M139">
        <v>12</v>
      </c>
      <c r="N139">
        <v>0</v>
      </c>
      <c r="O139">
        <v>11</v>
      </c>
      <c r="P139">
        <v>16</v>
      </c>
      <c r="Q139">
        <v>0</v>
      </c>
      <c r="R139">
        <v>0</v>
      </c>
      <c r="T139">
        <f t="shared" si="18"/>
        <v>0.97723076923076935</v>
      </c>
      <c r="V139">
        <f t="shared" si="19"/>
        <v>1.9544615384615387</v>
      </c>
      <c r="AB139">
        <f t="shared" si="20"/>
        <v>2</v>
      </c>
      <c r="AC139">
        <f t="shared" si="21"/>
        <v>102</v>
      </c>
      <c r="AD139" s="2">
        <f t="shared" si="22"/>
        <v>0.15686274509803921</v>
      </c>
      <c r="AE139" s="2">
        <f t="shared" si="23"/>
        <v>0.10784313725490197</v>
      </c>
      <c r="AF139" s="3">
        <f t="shared" si="24"/>
        <v>95.098039215686271</v>
      </c>
      <c r="AG139">
        <f t="shared" si="25"/>
        <v>154</v>
      </c>
      <c r="AH139">
        <f t="shared" si="26"/>
        <v>9.7723076923076935</v>
      </c>
    </row>
    <row r="140" spans="1:34" x14ac:dyDescent="0.25">
      <c r="A140" t="s">
        <v>165</v>
      </c>
      <c r="B140" t="s">
        <v>23</v>
      </c>
      <c r="C140">
        <v>26</v>
      </c>
      <c r="D140">
        <v>7.6999999999999999E-2</v>
      </c>
      <c r="E140">
        <v>0.2</v>
      </c>
      <c r="F140">
        <v>7.6999999999999999E-2</v>
      </c>
      <c r="G140">
        <v>13</v>
      </c>
      <c r="H140">
        <v>1</v>
      </c>
      <c r="I140">
        <v>0</v>
      </c>
      <c r="J140">
        <v>0</v>
      </c>
      <c r="K140">
        <v>0</v>
      </c>
      <c r="L140">
        <v>1</v>
      </c>
      <c r="M140">
        <v>0</v>
      </c>
      <c r="N140">
        <v>0</v>
      </c>
      <c r="O140">
        <v>2</v>
      </c>
      <c r="P140">
        <v>5</v>
      </c>
      <c r="Q140">
        <v>0</v>
      </c>
      <c r="R140">
        <v>0</v>
      </c>
      <c r="T140">
        <f t="shared" si="18"/>
        <v>9.2307692307692313E-2</v>
      </c>
      <c r="V140">
        <f t="shared" si="19"/>
        <v>0.18461538461538463</v>
      </c>
      <c r="AB140">
        <f t="shared" si="20"/>
        <v>4</v>
      </c>
      <c r="AC140">
        <f t="shared" si="21"/>
        <v>15</v>
      </c>
      <c r="AD140" s="2">
        <f t="shared" si="22"/>
        <v>0.33333333333333331</v>
      </c>
      <c r="AE140" s="2">
        <f t="shared" si="23"/>
        <v>0.13333333333333333</v>
      </c>
      <c r="AF140" s="3">
        <f t="shared" si="24"/>
        <v>80</v>
      </c>
      <c r="AG140">
        <f t="shared" si="25"/>
        <v>0</v>
      </c>
      <c r="AH140">
        <f t="shared" si="26"/>
        <v>0.92307692307692313</v>
      </c>
    </row>
    <row r="141" spans="1:34" x14ac:dyDescent="0.25">
      <c r="A141" t="s">
        <v>166</v>
      </c>
      <c r="B141" t="s">
        <v>33</v>
      </c>
      <c r="C141">
        <v>26</v>
      </c>
      <c r="D141">
        <v>0.22500000000000001</v>
      </c>
      <c r="E141">
        <v>0.32400000000000001</v>
      </c>
      <c r="F141">
        <v>0.27900000000000003</v>
      </c>
      <c r="G141">
        <v>129</v>
      </c>
      <c r="H141">
        <v>29</v>
      </c>
      <c r="I141">
        <v>7</v>
      </c>
      <c r="J141">
        <v>0</v>
      </c>
      <c r="K141">
        <v>0</v>
      </c>
      <c r="L141">
        <v>15</v>
      </c>
      <c r="M141">
        <v>7</v>
      </c>
      <c r="N141">
        <v>2</v>
      </c>
      <c r="O141">
        <v>17</v>
      </c>
      <c r="P141">
        <v>28</v>
      </c>
      <c r="Q141">
        <v>1</v>
      </c>
      <c r="R141">
        <v>0</v>
      </c>
      <c r="T141">
        <f t="shared" si="18"/>
        <v>2.5259999999999998</v>
      </c>
      <c r="V141">
        <f t="shared" si="19"/>
        <v>5.0519999999999996</v>
      </c>
      <c r="AB141">
        <f t="shared" si="20"/>
        <v>6</v>
      </c>
      <c r="AC141">
        <f t="shared" si="21"/>
        <v>148</v>
      </c>
      <c r="AD141" s="2">
        <f t="shared" si="22"/>
        <v>0.1891891891891892</v>
      </c>
      <c r="AE141" s="2">
        <f t="shared" si="23"/>
        <v>0.12837837837837837</v>
      </c>
      <c r="AF141" s="3">
        <f t="shared" si="24"/>
        <v>93.918918918918919</v>
      </c>
      <c r="AG141">
        <f t="shared" si="25"/>
        <v>54.000000000000021</v>
      </c>
      <c r="AH141">
        <f t="shared" si="26"/>
        <v>25.259999999999998</v>
      </c>
    </row>
    <row r="142" spans="1:34" x14ac:dyDescent="0.25">
      <c r="A142" t="s">
        <v>167</v>
      </c>
      <c r="B142" t="s">
        <v>48</v>
      </c>
      <c r="C142">
        <v>26</v>
      </c>
      <c r="D142">
        <v>0.24299999999999999</v>
      </c>
      <c r="E142">
        <v>0.28799999999999998</v>
      </c>
      <c r="F142">
        <v>0.316</v>
      </c>
      <c r="G142">
        <v>206</v>
      </c>
      <c r="H142">
        <v>50</v>
      </c>
      <c r="I142">
        <v>6</v>
      </c>
      <c r="J142">
        <v>3</v>
      </c>
      <c r="K142">
        <v>1</v>
      </c>
      <c r="L142">
        <v>21</v>
      </c>
      <c r="M142">
        <v>14</v>
      </c>
      <c r="N142">
        <v>2</v>
      </c>
      <c r="O142">
        <v>11</v>
      </c>
      <c r="P142">
        <v>60</v>
      </c>
      <c r="Q142">
        <v>5</v>
      </c>
      <c r="R142">
        <v>3</v>
      </c>
      <c r="T142">
        <f t="shared" si="18"/>
        <v>1.2764230769230769</v>
      </c>
      <c r="V142">
        <f t="shared" si="19"/>
        <v>2.5528461538461538</v>
      </c>
      <c r="AB142">
        <f t="shared" si="20"/>
        <v>2</v>
      </c>
      <c r="AC142">
        <f t="shared" si="21"/>
        <v>219</v>
      </c>
      <c r="AD142" s="2">
        <f t="shared" si="22"/>
        <v>0.27397260273972601</v>
      </c>
      <c r="AE142" s="2">
        <f t="shared" si="23"/>
        <v>5.9360730593607303E-2</v>
      </c>
      <c r="AF142" s="3">
        <f t="shared" si="24"/>
        <v>78.538812785388131</v>
      </c>
      <c r="AG142">
        <f t="shared" si="25"/>
        <v>73.000000000000014</v>
      </c>
      <c r="AH142">
        <f t="shared" si="26"/>
        <v>12.764230769230769</v>
      </c>
    </row>
    <row r="143" spans="1:34" x14ac:dyDescent="0.25">
      <c r="A143" t="s">
        <v>168</v>
      </c>
      <c r="B143" t="s">
        <v>31</v>
      </c>
      <c r="C143">
        <v>26</v>
      </c>
      <c r="D143">
        <v>0.125</v>
      </c>
      <c r="E143">
        <v>0.125</v>
      </c>
      <c r="F143">
        <v>0.219</v>
      </c>
      <c r="G143">
        <v>32</v>
      </c>
      <c r="H143">
        <v>4</v>
      </c>
      <c r="I143">
        <v>0</v>
      </c>
      <c r="J143">
        <v>0</v>
      </c>
      <c r="K143">
        <v>1</v>
      </c>
      <c r="L143">
        <v>4</v>
      </c>
      <c r="M143">
        <v>1</v>
      </c>
      <c r="N143">
        <v>0</v>
      </c>
      <c r="O143">
        <v>0</v>
      </c>
      <c r="P143">
        <v>10</v>
      </c>
      <c r="Q143">
        <v>0</v>
      </c>
      <c r="R143">
        <v>0</v>
      </c>
      <c r="T143">
        <f t="shared" si="18"/>
        <v>0.80123076923076919</v>
      </c>
      <c r="V143">
        <f t="shared" si="19"/>
        <v>1.6024615384615384</v>
      </c>
      <c r="AB143">
        <f t="shared" si="20"/>
        <v>8</v>
      </c>
      <c r="AC143">
        <f t="shared" si="21"/>
        <v>32</v>
      </c>
      <c r="AD143" s="2">
        <f t="shared" si="22"/>
        <v>0.3125</v>
      </c>
      <c r="AE143" s="2">
        <f t="shared" si="23"/>
        <v>0</v>
      </c>
      <c r="AF143" s="3">
        <f t="shared" si="24"/>
        <v>68.75</v>
      </c>
      <c r="AG143">
        <f t="shared" si="25"/>
        <v>94</v>
      </c>
      <c r="AH143">
        <f t="shared" si="26"/>
        <v>8.0123076923076919</v>
      </c>
    </row>
    <row r="144" spans="1:34" x14ac:dyDescent="0.25">
      <c r="A144" t="s">
        <v>169</v>
      </c>
      <c r="B144" t="s">
        <v>23</v>
      </c>
      <c r="C144">
        <v>26</v>
      </c>
      <c r="D144">
        <v>0.23599999999999999</v>
      </c>
      <c r="E144">
        <v>0.27900000000000003</v>
      </c>
      <c r="F144">
        <v>0.436</v>
      </c>
      <c r="G144">
        <v>55</v>
      </c>
      <c r="H144">
        <v>13</v>
      </c>
      <c r="I144">
        <v>2</v>
      </c>
      <c r="J144">
        <v>0</v>
      </c>
      <c r="K144">
        <v>3</v>
      </c>
      <c r="L144">
        <v>7</v>
      </c>
      <c r="M144">
        <v>12</v>
      </c>
      <c r="N144">
        <v>2</v>
      </c>
      <c r="O144">
        <v>2</v>
      </c>
      <c r="P144">
        <v>23</v>
      </c>
      <c r="Q144">
        <v>0</v>
      </c>
      <c r="R144">
        <v>0</v>
      </c>
      <c r="T144">
        <f t="shared" si="18"/>
        <v>1.2153846153846151</v>
      </c>
      <c r="V144">
        <f t="shared" si="19"/>
        <v>2.4307692307692301</v>
      </c>
      <c r="AB144">
        <f t="shared" si="20"/>
        <v>4</v>
      </c>
      <c r="AC144">
        <f t="shared" si="21"/>
        <v>59</v>
      </c>
      <c r="AD144" s="2">
        <f t="shared" si="22"/>
        <v>0.38983050847457629</v>
      </c>
      <c r="AE144" s="2">
        <f t="shared" si="23"/>
        <v>6.7796610169491525E-2</v>
      </c>
      <c r="AF144" s="3">
        <f t="shared" si="24"/>
        <v>67.796610169491515</v>
      </c>
      <c r="AG144">
        <f t="shared" si="25"/>
        <v>200</v>
      </c>
      <c r="AH144">
        <f t="shared" si="26"/>
        <v>12.153846153846152</v>
      </c>
    </row>
    <row r="145" spans="1:34" x14ac:dyDescent="0.25">
      <c r="A145" t="s">
        <v>170</v>
      </c>
      <c r="B145" t="s">
        <v>33</v>
      </c>
      <c r="C145">
        <v>26</v>
      </c>
      <c r="D145">
        <v>0.192</v>
      </c>
      <c r="E145">
        <v>0.26700000000000002</v>
      </c>
      <c r="F145">
        <v>0.24399999999999999</v>
      </c>
      <c r="G145">
        <v>78</v>
      </c>
      <c r="H145">
        <v>15</v>
      </c>
      <c r="I145">
        <v>4</v>
      </c>
      <c r="J145">
        <v>0</v>
      </c>
      <c r="K145">
        <v>0</v>
      </c>
      <c r="L145">
        <v>7</v>
      </c>
      <c r="M145">
        <v>2</v>
      </c>
      <c r="N145">
        <v>1</v>
      </c>
      <c r="O145">
        <v>7</v>
      </c>
      <c r="P145">
        <v>34</v>
      </c>
      <c r="Q145">
        <v>2</v>
      </c>
      <c r="R145">
        <v>0</v>
      </c>
      <c r="T145">
        <f t="shared" si="18"/>
        <v>1.2083076923076921</v>
      </c>
      <c r="V145">
        <f t="shared" si="19"/>
        <v>2.4166153846153842</v>
      </c>
      <c r="AB145">
        <f t="shared" si="20"/>
        <v>6</v>
      </c>
      <c r="AC145">
        <f t="shared" si="21"/>
        <v>86</v>
      </c>
      <c r="AD145" s="2">
        <f t="shared" si="22"/>
        <v>0.39534883720930231</v>
      </c>
      <c r="AE145" s="2">
        <f t="shared" si="23"/>
        <v>9.3023255813953487E-2</v>
      </c>
      <c r="AF145" s="3">
        <f t="shared" si="24"/>
        <v>69.767441860465112</v>
      </c>
      <c r="AG145">
        <f t="shared" si="25"/>
        <v>51.999999999999993</v>
      </c>
      <c r="AH145">
        <f t="shared" si="26"/>
        <v>12.083076923076922</v>
      </c>
    </row>
    <row r="146" spans="1:34" x14ac:dyDescent="0.25">
      <c r="A146" t="s">
        <v>171</v>
      </c>
      <c r="B146" t="s">
        <v>31</v>
      </c>
      <c r="C146">
        <v>26</v>
      </c>
      <c r="D146">
        <v>0.25</v>
      </c>
      <c r="E146">
        <v>0.25</v>
      </c>
      <c r="F146">
        <v>0.375</v>
      </c>
      <c r="G146">
        <v>16</v>
      </c>
      <c r="H146">
        <v>4</v>
      </c>
      <c r="I146">
        <v>2</v>
      </c>
      <c r="J146">
        <v>0</v>
      </c>
      <c r="K146">
        <v>0</v>
      </c>
      <c r="L146">
        <v>2</v>
      </c>
      <c r="M146">
        <v>0</v>
      </c>
      <c r="N146">
        <v>0</v>
      </c>
      <c r="O146">
        <v>0</v>
      </c>
      <c r="P146">
        <v>4</v>
      </c>
      <c r="Q146">
        <v>1</v>
      </c>
      <c r="R146">
        <v>0</v>
      </c>
      <c r="T146">
        <f t="shared" si="18"/>
        <v>0.49230769230769234</v>
      </c>
      <c r="V146">
        <f t="shared" si="19"/>
        <v>0.98461538461538467</v>
      </c>
      <c r="AB146">
        <f t="shared" si="20"/>
        <v>8</v>
      </c>
      <c r="AC146">
        <f t="shared" si="21"/>
        <v>16</v>
      </c>
      <c r="AD146" s="2">
        <f t="shared" si="22"/>
        <v>0.25</v>
      </c>
      <c r="AE146" s="2">
        <f t="shared" si="23"/>
        <v>0</v>
      </c>
      <c r="AF146" s="3">
        <f t="shared" si="24"/>
        <v>75</v>
      </c>
      <c r="AG146">
        <f t="shared" si="25"/>
        <v>125</v>
      </c>
      <c r="AH146">
        <f t="shared" si="26"/>
        <v>4.9230769230769234</v>
      </c>
    </row>
    <row r="147" spans="1:34" x14ac:dyDescent="0.25">
      <c r="A147" t="s">
        <v>172</v>
      </c>
      <c r="B147" t="s">
        <v>31</v>
      </c>
      <c r="C147">
        <v>26</v>
      </c>
      <c r="D147">
        <v>0.185</v>
      </c>
      <c r="E147">
        <v>0.27900000000000003</v>
      </c>
      <c r="F147">
        <v>0.315</v>
      </c>
      <c r="G147">
        <v>54</v>
      </c>
      <c r="H147">
        <v>10</v>
      </c>
      <c r="I147">
        <v>4</v>
      </c>
      <c r="J147">
        <v>0</v>
      </c>
      <c r="K147">
        <v>1</v>
      </c>
      <c r="L147">
        <v>5</v>
      </c>
      <c r="M147">
        <v>10</v>
      </c>
      <c r="N147">
        <v>0</v>
      </c>
      <c r="O147">
        <v>7</v>
      </c>
      <c r="P147">
        <v>14</v>
      </c>
      <c r="Q147">
        <v>1</v>
      </c>
      <c r="R147">
        <v>1</v>
      </c>
      <c r="T147">
        <f t="shared" si="18"/>
        <v>2.0507692307692307</v>
      </c>
      <c r="V147">
        <f t="shared" si="19"/>
        <v>4.1015384615384614</v>
      </c>
      <c r="AB147">
        <f t="shared" si="20"/>
        <v>8</v>
      </c>
      <c r="AC147">
        <f t="shared" si="21"/>
        <v>61</v>
      </c>
      <c r="AD147" s="2">
        <f t="shared" si="22"/>
        <v>0.22950819672131148</v>
      </c>
      <c r="AE147" s="2">
        <f t="shared" si="23"/>
        <v>0.11475409836065574</v>
      </c>
      <c r="AF147" s="3">
        <f t="shared" si="24"/>
        <v>88.52459016393442</v>
      </c>
      <c r="AG147">
        <f t="shared" si="25"/>
        <v>130</v>
      </c>
      <c r="AH147">
        <f t="shared" si="26"/>
        <v>20.507692307692306</v>
      </c>
    </row>
    <row r="148" spans="1:34" x14ac:dyDescent="0.25">
      <c r="A148" t="s">
        <v>173</v>
      </c>
      <c r="B148" t="s">
        <v>26</v>
      </c>
      <c r="C148">
        <v>27</v>
      </c>
      <c r="D148">
        <v>0.13800000000000001</v>
      </c>
      <c r="E148">
        <v>0.19400000000000001</v>
      </c>
      <c r="F148">
        <v>0.27600000000000002</v>
      </c>
      <c r="G148">
        <v>29</v>
      </c>
      <c r="H148">
        <v>4</v>
      </c>
      <c r="I148">
        <v>1</v>
      </c>
      <c r="J148">
        <v>0</v>
      </c>
      <c r="K148">
        <v>1</v>
      </c>
      <c r="L148">
        <v>4</v>
      </c>
      <c r="M148">
        <v>3</v>
      </c>
      <c r="N148">
        <v>1</v>
      </c>
      <c r="O148">
        <v>1</v>
      </c>
      <c r="P148">
        <v>9</v>
      </c>
      <c r="Q148">
        <v>0</v>
      </c>
      <c r="R148">
        <v>0</v>
      </c>
      <c r="T148">
        <f t="shared" si="18"/>
        <v>1.2366666666666666</v>
      </c>
      <c r="V148">
        <f t="shared" si="19"/>
        <v>2.4733333333333332</v>
      </c>
      <c r="AB148">
        <f t="shared" si="20"/>
        <v>10</v>
      </c>
      <c r="AC148">
        <f t="shared" si="21"/>
        <v>31</v>
      </c>
      <c r="AD148" s="2">
        <f t="shared" si="22"/>
        <v>0.29032258064516131</v>
      </c>
      <c r="AE148" s="2">
        <f t="shared" si="23"/>
        <v>6.4516129032258063E-2</v>
      </c>
      <c r="AF148" s="3">
        <f t="shared" si="24"/>
        <v>77.41935483870968</v>
      </c>
      <c r="AG148">
        <f t="shared" si="25"/>
        <v>138</v>
      </c>
      <c r="AH148">
        <f t="shared" si="26"/>
        <v>12.366666666666665</v>
      </c>
    </row>
    <row r="149" spans="1:34" x14ac:dyDescent="0.25">
      <c r="A149" t="s">
        <v>174</v>
      </c>
      <c r="B149" t="s">
        <v>23</v>
      </c>
      <c r="C149">
        <v>27</v>
      </c>
      <c r="D149">
        <v>0.22600000000000001</v>
      </c>
      <c r="E149">
        <v>0.27300000000000002</v>
      </c>
      <c r="F149">
        <v>0.435</v>
      </c>
      <c r="G149">
        <v>230</v>
      </c>
      <c r="H149">
        <v>52</v>
      </c>
      <c r="I149">
        <v>8</v>
      </c>
      <c r="J149">
        <v>2</v>
      </c>
      <c r="K149">
        <v>12</v>
      </c>
      <c r="L149">
        <v>31</v>
      </c>
      <c r="M149">
        <v>41</v>
      </c>
      <c r="N149">
        <v>1</v>
      </c>
      <c r="O149">
        <v>16</v>
      </c>
      <c r="P149">
        <v>67</v>
      </c>
      <c r="Q149">
        <v>2</v>
      </c>
      <c r="R149">
        <v>2</v>
      </c>
      <c r="T149">
        <f t="shared" si="18"/>
        <v>5.2831851851851859</v>
      </c>
      <c r="V149">
        <f t="shared" si="19"/>
        <v>10.566370370370372</v>
      </c>
      <c r="AB149">
        <f t="shared" si="20"/>
        <v>4</v>
      </c>
      <c r="AC149">
        <f t="shared" si="21"/>
        <v>247</v>
      </c>
      <c r="AD149" s="2">
        <f t="shared" si="22"/>
        <v>0.27125506072874495</v>
      </c>
      <c r="AE149" s="2">
        <f t="shared" si="23"/>
        <v>6.8825910931174086E-2</v>
      </c>
      <c r="AF149" s="3">
        <f t="shared" si="24"/>
        <v>79.757085020242911</v>
      </c>
      <c r="AG149">
        <f t="shared" si="25"/>
        <v>209</v>
      </c>
      <c r="AH149">
        <f t="shared" si="26"/>
        <v>52.831851851851859</v>
      </c>
    </row>
    <row r="150" spans="1:34" x14ac:dyDescent="0.25">
      <c r="A150" t="s">
        <v>175</v>
      </c>
      <c r="B150" t="s">
        <v>23</v>
      </c>
      <c r="C150">
        <v>27</v>
      </c>
      <c r="D150">
        <v>9.0999999999999998E-2</v>
      </c>
      <c r="E150">
        <v>0.23100000000000001</v>
      </c>
      <c r="F150">
        <v>9.0999999999999998E-2</v>
      </c>
      <c r="G150">
        <v>11</v>
      </c>
      <c r="H150">
        <v>1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</v>
      </c>
      <c r="T150">
        <f t="shared" si="18"/>
        <v>0.1037037037037037</v>
      </c>
      <c r="V150">
        <f t="shared" si="19"/>
        <v>0.2074074074074074</v>
      </c>
      <c r="AB150">
        <f t="shared" si="20"/>
        <v>4</v>
      </c>
      <c r="AC150">
        <f t="shared" si="21"/>
        <v>13</v>
      </c>
      <c r="AD150" s="2">
        <f t="shared" si="22"/>
        <v>7.6923076923076927E-2</v>
      </c>
      <c r="AE150" s="2">
        <f t="shared" si="23"/>
        <v>0.15384615384615385</v>
      </c>
      <c r="AF150" s="3">
        <f t="shared" si="24"/>
        <v>107.69230769230769</v>
      </c>
      <c r="AG150">
        <f t="shared" si="25"/>
        <v>0</v>
      </c>
      <c r="AH150">
        <f t="shared" si="26"/>
        <v>1.037037037037037</v>
      </c>
    </row>
    <row r="151" spans="1:34" x14ac:dyDescent="0.25">
      <c r="A151" t="s">
        <v>176</v>
      </c>
      <c r="B151" t="s">
        <v>33</v>
      </c>
      <c r="C151">
        <v>27</v>
      </c>
      <c r="D151">
        <v>0.253</v>
      </c>
      <c r="E151">
        <v>0.30499999999999999</v>
      </c>
      <c r="F151">
        <v>0.31</v>
      </c>
      <c r="G151">
        <v>87</v>
      </c>
      <c r="H151">
        <v>22</v>
      </c>
      <c r="I151">
        <v>5</v>
      </c>
      <c r="J151">
        <v>0</v>
      </c>
      <c r="K151">
        <v>0</v>
      </c>
      <c r="L151">
        <v>14</v>
      </c>
      <c r="M151">
        <v>8</v>
      </c>
      <c r="N151">
        <v>1</v>
      </c>
      <c r="O151">
        <v>6</v>
      </c>
      <c r="P151">
        <v>21</v>
      </c>
      <c r="Q151">
        <v>2</v>
      </c>
      <c r="R151">
        <v>1</v>
      </c>
      <c r="T151">
        <f t="shared" si="18"/>
        <v>1.4842222222222221</v>
      </c>
      <c r="V151">
        <f t="shared" si="19"/>
        <v>2.9684444444444442</v>
      </c>
      <c r="AB151">
        <f t="shared" si="20"/>
        <v>6</v>
      </c>
      <c r="AC151">
        <f t="shared" si="21"/>
        <v>94</v>
      </c>
      <c r="AD151" s="2">
        <f t="shared" si="22"/>
        <v>0.22340425531914893</v>
      </c>
      <c r="AE151" s="2">
        <f t="shared" si="23"/>
        <v>7.4468085106382975E-2</v>
      </c>
      <c r="AF151" s="3">
        <f t="shared" si="24"/>
        <v>85.106382978723403</v>
      </c>
      <c r="AG151">
        <f t="shared" si="25"/>
        <v>56.999999999999993</v>
      </c>
      <c r="AH151">
        <f t="shared" si="26"/>
        <v>14.842222222222221</v>
      </c>
    </row>
    <row r="152" spans="1:34" x14ac:dyDescent="0.25">
      <c r="A152" t="s">
        <v>177</v>
      </c>
      <c r="B152" t="s">
        <v>23</v>
      </c>
      <c r="C152">
        <v>27</v>
      </c>
      <c r="D152">
        <v>0.17199999999999999</v>
      </c>
      <c r="E152">
        <v>0.27300000000000002</v>
      </c>
      <c r="F152">
        <v>0.34499999999999997</v>
      </c>
      <c r="G152">
        <v>58</v>
      </c>
      <c r="H152">
        <v>10</v>
      </c>
      <c r="I152">
        <v>1</v>
      </c>
      <c r="J152">
        <v>0</v>
      </c>
      <c r="K152">
        <v>3</v>
      </c>
      <c r="L152">
        <v>9</v>
      </c>
      <c r="M152">
        <v>8</v>
      </c>
      <c r="N152">
        <v>3</v>
      </c>
      <c r="O152">
        <v>5</v>
      </c>
      <c r="P152">
        <v>14</v>
      </c>
      <c r="Q152">
        <v>4</v>
      </c>
      <c r="R152">
        <v>1</v>
      </c>
      <c r="T152">
        <f t="shared" si="18"/>
        <v>1.2902222222222222</v>
      </c>
      <c r="V152">
        <f t="shared" si="19"/>
        <v>2.5804444444444443</v>
      </c>
      <c r="AB152">
        <f t="shared" si="20"/>
        <v>4</v>
      </c>
      <c r="AC152">
        <f t="shared" si="21"/>
        <v>66</v>
      </c>
      <c r="AD152" s="2">
        <f t="shared" si="22"/>
        <v>0.21212121212121213</v>
      </c>
      <c r="AE152" s="2">
        <f t="shared" si="23"/>
        <v>0.12121212121212122</v>
      </c>
      <c r="AF152" s="3">
        <f t="shared" si="24"/>
        <v>90.909090909090907</v>
      </c>
      <c r="AG152">
        <f t="shared" si="25"/>
        <v>173</v>
      </c>
      <c r="AH152">
        <f t="shared" si="26"/>
        <v>12.902222222222221</v>
      </c>
    </row>
    <row r="153" spans="1:34" x14ac:dyDescent="0.25">
      <c r="A153" t="s">
        <v>178</v>
      </c>
      <c r="B153" t="s">
        <v>48</v>
      </c>
      <c r="C153">
        <v>27</v>
      </c>
      <c r="D153">
        <v>0.26300000000000001</v>
      </c>
      <c r="E153">
        <v>0.36799999999999999</v>
      </c>
      <c r="F153">
        <v>0.41099999999999998</v>
      </c>
      <c r="G153">
        <v>372</v>
      </c>
      <c r="H153">
        <v>98</v>
      </c>
      <c r="I153">
        <v>22</v>
      </c>
      <c r="J153">
        <v>3</v>
      </c>
      <c r="K153">
        <v>9</v>
      </c>
      <c r="L153">
        <v>56</v>
      </c>
      <c r="M153">
        <v>54</v>
      </c>
      <c r="N153">
        <v>6</v>
      </c>
      <c r="O153">
        <v>57</v>
      </c>
      <c r="P153">
        <v>93</v>
      </c>
      <c r="Q153">
        <v>16</v>
      </c>
      <c r="R153">
        <v>7</v>
      </c>
      <c r="T153">
        <f t="shared" si="18"/>
        <v>3.8844444444444433</v>
      </c>
      <c r="V153">
        <f t="shared" si="19"/>
        <v>7.7688888888888865</v>
      </c>
      <c r="AB153">
        <f t="shared" si="20"/>
        <v>2</v>
      </c>
      <c r="AC153">
        <f t="shared" si="21"/>
        <v>435</v>
      </c>
      <c r="AD153" s="2">
        <f t="shared" si="22"/>
        <v>0.21379310344827587</v>
      </c>
      <c r="AE153" s="2">
        <f t="shared" si="23"/>
        <v>0.14482758620689656</v>
      </c>
      <c r="AF153" s="3">
        <f t="shared" si="24"/>
        <v>93.103448275862064</v>
      </c>
      <c r="AG153">
        <f t="shared" si="25"/>
        <v>147.99999999999997</v>
      </c>
      <c r="AH153">
        <f t="shared" si="26"/>
        <v>38.844444444444434</v>
      </c>
    </row>
    <row r="154" spans="1:34" x14ac:dyDescent="0.25">
      <c r="A154" t="s">
        <v>179</v>
      </c>
      <c r="B154" t="s">
        <v>29</v>
      </c>
      <c r="C154">
        <v>27</v>
      </c>
      <c r="D154">
        <v>0.16700000000000001</v>
      </c>
      <c r="E154">
        <v>0.222</v>
      </c>
      <c r="F154">
        <v>0.28599999999999998</v>
      </c>
      <c r="G154">
        <v>42</v>
      </c>
      <c r="H154">
        <v>7</v>
      </c>
      <c r="I154">
        <v>2</v>
      </c>
      <c r="J154">
        <v>0</v>
      </c>
      <c r="K154">
        <v>1</v>
      </c>
      <c r="L154">
        <v>3</v>
      </c>
      <c r="M154">
        <v>4</v>
      </c>
      <c r="N154">
        <v>0</v>
      </c>
      <c r="O154">
        <v>3</v>
      </c>
      <c r="P154">
        <v>22</v>
      </c>
      <c r="Q154">
        <v>0</v>
      </c>
      <c r="R154">
        <v>0</v>
      </c>
      <c r="T154">
        <f t="shared" si="18"/>
        <v>0.29462962962962957</v>
      </c>
      <c r="V154">
        <f t="shared" si="19"/>
        <v>0.58925925925925915</v>
      </c>
      <c r="AB154">
        <f t="shared" si="20"/>
        <v>2</v>
      </c>
      <c r="AC154">
        <f t="shared" si="21"/>
        <v>45</v>
      </c>
      <c r="AD154" s="2">
        <f t="shared" si="22"/>
        <v>0.48888888888888887</v>
      </c>
      <c r="AE154" s="2">
        <f t="shared" si="23"/>
        <v>6.6666666666666666E-2</v>
      </c>
      <c r="AF154" s="3">
        <f t="shared" si="24"/>
        <v>57.777777777777779</v>
      </c>
      <c r="AG154">
        <f t="shared" si="25"/>
        <v>118.99999999999997</v>
      </c>
      <c r="AH154">
        <f t="shared" si="26"/>
        <v>2.9462962962962957</v>
      </c>
    </row>
    <row r="155" spans="1:34" x14ac:dyDescent="0.25">
      <c r="A155" t="s">
        <v>180</v>
      </c>
      <c r="B155" t="s">
        <v>33</v>
      </c>
      <c r="C155">
        <v>27</v>
      </c>
      <c r="D155">
        <v>0.16700000000000001</v>
      </c>
      <c r="E155">
        <v>0.20499999999999999</v>
      </c>
      <c r="F155">
        <v>0.222</v>
      </c>
      <c r="G155">
        <v>36</v>
      </c>
      <c r="H155">
        <v>6</v>
      </c>
      <c r="I155">
        <v>2</v>
      </c>
      <c r="J155">
        <v>0</v>
      </c>
      <c r="K155">
        <v>0</v>
      </c>
      <c r="L155">
        <v>4</v>
      </c>
      <c r="M155">
        <v>6</v>
      </c>
      <c r="N155">
        <v>0</v>
      </c>
      <c r="O155">
        <v>2</v>
      </c>
      <c r="P155">
        <v>11</v>
      </c>
      <c r="Q155">
        <v>1</v>
      </c>
      <c r="R155">
        <v>0</v>
      </c>
      <c r="T155">
        <f t="shared" si="18"/>
        <v>0.55444444444444441</v>
      </c>
      <c r="V155">
        <f t="shared" si="19"/>
        <v>1.1088888888888888</v>
      </c>
      <c r="AB155">
        <f t="shared" si="20"/>
        <v>6</v>
      </c>
      <c r="AC155">
        <f t="shared" si="21"/>
        <v>38</v>
      </c>
      <c r="AD155" s="2">
        <f t="shared" si="22"/>
        <v>0.28947368421052633</v>
      </c>
      <c r="AE155" s="2">
        <f t="shared" si="23"/>
        <v>5.2631578947368418E-2</v>
      </c>
      <c r="AF155" s="3">
        <f t="shared" si="24"/>
        <v>76.315789473684205</v>
      </c>
      <c r="AG155">
        <f t="shared" si="25"/>
        <v>54.999999999999993</v>
      </c>
      <c r="AH155">
        <f t="shared" si="26"/>
        <v>5.5444444444444443</v>
      </c>
    </row>
    <row r="156" spans="1:34" x14ac:dyDescent="0.25">
      <c r="A156" t="s">
        <v>181</v>
      </c>
      <c r="B156" t="s">
        <v>23</v>
      </c>
      <c r="C156">
        <v>27</v>
      </c>
      <c r="D156">
        <v>0.2</v>
      </c>
      <c r="E156">
        <v>0.214</v>
      </c>
      <c r="F156">
        <v>0.36399999999999999</v>
      </c>
      <c r="G156">
        <v>55</v>
      </c>
      <c r="H156">
        <v>11</v>
      </c>
      <c r="I156">
        <v>3</v>
      </c>
      <c r="J156">
        <v>0</v>
      </c>
      <c r="K156">
        <v>2</v>
      </c>
      <c r="L156">
        <v>5</v>
      </c>
      <c r="M156">
        <v>7</v>
      </c>
      <c r="N156">
        <v>0</v>
      </c>
      <c r="O156">
        <v>1</v>
      </c>
      <c r="P156">
        <v>15</v>
      </c>
      <c r="Q156">
        <v>1</v>
      </c>
      <c r="R156">
        <v>0</v>
      </c>
      <c r="T156">
        <f t="shared" si="18"/>
        <v>0.9914074074074074</v>
      </c>
      <c r="V156">
        <f t="shared" si="19"/>
        <v>1.9828148148148148</v>
      </c>
      <c r="AB156">
        <f t="shared" si="20"/>
        <v>4</v>
      </c>
      <c r="AC156">
        <f t="shared" si="21"/>
        <v>56</v>
      </c>
      <c r="AD156" s="2">
        <f t="shared" si="22"/>
        <v>0.26785714285714285</v>
      </c>
      <c r="AE156" s="2">
        <f t="shared" si="23"/>
        <v>1.7857142857142856E-2</v>
      </c>
      <c r="AF156" s="3">
        <f t="shared" si="24"/>
        <v>75</v>
      </c>
      <c r="AG156">
        <f t="shared" si="25"/>
        <v>163.99999999999997</v>
      </c>
      <c r="AH156">
        <f t="shared" si="26"/>
        <v>9.9140740740740743</v>
      </c>
    </row>
    <row r="157" spans="1:34" x14ac:dyDescent="0.25">
      <c r="A157" t="s">
        <v>182</v>
      </c>
      <c r="B157" t="s">
        <v>31</v>
      </c>
      <c r="C157">
        <v>27</v>
      </c>
      <c r="D157">
        <v>0.217</v>
      </c>
      <c r="E157">
        <v>0.27800000000000002</v>
      </c>
      <c r="F157">
        <v>0.32700000000000001</v>
      </c>
      <c r="G157">
        <v>217</v>
      </c>
      <c r="H157">
        <v>47</v>
      </c>
      <c r="I157">
        <v>10</v>
      </c>
      <c r="J157">
        <v>1</v>
      </c>
      <c r="K157">
        <v>4</v>
      </c>
      <c r="L157">
        <v>19</v>
      </c>
      <c r="M157">
        <v>14</v>
      </c>
      <c r="N157">
        <v>2</v>
      </c>
      <c r="O157">
        <v>17</v>
      </c>
      <c r="P157">
        <v>70</v>
      </c>
      <c r="Q157">
        <v>9</v>
      </c>
      <c r="R157">
        <v>4</v>
      </c>
      <c r="T157">
        <f t="shared" si="18"/>
        <v>6.586666666666666</v>
      </c>
      <c r="V157">
        <f t="shared" si="19"/>
        <v>13.173333333333332</v>
      </c>
      <c r="AB157">
        <f t="shared" si="20"/>
        <v>8</v>
      </c>
      <c r="AC157">
        <f t="shared" si="21"/>
        <v>236</v>
      </c>
      <c r="AD157" s="2">
        <f t="shared" si="22"/>
        <v>0.29661016949152541</v>
      </c>
      <c r="AE157" s="2">
        <f t="shared" si="23"/>
        <v>8.050847457627118E-2</v>
      </c>
      <c r="AF157" s="3">
        <f t="shared" si="24"/>
        <v>78.389830508474574</v>
      </c>
      <c r="AG157">
        <f t="shared" si="25"/>
        <v>110.00000000000001</v>
      </c>
      <c r="AH157">
        <f t="shared" si="26"/>
        <v>65.86666666666666</v>
      </c>
    </row>
    <row r="158" spans="1:34" x14ac:dyDescent="0.25">
      <c r="A158" t="s">
        <v>183</v>
      </c>
      <c r="B158" t="s">
        <v>23</v>
      </c>
      <c r="C158">
        <v>27</v>
      </c>
      <c r="D158">
        <v>0.219</v>
      </c>
      <c r="E158">
        <v>0.26500000000000001</v>
      </c>
      <c r="F158">
        <v>0.46899999999999997</v>
      </c>
      <c r="G158">
        <v>32</v>
      </c>
      <c r="H158">
        <v>7</v>
      </c>
      <c r="I158">
        <v>5</v>
      </c>
      <c r="J158">
        <v>0</v>
      </c>
      <c r="K158">
        <v>1</v>
      </c>
      <c r="L158">
        <v>5</v>
      </c>
      <c r="M158">
        <v>2</v>
      </c>
      <c r="N158">
        <v>0</v>
      </c>
      <c r="O158">
        <v>2</v>
      </c>
      <c r="P158">
        <v>2</v>
      </c>
      <c r="Q158">
        <v>1</v>
      </c>
      <c r="R158">
        <v>0</v>
      </c>
      <c r="T158">
        <f t="shared" si="18"/>
        <v>0.88148148148148164</v>
      </c>
      <c r="V158">
        <f t="shared" si="19"/>
        <v>1.7629629629629633</v>
      </c>
      <c r="AB158">
        <f t="shared" si="20"/>
        <v>4</v>
      </c>
      <c r="AC158">
        <f t="shared" si="21"/>
        <v>34</v>
      </c>
      <c r="AD158" s="2">
        <f t="shared" si="22"/>
        <v>5.8823529411764705E-2</v>
      </c>
      <c r="AE158" s="2">
        <f t="shared" si="23"/>
        <v>5.8823529411764705E-2</v>
      </c>
      <c r="AF158" s="3">
        <f t="shared" si="24"/>
        <v>100</v>
      </c>
      <c r="AG158">
        <f t="shared" si="25"/>
        <v>249.99999999999997</v>
      </c>
      <c r="AH158">
        <f t="shared" si="26"/>
        <v>8.8148148148148167</v>
      </c>
    </row>
    <row r="159" spans="1:34" x14ac:dyDescent="0.25">
      <c r="A159" t="s">
        <v>184</v>
      </c>
      <c r="B159" t="s">
        <v>48</v>
      </c>
      <c r="C159">
        <v>27</v>
      </c>
      <c r="D159">
        <v>0.22</v>
      </c>
      <c r="E159">
        <v>0.246</v>
      </c>
      <c r="F159">
        <v>0.23699999999999999</v>
      </c>
      <c r="G159">
        <v>59</v>
      </c>
      <c r="H159">
        <v>13</v>
      </c>
      <c r="I159">
        <v>1</v>
      </c>
      <c r="J159">
        <v>0</v>
      </c>
      <c r="K159">
        <v>0</v>
      </c>
      <c r="L159">
        <v>2</v>
      </c>
      <c r="M159">
        <v>4</v>
      </c>
      <c r="N159">
        <v>0</v>
      </c>
      <c r="O159">
        <v>2</v>
      </c>
      <c r="P159">
        <v>13</v>
      </c>
      <c r="Q159">
        <v>0</v>
      </c>
      <c r="R159">
        <v>1</v>
      </c>
      <c r="T159">
        <f t="shared" si="18"/>
        <v>0.22359259259259257</v>
      </c>
      <c r="V159">
        <f t="shared" si="19"/>
        <v>0.44718518518518513</v>
      </c>
      <c r="AB159">
        <f t="shared" si="20"/>
        <v>2</v>
      </c>
      <c r="AC159">
        <f t="shared" si="21"/>
        <v>61</v>
      </c>
      <c r="AD159" s="2">
        <f t="shared" si="22"/>
        <v>0.21311475409836064</v>
      </c>
      <c r="AE159" s="2">
        <f t="shared" si="23"/>
        <v>3.2786885245901641E-2</v>
      </c>
      <c r="AF159" s="3">
        <f t="shared" si="24"/>
        <v>81.967213114754102</v>
      </c>
      <c r="AG159">
        <f t="shared" si="25"/>
        <v>16.999999999999986</v>
      </c>
      <c r="AH159">
        <f t="shared" si="26"/>
        <v>2.2359259259259257</v>
      </c>
    </row>
    <row r="160" spans="1:34" x14ac:dyDescent="0.25">
      <c r="A160" t="s">
        <v>185</v>
      </c>
      <c r="B160" t="s">
        <v>29</v>
      </c>
      <c r="C160">
        <v>27</v>
      </c>
      <c r="D160">
        <v>0.19500000000000001</v>
      </c>
      <c r="E160">
        <v>0.214</v>
      </c>
      <c r="F160">
        <v>0.39</v>
      </c>
      <c r="G160">
        <v>41</v>
      </c>
      <c r="H160">
        <v>8</v>
      </c>
      <c r="I160">
        <v>0</v>
      </c>
      <c r="J160">
        <v>1</v>
      </c>
      <c r="K160">
        <v>2</v>
      </c>
      <c r="L160">
        <v>2</v>
      </c>
      <c r="M160">
        <v>4</v>
      </c>
      <c r="N160">
        <v>0</v>
      </c>
      <c r="O160">
        <v>1</v>
      </c>
      <c r="P160">
        <v>16</v>
      </c>
      <c r="Q160">
        <v>0</v>
      </c>
      <c r="R160">
        <v>1</v>
      </c>
      <c r="T160">
        <f t="shared" si="18"/>
        <v>0.40333333333333332</v>
      </c>
      <c r="V160">
        <f t="shared" si="19"/>
        <v>0.80666666666666664</v>
      </c>
      <c r="AB160">
        <f t="shared" si="20"/>
        <v>2</v>
      </c>
      <c r="AC160">
        <f t="shared" si="21"/>
        <v>42</v>
      </c>
      <c r="AD160" s="2">
        <f t="shared" si="22"/>
        <v>0.38095238095238093</v>
      </c>
      <c r="AE160" s="2">
        <f t="shared" si="23"/>
        <v>2.3809523809523808E-2</v>
      </c>
      <c r="AF160" s="3">
        <f t="shared" si="24"/>
        <v>64.285714285714292</v>
      </c>
      <c r="AG160">
        <f t="shared" si="25"/>
        <v>195</v>
      </c>
      <c r="AH160">
        <f t="shared" si="26"/>
        <v>4.0333333333333332</v>
      </c>
    </row>
    <row r="161" spans="1:34" x14ac:dyDescent="0.25">
      <c r="A161" t="s">
        <v>186</v>
      </c>
      <c r="B161" t="s">
        <v>19</v>
      </c>
      <c r="C161">
        <v>27</v>
      </c>
      <c r="D161">
        <v>7.2999999999999995E-2</v>
      </c>
      <c r="E161">
        <v>0.13300000000000001</v>
      </c>
      <c r="F161">
        <v>7.2999999999999995E-2</v>
      </c>
      <c r="G161">
        <v>41</v>
      </c>
      <c r="H161">
        <v>3</v>
      </c>
      <c r="I161">
        <v>0</v>
      </c>
      <c r="J161">
        <v>0</v>
      </c>
      <c r="K161">
        <v>0</v>
      </c>
      <c r="L161">
        <v>2</v>
      </c>
      <c r="M161">
        <v>3</v>
      </c>
      <c r="N161">
        <v>1</v>
      </c>
      <c r="O161">
        <v>2</v>
      </c>
      <c r="P161">
        <v>18</v>
      </c>
      <c r="Q161">
        <v>0</v>
      </c>
      <c r="R161">
        <v>0</v>
      </c>
      <c r="T161">
        <f t="shared" si="18"/>
        <v>0.53703703703703698</v>
      </c>
      <c r="V161">
        <f t="shared" si="19"/>
        <v>1.074074074074074</v>
      </c>
      <c r="AB161">
        <f t="shared" si="20"/>
        <v>10</v>
      </c>
      <c r="AC161">
        <f t="shared" si="21"/>
        <v>44</v>
      </c>
      <c r="AD161" s="2">
        <f t="shared" si="22"/>
        <v>0.40909090909090912</v>
      </c>
      <c r="AE161" s="2">
        <f t="shared" si="23"/>
        <v>6.8181818181818177E-2</v>
      </c>
      <c r="AF161" s="3">
        <f t="shared" si="24"/>
        <v>65.909090909090907</v>
      </c>
      <c r="AG161">
        <f t="shared" si="25"/>
        <v>0</v>
      </c>
      <c r="AH161">
        <f t="shared" si="26"/>
        <v>5.3703703703703702</v>
      </c>
    </row>
    <row r="162" spans="1:34" x14ac:dyDescent="0.25">
      <c r="A162" t="s">
        <v>187</v>
      </c>
      <c r="B162" t="s">
        <v>19</v>
      </c>
      <c r="C162">
        <v>27</v>
      </c>
      <c r="D162">
        <v>0.20799999999999999</v>
      </c>
      <c r="E162">
        <v>0.25900000000000001</v>
      </c>
      <c r="F162">
        <v>0.34</v>
      </c>
      <c r="G162">
        <v>53</v>
      </c>
      <c r="H162">
        <v>11</v>
      </c>
      <c r="I162">
        <v>1</v>
      </c>
      <c r="J162">
        <v>0</v>
      </c>
      <c r="K162">
        <v>2</v>
      </c>
      <c r="L162">
        <v>5</v>
      </c>
      <c r="M162">
        <v>4</v>
      </c>
      <c r="N162">
        <v>0</v>
      </c>
      <c r="O162">
        <v>4</v>
      </c>
      <c r="P162">
        <v>25</v>
      </c>
      <c r="Q162">
        <v>0</v>
      </c>
      <c r="R162">
        <v>0</v>
      </c>
      <c r="T162">
        <f t="shared" si="18"/>
        <v>2.06</v>
      </c>
      <c r="V162">
        <f t="shared" si="19"/>
        <v>4.12</v>
      </c>
      <c r="AB162">
        <f t="shared" si="20"/>
        <v>10</v>
      </c>
      <c r="AC162">
        <f t="shared" si="21"/>
        <v>57</v>
      </c>
      <c r="AD162" s="2">
        <f t="shared" si="22"/>
        <v>0.43859649122807015</v>
      </c>
      <c r="AE162" s="2">
        <f t="shared" si="23"/>
        <v>7.0175438596491224E-2</v>
      </c>
      <c r="AF162" s="3">
        <f t="shared" si="24"/>
        <v>63.15789473684211</v>
      </c>
      <c r="AG162">
        <f t="shared" si="25"/>
        <v>132.00000000000003</v>
      </c>
      <c r="AH162">
        <f t="shared" si="26"/>
        <v>20.6</v>
      </c>
    </row>
    <row r="163" spans="1:34" x14ac:dyDescent="0.25">
      <c r="A163" t="s">
        <v>188</v>
      </c>
      <c r="B163" t="s">
        <v>48</v>
      </c>
      <c r="C163">
        <v>27</v>
      </c>
      <c r="D163">
        <v>8.3000000000000004E-2</v>
      </c>
      <c r="E163">
        <v>0.26700000000000002</v>
      </c>
      <c r="F163">
        <v>8.3000000000000004E-2</v>
      </c>
      <c r="G163">
        <v>12</v>
      </c>
      <c r="H163">
        <v>1</v>
      </c>
      <c r="I163">
        <v>0</v>
      </c>
      <c r="J163">
        <v>0</v>
      </c>
      <c r="K163">
        <v>0</v>
      </c>
      <c r="L163">
        <v>3</v>
      </c>
      <c r="M163">
        <v>0</v>
      </c>
      <c r="N163">
        <v>2</v>
      </c>
      <c r="O163">
        <v>1</v>
      </c>
      <c r="P163">
        <v>6</v>
      </c>
      <c r="Q163">
        <v>0</v>
      </c>
      <c r="R163">
        <v>0</v>
      </c>
      <c r="T163">
        <f t="shared" si="18"/>
        <v>4.4444444444444439E-2</v>
      </c>
      <c r="V163">
        <f t="shared" si="19"/>
        <v>8.8888888888888878E-2</v>
      </c>
      <c r="AB163">
        <f t="shared" si="20"/>
        <v>2</v>
      </c>
      <c r="AC163">
        <f t="shared" si="21"/>
        <v>15</v>
      </c>
      <c r="AD163" s="2">
        <f t="shared" si="22"/>
        <v>0.4</v>
      </c>
      <c r="AE163" s="2">
        <f t="shared" si="23"/>
        <v>0.2</v>
      </c>
      <c r="AF163" s="3">
        <f t="shared" si="24"/>
        <v>80</v>
      </c>
      <c r="AG163">
        <f t="shared" si="25"/>
        <v>0</v>
      </c>
      <c r="AH163">
        <f t="shared" si="26"/>
        <v>0.44444444444444442</v>
      </c>
    </row>
    <row r="164" spans="1:34" x14ac:dyDescent="0.25">
      <c r="A164" t="s">
        <v>189</v>
      </c>
      <c r="B164" t="s">
        <v>23</v>
      </c>
      <c r="C164">
        <v>27</v>
      </c>
      <c r="D164">
        <v>0</v>
      </c>
      <c r="E164">
        <v>0</v>
      </c>
      <c r="F164">
        <v>0</v>
      </c>
      <c r="G164">
        <v>2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2</v>
      </c>
      <c r="Q164">
        <v>1</v>
      </c>
      <c r="R164">
        <v>0</v>
      </c>
      <c r="T164">
        <f t="shared" si="18"/>
        <v>0</v>
      </c>
      <c r="V164">
        <f t="shared" si="19"/>
        <v>0</v>
      </c>
      <c r="AB164">
        <f t="shared" si="20"/>
        <v>4</v>
      </c>
      <c r="AC164">
        <f t="shared" si="21"/>
        <v>2</v>
      </c>
      <c r="AD164" s="2">
        <f t="shared" si="22"/>
        <v>1</v>
      </c>
      <c r="AE164" s="2">
        <f t="shared" si="23"/>
        <v>0</v>
      </c>
      <c r="AF164" s="3">
        <f t="shared" si="24"/>
        <v>0</v>
      </c>
      <c r="AG164">
        <f t="shared" si="25"/>
        <v>0</v>
      </c>
      <c r="AH164">
        <f t="shared" si="26"/>
        <v>0</v>
      </c>
    </row>
    <row r="165" spans="1:34" x14ac:dyDescent="0.25">
      <c r="A165" t="s">
        <v>190</v>
      </c>
      <c r="B165" t="s">
        <v>21</v>
      </c>
      <c r="C165">
        <v>27</v>
      </c>
      <c r="D165">
        <v>0.28699999999999998</v>
      </c>
      <c r="E165">
        <v>0.38700000000000001</v>
      </c>
      <c r="F165">
        <v>0.55000000000000004</v>
      </c>
      <c r="G165">
        <v>129</v>
      </c>
      <c r="H165">
        <v>37</v>
      </c>
      <c r="I165">
        <v>11</v>
      </c>
      <c r="J165">
        <v>1</v>
      </c>
      <c r="K165">
        <v>7</v>
      </c>
      <c r="L165">
        <v>21</v>
      </c>
      <c r="M165">
        <v>23</v>
      </c>
      <c r="N165">
        <v>3</v>
      </c>
      <c r="O165">
        <v>18</v>
      </c>
      <c r="P165">
        <v>32</v>
      </c>
      <c r="Q165">
        <v>2</v>
      </c>
      <c r="R165">
        <v>0</v>
      </c>
      <c r="T165">
        <f t="shared" si="18"/>
        <v>0.98796296296296315</v>
      </c>
      <c r="V165">
        <f t="shared" si="19"/>
        <v>1.9759259259259263</v>
      </c>
      <c r="AB165">
        <f t="shared" si="20"/>
        <v>1</v>
      </c>
      <c r="AC165">
        <f t="shared" si="21"/>
        <v>150</v>
      </c>
      <c r="AD165" s="2">
        <f t="shared" si="22"/>
        <v>0.21333333333333335</v>
      </c>
      <c r="AE165" s="2">
        <f t="shared" si="23"/>
        <v>0.14000000000000001</v>
      </c>
      <c r="AF165" s="3">
        <f t="shared" si="24"/>
        <v>92.666666666666671</v>
      </c>
      <c r="AG165">
        <f t="shared" si="25"/>
        <v>263.00000000000006</v>
      </c>
      <c r="AH165">
        <f t="shared" si="26"/>
        <v>9.8796296296296315</v>
      </c>
    </row>
    <row r="166" spans="1:34" x14ac:dyDescent="0.25">
      <c r="A166" t="s">
        <v>191</v>
      </c>
      <c r="B166" t="s">
        <v>29</v>
      </c>
      <c r="C166">
        <v>27</v>
      </c>
      <c r="D166">
        <v>0.25</v>
      </c>
      <c r="E166">
        <v>0.25</v>
      </c>
      <c r="F166">
        <v>0.25</v>
      </c>
      <c r="G166">
        <v>8</v>
      </c>
      <c r="H166">
        <v>2</v>
      </c>
      <c r="I166">
        <v>0</v>
      </c>
      <c r="J166">
        <v>0</v>
      </c>
      <c r="K166">
        <v>0</v>
      </c>
      <c r="L166">
        <v>0</v>
      </c>
      <c r="M166">
        <v>1</v>
      </c>
      <c r="N166">
        <v>0</v>
      </c>
      <c r="O166">
        <v>0</v>
      </c>
      <c r="P166">
        <v>1</v>
      </c>
      <c r="Q166">
        <v>0</v>
      </c>
      <c r="R166">
        <v>0</v>
      </c>
      <c r="T166">
        <f t="shared" si="18"/>
        <v>2.5925925925925925E-2</v>
      </c>
      <c r="V166">
        <f t="shared" si="19"/>
        <v>5.185185185185185E-2</v>
      </c>
      <c r="AB166">
        <f t="shared" si="20"/>
        <v>2</v>
      </c>
      <c r="AC166">
        <f t="shared" si="21"/>
        <v>8</v>
      </c>
      <c r="AD166" s="2">
        <f t="shared" si="22"/>
        <v>0.125</v>
      </c>
      <c r="AE166" s="2">
        <f t="shared" si="23"/>
        <v>0</v>
      </c>
      <c r="AF166" s="3">
        <f t="shared" si="24"/>
        <v>87.5</v>
      </c>
      <c r="AG166">
        <f t="shared" si="25"/>
        <v>0</v>
      </c>
      <c r="AH166">
        <f t="shared" si="26"/>
        <v>0.25925925925925924</v>
      </c>
    </row>
    <row r="167" spans="1:34" x14ac:dyDescent="0.25">
      <c r="A167" t="s">
        <v>192</v>
      </c>
      <c r="B167" t="s">
        <v>31</v>
      </c>
      <c r="C167">
        <v>27</v>
      </c>
      <c r="D167">
        <v>0.26400000000000001</v>
      </c>
      <c r="E167">
        <v>0.309</v>
      </c>
      <c r="F167">
        <v>0.36799999999999999</v>
      </c>
      <c r="G167">
        <v>174</v>
      </c>
      <c r="H167">
        <v>46</v>
      </c>
      <c r="I167">
        <v>9</v>
      </c>
      <c r="J167">
        <v>0</v>
      </c>
      <c r="K167">
        <v>3</v>
      </c>
      <c r="L167">
        <v>25</v>
      </c>
      <c r="M167">
        <v>23</v>
      </c>
      <c r="N167">
        <v>3</v>
      </c>
      <c r="O167">
        <v>9</v>
      </c>
      <c r="P167">
        <v>45</v>
      </c>
      <c r="Q167">
        <v>4</v>
      </c>
      <c r="R167">
        <v>1</v>
      </c>
      <c r="T167">
        <f t="shared" si="18"/>
        <v>5.1324444444444444</v>
      </c>
      <c r="V167">
        <f t="shared" si="19"/>
        <v>10.264888888888889</v>
      </c>
      <c r="AB167">
        <f t="shared" si="20"/>
        <v>8</v>
      </c>
      <c r="AC167">
        <f t="shared" si="21"/>
        <v>186</v>
      </c>
      <c r="AD167" s="2">
        <f t="shared" si="22"/>
        <v>0.24193548387096775</v>
      </c>
      <c r="AE167" s="2">
        <f t="shared" si="23"/>
        <v>6.4516129032258063E-2</v>
      </c>
      <c r="AF167" s="3">
        <f t="shared" si="24"/>
        <v>82.258064516129025</v>
      </c>
      <c r="AG167">
        <f t="shared" si="25"/>
        <v>103.99999999999999</v>
      </c>
      <c r="AH167">
        <f t="shared" si="26"/>
        <v>51.324444444444445</v>
      </c>
    </row>
    <row r="168" spans="1:34" x14ac:dyDescent="0.25">
      <c r="A168" t="s">
        <v>193</v>
      </c>
      <c r="B168" t="s">
        <v>60</v>
      </c>
      <c r="C168">
        <v>27</v>
      </c>
      <c r="D168">
        <v>0.105</v>
      </c>
      <c r="E168">
        <v>0.19</v>
      </c>
      <c r="F168">
        <v>0.105</v>
      </c>
      <c r="G168">
        <v>38</v>
      </c>
      <c r="H168">
        <v>4</v>
      </c>
      <c r="I168">
        <v>0</v>
      </c>
      <c r="J168">
        <v>0</v>
      </c>
      <c r="K168">
        <v>0</v>
      </c>
      <c r="L168">
        <v>5</v>
      </c>
      <c r="M168">
        <v>0</v>
      </c>
      <c r="N168">
        <v>0</v>
      </c>
      <c r="O168">
        <v>4</v>
      </c>
      <c r="P168">
        <v>19</v>
      </c>
      <c r="Q168">
        <v>2</v>
      </c>
      <c r="R168">
        <v>0</v>
      </c>
      <c r="T168">
        <f t="shared" si="18"/>
        <v>0.39999999999999997</v>
      </c>
      <c r="V168">
        <f t="shared" si="19"/>
        <v>0.79999999999999993</v>
      </c>
      <c r="AB168">
        <f t="shared" si="20"/>
        <v>8</v>
      </c>
      <c r="AC168">
        <f t="shared" si="21"/>
        <v>42</v>
      </c>
      <c r="AD168" s="2">
        <f t="shared" si="22"/>
        <v>0.45238095238095238</v>
      </c>
      <c r="AE168" s="2">
        <f t="shared" si="23"/>
        <v>9.5238095238095233E-2</v>
      </c>
      <c r="AF168" s="3">
        <f t="shared" si="24"/>
        <v>64.285714285714278</v>
      </c>
      <c r="AG168">
        <f t="shared" si="25"/>
        <v>0</v>
      </c>
      <c r="AH168">
        <f t="shared" si="26"/>
        <v>3.9999999999999996</v>
      </c>
    </row>
    <row r="169" spans="1:34" x14ac:dyDescent="0.25">
      <c r="A169" t="s">
        <v>194</v>
      </c>
      <c r="B169" t="s">
        <v>23</v>
      </c>
      <c r="C169">
        <v>27</v>
      </c>
      <c r="D169">
        <v>0.22</v>
      </c>
      <c r="E169">
        <v>0.28299999999999997</v>
      </c>
      <c r="F169">
        <v>0.36599999999999999</v>
      </c>
      <c r="G169">
        <v>396</v>
      </c>
      <c r="H169">
        <v>87</v>
      </c>
      <c r="I169">
        <v>21</v>
      </c>
      <c r="J169">
        <v>2</v>
      </c>
      <c r="K169">
        <v>11</v>
      </c>
      <c r="L169">
        <v>56</v>
      </c>
      <c r="M169">
        <v>40</v>
      </c>
      <c r="N169">
        <v>3</v>
      </c>
      <c r="O169">
        <v>33</v>
      </c>
      <c r="P169">
        <v>109</v>
      </c>
      <c r="Q169">
        <v>18</v>
      </c>
      <c r="R169">
        <v>4</v>
      </c>
      <c r="T169">
        <f t="shared" si="18"/>
        <v>7.3312592592592596</v>
      </c>
      <c r="V169">
        <f t="shared" si="19"/>
        <v>14.662518518518519</v>
      </c>
      <c r="AB169">
        <f t="shared" si="20"/>
        <v>4</v>
      </c>
      <c r="AC169">
        <f t="shared" si="21"/>
        <v>432</v>
      </c>
      <c r="AD169" s="2">
        <f t="shared" si="22"/>
        <v>0.25231481481481483</v>
      </c>
      <c r="AE169" s="2">
        <f t="shared" si="23"/>
        <v>8.3333333333333329E-2</v>
      </c>
      <c r="AF169" s="3">
        <f t="shared" si="24"/>
        <v>83.101851851851848</v>
      </c>
      <c r="AG169">
        <f t="shared" si="25"/>
        <v>146</v>
      </c>
      <c r="AH169">
        <f t="shared" si="26"/>
        <v>73.312592592592594</v>
      </c>
    </row>
    <row r="170" spans="1:34" x14ac:dyDescent="0.25">
      <c r="A170" t="s">
        <v>195</v>
      </c>
      <c r="B170" t="s">
        <v>31</v>
      </c>
      <c r="C170">
        <v>27</v>
      </c>
      <c r="D170">
        <v>0.24399999999999999</v>
      </c>
      <c r="E170">
        <v>0.26800000000000002</v>
      </c>
      <c r="F170">
        <v>0.313</v>
      </c>
      <c r="G170">
        <v>262</v>
      </c>
      <c r="H170">
        <v>64</v>
      </c>
      <c r="I170">
        <v>9</v>
      </c>
      <c r="J170">
        <v>0</v>
      </c>
      <c r="K170">
        <v>3</v>
      </c>
      <c r="L170">
        <v>20</v>
      </c>
      <c r="M170">
        <v>20</v>
      </c>
      <c r="N170">
        <v>1</v>
      </c>
      <c r="O170">
        <v>9</v>
      </c>
      <c r="P170">
        <v>43</v>
      </c>
      <c r="Q170">
        <v>2</v>
      </c>
      <c r="R170">
        <v>1</v>
      </c>
      <c r="T170">
        <f t="shared" si="18"/>
        <v>6.3211851851851861</v>
      </c>
      <c r="V170">
        <f t="shared" si="19"/>
        <v>12.642370370370372</v>
      </c>
      <c r="AB170">
        <f t="shared" si="20"/>
        <v>8</v>
      </c>
      <c r="AC170">
        <f t="shared" si="21"/>
        <v>272</v>
      </c>
      <c r="AD170" s="2">
        <f t="shared" si="22"/>
        <v>0.15808823529411764</v>
      </c>
      <c r="AE170" s="2">
        <f t="shared" si="23"/>
        <v>3.6764705882352942E-2</v>
      </c>
      <c r="AF170" s="3">
        <f t="shared" si="24"/>
        <v>87.867647058823536</v>
      </c>
      <c r="AG170">
        <f t="shared" si="25"/>
        <v>69</v>
      </c>
      <c r="AH170">
        <f t="shared" si="26"/>
        <v>63.211851851851861</v>
      </c>
    </row>
    <row r="171" spans="1:34" x14ac:dyDescent="0.25">
      <c r="A171" t="s">
        <v>196</v>
      </c>
      <c r="B171" t="s">
        <v>23</v>
      </c>
      <c r="C171">
        <v>27</v>
      </c>
      <c r="D171">
        <v>0.17199999999999999</v>
      </c>
      <c r="E171">
        <v>0.2</v>
      </c>
      <c r="F171">
        <v>0.17199999999999999</v>
      </c>
      <c r="G171">
        <v>29</v>
      </c>
      <c r="H171">
        <v>5</v>
      </c>
      <c r="I171">
        <v>0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1</v>
      </c>
      <c r="P171">
        <v>16</v>
      </c>
      <c r="Q171">
        <v>0</v>
      </c>
      <c r="R171">
        <v>1</v>
      </c>
      <c r="T171">
        <f t="shared" si="18"/>
        <v>0.11111111111111112</v>
      </c>
      <c r="V171">
        <f t="shared" si="19"/>
        <v>0.22222222222222224</v>
      </c>
      <c r="AB171">
        <f t="shared" si="20"/>
        <v>4</v>
      </c>
      <c r="AC171">
        <f t="shared" si="21"/>
        <v>30</v>
      </c>
      <c r="AD171" s="2">
        <f t="shared" si="22"/>
        <v>0.53333333333333333</v>
      </c>
      <c r="AE171" s="2">
        <f t="shared" si="23"/>
        <v>3.3333333333333333E-2</v>
      </c>
      <c r="AF171" s="3">
        <f t="shared" si="24"/>
        <v>50</v>
      </c>
      <c r="AG171">
        <f t="shared" si="25"/>
        <v>0</v>
      </c>
      <c r="AH171">
        <f t="shared" si="26"/>
        <v>1.1111111111111112</v>
      </c>
    </row>
    <row r="172" spans="1:34" x14ac:dyDescent="0.25">
      <c r="A172" t="s">
        <v>197</v>
      </c>
      <c r="B172" t="s">
        <v>29</v>
      </c>
      <c r="C172">
        <v>27</v>
      </c>
      <c r="D172">
        <v>0.17499999999999999</v>
      </c>
      <c r="E172">
        <v>0.254</v>
      </c>
      <c r="F172">
        <v>0.38300000000000001</v>
      </c>
      <c r="G172">
        <v>120</v>
      </c>
      <c r="H172">
        <v>21</v>
      </c>
      <c r="I172">
        <v>4</v>
      </c>
      <c r="J172">
        <v>0</v>
      </c>
      <c r="K172">
        <v>7</v>
      </c>
      <c r="L172">
        <v>15</v>
      </c>
      <c r="M172">
        <v>14</v>
      </c>
      <c r="N172">
        <v>2</v>
      </c>
      <c r="O172">
        <v>11</v>
      </c>
      <c r="P172">
        <v>50</v>
      </c>
      <c r="Q172">
        <v>0</v>
      </c>
      <c r="R172">
        <v>0</v>
      </c>
      <c r="T172">
        <f t="shared" si="18"/>
        <v>1.3801481481481486</v>
      </c>
      <c r="V172">
        <f t="shared" si="19"/>
        <v>2.7602962962962971</v>
      </c>
      <c r="AB172">
        <f t="shared" si="20"/>
        <v>2</v>
      </c>
      <c r="AC172">
        <f t="shared" si="21"/>
        <v>133</v>
      </c>
      <c r="AD172" s="2">
        <f t="shared" si="22"/>
        <v>0.37593984962406013</v>
      </c>
      <c r="AE172" s="2">
        <f t="shared" si="23"/>
        <v>9.7744360902255634E-2</v>
      </c>
      <c r="AF172" s="3">
        <f t="shared" si="24"/>
        <v>72.180451127819552</v>
      </c>
      <c r="AG172">
        <f t="shared" si="25"/>
        <v>208.00000000000003</v>
      </c>
      <c r="AH172">
        <f t="shared" si="26"/>
        <v>13.801481481481485</v>
      </c>
    </row>
    <row r="173" spans="1:34" x14ac:dyDescent="0.25">
      <c r="A173" t="s">
        <v>198</v>
      </c>
      <c r="B173" t="s">
        <v>19</v>
      </c>
      <c r="C173">
        <v>27</v>
      </c>
      <c r="D173">
        <v>0.30599999999999999</v>
      </c>
      <c r="E173">
        <v>0.35799999999999998</v>
      </c>
      <c r="F173">
        <v>0.44900000000000001</v>
      </c>
      <c r="G173">
        <v>49</v>
      </c>
      <c r="H173">
        <v>15</v>
      </c>
      <c r="I173">
        <v>5</v>
      </c>
      <c r="J173">
        <v>1</v>
      </c>
      <c r="K173">
        <v>0</v>
      </c>
      <c r="L173">
        <v>6</v>
      </c>
      <c r="M173">
        <v>7</v>
      </c>
      <c r="N173">
        <v>0</v>
      </c>
      <c r="O173">
        <v>4</v>
      </c>
      <c r="P173">
        <v>7</v>
      </c>
      <c r="Q173">
        <v>2</v>
      </c>
      <c r="R173">
        <v>0</v>
      </c>
      <c r="T173">
        <f t="shared" si="18"/>
        <v>2.3294444444444449</v>
      </c>
      <c r="V173">
        <f t="shared" si="19"/>
        <v>4.6588888888888897</v>
      </c>
      <c r="AB173">
        <f t="shared" si="20"/>
        <v>10</v>
      </c>
      <c r="AC173">
        <f t="shared" si="21"/>
        <v>53</v>
      </c>
      <c r="AD173" s="2">
        <f t="shared" si="22"/>
        <v>0.13207547169811321</v>
      </c>
      <c r="AE173" s="2">
        <f t="shared" si="23"/>
        <v>7.5471698113207544E-2</v>
      </c>
      <c r="AF173" s="3">
        <f t="shared" si="24"/>
        <v>94.339622641509436</v>
      </c>
      <c r="AG173">
        <f t="shared" si="25"/>
        <v>143.00000000000003</v>
      </c>
      <c r="AH173">
        <f t="shared" si="26"/>
        <v>23.294444444444448</v>
      </c>
    </row>
    <row r="174" spans="1:34" x14ac:dyDescent="0.25">
      <c r="A174" t="s">
        <v>199</v>
      </c>
      <c r="B174" t="s">
        <v>33</v>
      </c>
      <c r="C174">
        <v>27</v>
      </c>
      <c r="D174">
        <v>0.16700000000000001</v>
      </c>
      <c r="E174">
        <v>0.16700000000000001</v>
      </c>
      <c r="F174">
        <v>0.25</v>
      </c>
      <c r="G174">
        <v>36</v>
      </c>
      <c r="H174">
        <v>6</v>
      </c>
      <c r="I174">
        <v>0</v>
      </c>
      <c r="J174">
        <v>0</v>
      </c>
      <c r="K174">
        <v>1</v>
      </c>
      <c r="L174">
        <v>2</v>
      </c>
      <c r="M174">
        <v>5</v>
      </c>
      <c r="N174">
        <v>0</v>
      </c>
      <c r="O174">
        <v>0</v>
      </c>
      <c r="P174">
        <v>13</v>
      </c>
      <c r="Q174">
        <v>0</v>
      </c>
      <c r="R174">
        <v>0</v>
      </c>
      <c r="T174">
        <f t="shared" si="18"/>
        <v>0.5875555555555555</v>
      </c>
      <c r="V174">
        <f t="shared" si="19"/>
        <v>1.175111111111111</v>
      </c>
      <c r="AB174">
        <f t="shared" si="20"/>
        <v>6</v>
      </c>
      <c r="AC174">
        <f t="shared" si="21"/>
        <v>36</v>
      </c>
      <c r="AD174" s="2">
        <f t="shared" si="22"/>
        <v>0.3611111111111111</v>
      </c>
      <c r="AE174" s="2">
        <f t="shared" si="23"/>
        <v>0</v>
      </c>
      <c r="AF174" s="3">
        <f t="shared" si="24"/>
        <v>63.888888888888893</v>
      </c>
      <c r="AG174">
        <f t="shared" si="25"/>
        <v>82.999999999999986</v>
      </c>
      <c r="AH174">
        <f t="shared" si="26"/>
        <v>5.8755555555555548</v>
      </c>
    </row>
    <row r="175" spans="1:34" x14ac:dyDescent="0.25">
      <c r="A175" t="s">
        <v>200</v>
      </c>
      <c r="B175" t="s">
        <v>60</v>
      </c>
      <c r="C175">
        <v>27</v>
      </c>
      <c r="D175">
        <v>0.21299999999999999</v>
      </c>
      <c r="E175">
        <v>0.27300000000000002</v>
      </c>
      <c r="F175">
        <v>0.34499999999999997</v>
      </c>
      <c r="G175">
        <v>197</v>
      </c>
      <c r="H175">
        <v>42</v>
      </c>
      <c r="I175">
        <v>9</v>
      </c>
      <c r="J175">
        <v>1</v>
      </c>
      <c r="K175">
        <v>5</v>
      </c>
      <c r="L175">
        <v>27</v>
      </c>
      <c r="M175">
        <v>22</v>
      </c>
      <c r="N175">
        <v>1</v>
      </c>
      <c r="O175">
        <v>16</v>
      </c>
      <c r="P175">
        <v>69</v>
      </c>
      <c r="Q175">
        <v>8</v>
      </c>
      <c r="R175">
        <v>1</v>
      </c>
      <c r="T175">
        <f t="shared" si="18"/>
        <v>6.5848888888888881</v>
      </c>
      <c r="V175">
        <f t="shared" si="19"/>
        <v>13.169777777777776</v>
      </c>
      <c r="AB175">
        <f t="shared" si="20"/>
        <v>8</v>
      </c>
      <c r="AC175">
        <f t="shared" si="21"/>
        <v>214</v>
      </c>
      <c r="AD175" s="2">
        <f t="shared" si="22"/>
        <v>0.32242990654205606</v>
      </c>
      <c r="AE175" s="2">
        <f t="shared" si="23"/>
        <v>7.9439252336448593E-2</v>
      </c>
      <c r="AF175" s="3">
        <f t="shared" si="24"/>
        <v>75.700934579439263</v>
      </c>
      <c r="AG175">
        <f t="shared" si="25"/>
        <v>131.99999999999997</v>
      </c>
      <c r="AH175">
        <f t="shared" si="26"/>
        <v>65.848888888888879</v>
      </c>
    </row>
    <row r="176" spans="1:34" x14ac:dyDescent="0.25">
      <c r="A176" t="s">
        <v>201</v>
      </c>
      <c r="B176" t="s">
        <v>48</v>
      </c>
      <c r="C176">
        <v>27</v>
      </c>
      <c r="D176">
        <v>0.19600000000000001</v>
      </c>
      <c r="E176">
        <v>0.28299999999999997</v>
      </c>
      <c r="F176">
        <v>0.307</v>
      </c>
      <c r="G176">
        <v>153</v>
      </c>
      <c r="H176">
        <v>30</v>
      </c>
      <c r="I176">
        <v>5</v>
      </c>
      <c r="J176">
        <v>0</v>
      </c>
      <c r="K176">
        <v>4</v>
      </c>
      <c r="L176">
        <v>18</v>
      </c>
      <c r="M176">
        <v>14</v>
      </c>
      <c r="N176">
        <v>1</v>
      </c>
      <c r="O176">
        <v>18</v>
      </c>
      <c r="P176">
        <v>46</v>
      </c>
      <c r="Q176">
        <v>7</v>
      </c>
      <c r="R176">
        <v>2</v>
      </c>
      <c r="T176">
        <f t="shared" si="18"/>
        <v>1.244148148148148</v>
      </c>
      <c r="V176">
        <f t="shared" si="19"/>
        <v>2.488296296296296</v>
      </c>
      <c r="AB176">
        <f t="shared" si="20"/>
        <v>2</v>
      </c>
      <c r="AC176">
        <f t="shared" si="21"/>
        <v>172</v>
      </c>
      <c r="AD176" s="2">
        <f t="shared" si="22"/>
        <v>0.26744186046511625</v>
      </c>
      <c r="AE176" s="2">
        <f t="shared" si="23"/>
        <v>0.11046511627906977</v>
      </c>
      <c r="AF176" s="3">
        <f t="shared" si="24"/>
        <v>84.302325581395351</v>
      </c>
      <c r="AG176">
        <f t="shared" si="25"/>
        <v>110.99999999999999</v>
      </c>
      <c r="AH176">
        <f t="shared" si="26"/>
        <v>12.44148148148148</v>
      </c>
    </row>
    <row r="177" spans="1:34" x14ac:dyDescent="0.25">
      <c r="A177" t="s">
        <v>202</v>
      </c>
      <c r="B177" t="s">
        <v>48</v>
      </c>
      <c r="C177">
        <v>27</v>
      </c>
      <c r="D177">
        <v>0.129</v>
      </c>
      <c r="E177">
        <v>0.17299999999999999</v>
      </c>
      <c r="F177">
        <v>0.14299999999999999</v>
      </c>
      <c r="G177">
        <v>70</v>
      </c>
      <c r="H177">
        <v>9</v>
      </c>
      <c r="I177">
        <v>1</v>
      </c>
      <c r="J177">
        <v>0</v>
      </c>
      <c r="K177">
        <v>0</v>
      </c>
      <c r="L177">
        <v>2</v>
      </c>
      <c r="M177">
        <v>9</v>
      </c>
      <c r="N177">
        <v>2</v>
      </c>
      <c r="O177">
        <v>2</v>
      </c>
      <c r="P177">
        <v>27</v>
      </c>
      <c r="Q177">
        <v>0</v>
      </c>
      <c r="R177">
        <v>0</v>
      </c>
      <c r="T177">
        <f t="shared" si="18"/>
        <v>0.22725925925925922</v>
      </c>
      <c r="V177">
        <f t="shared" si="19"/>
        <v>0.45451851851851843</v>
      </c>
      <c r="AB177">
        <f t="shared" si="20"/>
        <v>2</v>
      </c>
      <c r="AC177">
        <f t="shared" si="21"/>
        <v>74</v>
      </c>
      <c r="AD177" s="2">
        <f t="shared" si="22"/>
        <v>0.36486486486486486</v>
      </c>
      <c r="AE177" s="2">
        <f t="shared" si="23"/>
        <v>5.4054054054054057E-2</v>
      </c>
      <c r="AF177" s="3">
        <f t="shared" si="24"/>
        <v>68.918918918918919</v>
      </c>
      <c r="AG177">
        <f t="shared" si="25"/>
        <v>13.999999999999984</v>
      </c>
      <c r="AH177">
        <f t="shared" si="26"/>
        <v>2.2725925925925923</v>
      </c>
    </row>
    <row r="178" spans="1:34" x14ac:dyDescent="0.25">
      <c r="A178" t="s">
        <v>203</v>
      </c>
      <c r="B178" t="s">
        <v>19</v>
      </c>
      <c r="C178">
        <v>27</v>
      </c>
      <c r="D178">
        <v>0.152</v>
      </c>
      <c r="E178">
        <v>0.24</v>
      </c>
      <c r="F178">
        <v>0.20499999999999999</v>
      </c>
      <c r="G178">
        <v>112</v>
      </c>
      <c r="H178">
        <v>17</v>
      </c>
      <c r="I178">
        <v>3</v>
      </c>
      <c r="J178">
        <v>0</v>
      </c>
      <c r="K178">
        <v>1</v>
      </c>
      <c r="L178">
        <v>9</v>
      </c>
      <c r="M178">
        <v>10</v>
      </c>
      <c r="N178">
        <v>2</v>
      </c>
      <c r="O178">
        <v>11</v>
      </c>
      <c r="P178">
        <v>23</v>
      </c>
      <c r="Q178">
        <v>0</v>
      </c>
      <c r="R178">
        <v>0</v>
      </c>
      <c r="T178">
        <f t="shared" si="18"/>
        <v>3.3564814814814818</v>
      </c>
      <c r="V178">
        <f t="shared" si="19"/>
        <v>6.7129629629629637</v>
      </c>
      <c r="AB178">
        <f t="shared" si="20"/>
        <v>10</v>
      </c>
      <c r="AC178">
        <f t="shared" si="21"/>
        <v>125</v>
      </c>
      <c r="AD178" s="2">
        <f t="shared" si="22"/>
        <v>0.184</v>
      </c>
      <c r="AE178" s="2">
        <f t="shared" si="23"/>
        <v>0.104</v>
      </c>
      <c r="AF178" s="3">
        <f t="shared" si="24"/>
        <v>92</v>
      </c>
      <c r="AG178">
        <f t="shared" si="25"/>
        <v>52.999999999999993</v>
      </c>
      <c r="AH178">
        <f t="shared" si="26"/>
        <v>33.564814814814817</v>
      </c>
    </row>
    <row r="179" spans="1:34" x14ac:dyDescent="0.25">
      <c r="A179" t="s">
        <v>204</v>
      </c>
      <c r="B179" t="s">
        <v>19</v>
      </c>
      <c r="C179">
        <v>27</v>
      </c>
      <c r="D179">
        <v>0.125</v>
      </c>
      <c r="E179">
        <v>0.16700000000000001</v>
      </c>
      <c r="F179">
        <v>0.188</v>
      </c>
      <c r="G179">
        <v>16</v>
      </c>
      <c r="H179">
        <v>2</v>
      </c>
      <c r="I179">
        <v>1</v>
      </c>
      <c r="J179">
        <v>0</v>
      </c>
      <c r="K179">
        <v>0</v>
      </c>
      <c r="L179">
        <v>2</v>
      </c>
      <c r="M179">
        <v>1</v>
      </c>
      <c r="N179">
        <v>0</v>
      </c>
      <c r="O179">
        <v>1</v>
      </c>
      <c r="P179">
        <v>7</v>
      </c>
      <c r="Q179">
        <v>0</v>
      </c>
      <c r="R179">
        <v>0</v>
      </c>
      <c r="T179">
        <f t="shared" si="18"/>
        <v>0.40203703703703714</v>
      </c>
      <c r="V179">
        <f t="shared" si="19"/>
        <v>0.80407407407407427</v>
      </c>
      <c r="AB179">
        <f t="shared" si="20"/>
        <v>10</v>
      </c>
      <c r="AC179">
        <f t="shared" si="21"/>
        <v>17</v>
      </c>
      <c r="AD179" s="2">
        <f t="shared" si="22"/>
        <v>0.41176470588235292</v>
      </c>
      <c r="AE179" s="2">
        <f t="shared" si="23"/>
        <v>5.8823529411764705E-2</v>
      </c>
      <c r="AF179" s="3">
        <f t="shared" si="24"/>
        <v>64.705882352941188</v>
      </c>
      <c r="AG179">
        <f t="shared" si="25"/>
        <v>63</v>
      </c>
      <c r="AH179">
        <f t="shared" si="26"/>
        <v>4.0203703703703715</v>
      </c>
    </row>
    <row r="180" spans="1:34" x14ac:dyDescent="0.25">
      <c r="A180" t="s">
        <v>205</v>
      </c>
      <c r="B180" t="s">
        <v>26</v>
      </c>
      <c r="C180">
        <v>27</v>
      </c>
      <c r="D180">
        <v>0.188</v>
      </c>
      <c r="E180">
        <v>0.188</v>
      </c>
      <c r="F180">
        <v>0.219</v>
      </c>
      <c r="G180">
        <v>32</v>
      </c>
      <c r="H180">
        <v>6</v>
      </c>
      <c r="I180">
        <v>1</v>
      </c>
      <c r="J180">
        <v>0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10</v>
      </c>
      <c r="Q180">
        <v>0</v>
      </c>
      <c r="R180">
        <v>0</v>
      </c>
      <c r="T180">
        <f t="shared" si="18"/>
        <v>0.59111111111111125</v>
      </c>
      <c r="V180">
        <f t="shared" si="19"/>
        <v>1.1822222222222225</v>
      </c>
      <c r="AB180">
        <f t="shared" si="20"/>
        <v>10</v>
      </c>
      <c r="AC180">
        <f t="shared" si="21"/>
        <v>32</v>
      </c>
      <c r="AD180" s="2">
        <f t="shared" si="22"/>
        <v>0.3125</v>
      </c>
      <c r="AE180" s="2">
        <f t="shared" si="23"/>
        <v>0</v>
      </c>
      <c r="AF180" s="3">
        <f t="shared" si="24"/>
        <v>68.75</v>
      </c>
      <c r="AG180">
        <f t="shared" si="25"/>
        <v>31</v>
      </c>
      <c r="AH180">
        <f t="shared" si="26"/>
        <v>5.9111111111111123</v>
      </c>
    </row>
    <row r="181" spans="1:34" x14ac:dyDescent="0.25">
      <c r="A181" t="s">
        <v>206</v>
      </c>
      <c r="B181" t="s">
        <v>29</v>
      </c>
      <c r="C181">
        <v>27</v>
      </c>
      <c r="D181">
        <v>0.26</v>
      </c>
      <c r="E181">
        <v>0.317</v>
      </c>
      <c r="F181">
        <v>0.34399999999999997</v>
      </c>
      <c r="G181">
        <v>96</v>
      </c>
      <c r="H181">
        <v>25</v>
      </c>
      <c r="I181">
        <v>8</v>
      </c>
      <c r="J181">
        <v>0</v>
      </c>
      <c r="K181">
        <v>0</v>
      </c>
      <c r="L181">
        <v>13</v>
      </c>
      <c r="M181">
        <v>9</v>
      </c>
      <c r="N181">
        <v>3</v>
      </c>
      <c r="O181">
        <v>5</v>
      </c>
      <c r="P181">
        <v>24</v>
      </c>
      <c r="Q181">
        <v>2</v>
      </c>
      <c r="R181">
        <v>1</v>
      </c>
      <c r="T181">
        <f t="shared" si="18"/>
        <v>0.64948148148148144</v>
      </c>
      <c r="V181">
        <f t="shared" si="19"/>
        <v>1.2989629629629629</v>
      </c>
      <c r="AB181">
        <f t="shared" si="20"/>
        <v>2</v>
      </c>
      <c r="AC181">
        <f t="shared" si="21"/>
        <v>104</v>
      </c>
      <c r="AD181" s="2">
        <f t="shared" si="22"/>
        <v>0.23076923076923078</v>
      </c>
      <c r="AE181" s="2">
        <f t="shared" si="23"/>
        <v>7.6923076923076927E-2</v>
      </c>
      <c r="AF181" s="3">
        <f t="shared" si="24"/>
        <v>84.615384615384613</v>
      </c>
      <c r="AG181">
        <f t="shared" si="25"/>
        <v>83.999999999999957</v>
      </c>
      <c r="AH181">
        <f t="shared" si="26"/>
        <v>6.4948148148148146</v>
      </c>
    </row>
    <row r="182" spans="1:34" x14ac:dyDescent="0.25">
      <c r="A182" t="s">
        <v>207</v>
      </c>
      <c r="B182" t="s">
        <v>48</v>
      </c>
      <c r="C182">
        <v>27</v>
      </c>
      <c r="D182">
        <v>0.28799999999999998</v>
      </c>
      <c r="E182">
        <v>0.36799999999999999</v>
      </c>
      <c r="F182">
        <v>0.54400000000000004</v>
      </c>
      <c r="G182">
        <v>399</v>
      </c>
      <c r="H182">
        <v>115</v>
      </c>
      <c r="I182">
        <v>21</v>
      </c>
      <c r="J182">
        <v>3</v>
      </c>
      <c r="K182">
        <v>25</v>
      </c>
      <c r="L182">
        <v>61</v>
      </c>
      <c r="M182">
        <v>73</v>
      </c>
      <c r="N182">
        <v>5</v>
      </c>
      <c r="O182">
        <v>48</v>
      </c>
      <c r="P182">
        <v>125</v>
      </c>
      <c r="Q182">
        <v>5</v>
      </c>
      <c r="R182">
        <v>1</v>
      </c>
      <c r="T182">
        <f t="shared" si="18"/>
        <v>5.6930370370370378</v>
      </c>
      <c r="V182">
        <f t="shared" si="19"/>
        <v>11.386074074074076</v>
      </c>
      <c r="AB182">
        <f t="shared" si="20"/>
        <v>2</v>
      </c>
      <c r="AC182">
        <f t="shared" si="21"/>
        <v>452</v>
      </c>
      <c r="AD182" s="2">
        <f t="shared" si="22"/>
        <v>0.27654867256637167</v>
      </c>
      <c r="AE182" s="2">
        <f t="shared" si="23"/>
        <v>0.11725663716814159</v>
      </c>
      <c r="AF182" s="3">
        <f t="shared" si="24"/>
        <v>84.070796460176993</v>
      </c>
      <c r="AG182">
        <f t="shared" si="25"/>
        <v>256.00000000000006</v>
      </c>
      <c r="AH182">
        <f t="shared" si="26"/>
        <v>56.930370370370376</v>
      </c>
    </row>
    <row r="183" spans="1:34" x14ac:dyDescent="0.25">
      <c r="A183" t="s">
        <v>208</v>
      </c>
      <c r="B183" t="s">
        <v>60</v>
      </c>
      <c r="C183">
        <v>27</v>
      </c>
      <c r="D183">
        <v>0.28000000000000003</v>
      </c>
      <c r="E183">
        <v>0.32100000000000001</v>
      </c>
      <c r="F183">
        <v>0.38</v>
      </c>
      <c r="G183">
        <v>50</v>
      </c>
      <c r="H183">
        <v>14</v>
      </c>
      <c r="I183">
        <v>2</v>
      </c>
      <c r="J183">
        <v>0</v>
      </c>
      <c r="K183">
        <v>1</v>
      </c>
      <c r="L183">
        <v>19</v>
      </c>
      <c r="M183">
        <v>6</v>
      </c>
      <c r="N183">
        <v>3</v>
      </c>
      <c r="O183">
        <v>1</v>
      </c>
      <c r="P183">
        <v>11</v>
      </c>
      <c r="Q183">
        <v>21</v>
      </c>
      <c r="R183">
        <v>2</v>
      </c>
      <c r="T183">
        <f t="shared" si="18"/>
        <v>1.496296296296296</v>
      </c>
      <c r="V183">
        <f t="shared" si="19"/>
        <v>2.992592592592592</v>
      </c>
      <c r="AB183">
        <f t="shared" si="20"/>
        <v>8</v>
      </c>
      <c r="AC183">
        <f t="shared" si="21"/>
        <v>54</v>
      </c>
      <c r="AD183" s="2">
        <f t="shared" si="22"/>
        <v>0.20370370370370369</v>
      </c>
      <c r="AE183" s="2">
        <f t="shared" si="23"/>
        <v>7.407407407407407E-2</v>
      </c>
      <c r="AF183" s="3">
        <f t="shared" si="24"/>
        <v>87.037037037037038</v>
      </c>
      <c r="AG183">
        <f t="shared" si="25"/>
        <v>99.999999999999972</v>
      </c>
      <c r="AH183">
        <f t="shared" si="26"/>
        <v>14.96296296296296</v>
      </c>
    </row>
    <row r="184" spans="1:34" x14ac:dyDescent="0.25">
      <c r="A184" t="s">
        <v>209</v>
      </c>
      <c r="B184" t="s">
        <v>60</v>
      </c>
      <c r="C184">
        <v>27</v>
      </c>
      <c r="D184">
        <v>0.19700000000000001</v>
      </c>
      <c r="E184">
        <v>0.29599999999999999</v>
      </c>
      <c r="F184">
        <v>0.33300000000000002</v>
      </c>
      <c r="G184">
        <v>117</v>
      </c>
      <c r="H184">
        <v>23</v>
      </c>
      <c r="I184">
        <v>7</v>
      </c>
      <c r="J184">
        <v>0</v>
      </c>
      <c r="K184">
        <v>3</v>
      </c>
      <c r="L184">
        <v>15</v>
      </c>
      <c r="M184">
        <v>12</v>
      </c>
      <c r="N184">
        <v>0</v>
      </c>
      <c r="O184">
        <v>17</v>
      </c>
      <c r="P184">
        <v>41</v>
      </c>
      <c r="Q184">
        <v>3</v>
      </c>
      <c r="R184">
        <v>2</v>
      </c>
      <c r="T184">
        <f t="shared" si="18"/>
        <v>4.3294814814814817</v>
      </c>
      <c r="V184">
        <f t="shared" si="19"/>
        <v>8.6589629629629634</v>
      </c>
      <c r="AB184">
        <f t="shared" si="20"/>
        <v>8</v>
      </c>
      <c r="AC184">
        <f t="shared" si="21"/>
        <v>134</v>
      </c>
      <c r="AD184" s="2">
        <f t="shared" si="22"/>
        <v>0.30597014925373134</v>
      </c>
      <c r="AE184" s="2">
        <f t="shared" si="23"/>
        <v>0.12686567164179105</v>
      </c>
      <c r="AF184" s="3">
        <f t="shared" si="24"/>
        <v>82.089552238805965</v>
      </c>
      <c r="AG184">
        <f t="shared" si="25"/>
        <v>136</v>
      </c>
      <c r="AH184">
        <f t="shared" si="26"/>
        <v>43.294814814814814</v>
      </c>
    </row>
    <row r="185" spans="1:34" x14ac:dyDescent="0.25">
      <c r="A185" t="s">
        <v>210</v>
      </c>
      <c r="B185" t="s">
        <v>33</v>
      </c>
      <c r="C185">
        <v>28</v>
      </c>
      <c r="D185">
        <v>0</v>
      </c>
      <c r="E185">
        <v>0</v>
      </c>
      <c r="F185">
        <v>0</v>
      </c>
      <c r="G185">
        <v>4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2</v>
      </c>
      <c r="Q185">
        <v>0</v>
      </c>
      <c r="R185">
        <v>0</v>
      </c>
      <c r="T185">
        <f t="shared" si="18"/>
        <v>2.1428571428571429E-2</v>
      </c>
      <c r="V185">
        <f t="shared" si="19"/>
        <v>4.2857142857142858E-2</v>
      </c>
      <c r="AB185">
        <f t="shared" si="20"/>
        <v>6</v>
      </c>
      <c r="AC185">
        <f t="shared" si="21"/>
        <v>4</v>
      </c>
      <c r="AD185" s="2">
        <f t="shared" si="22"/>
        <v>0.5</v>
      </c>
      <c r="AE185" s="2">
        <f t="shared" si="23"/>
        <v>0</v>
      </c>
      <c r="AF185" s="3">
        <f t="shared" si="24"/>
        <v>50</v>
      </c>
      <c r="AG185">
        <f t="shared" si="25"/>
        <v>0</v>
      </c>
      <c r="AH185">
        <f t="shared" si="26"/>
        <v>0.21428571428571427</v>
      </c>
    </row>
    <row r="186" spans="1:34" x14ac:dyDescent="0.25">
      <c r="A186" t="s">
        <v>211</v>
      </c>
      <c r="B186" t="s">
        <v>29</v>
      </c>
      <c r="C186">
        <v>28</v>
      </c>
      <c r="D186">
        <v>0.17599999999999999</v>
      </c>
      <c r="E186">
        <v>0.17599999999999999</v>
      </c>
      <c r="F186">
        <v>0.17599999999999999</v>
      </c>
      <c r="G186">
        <v>17</v>
      </c>
      <c r="H186">
        <v>3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8</v>
      </c>
      <c r="Q186">
        <v>0</v>
      </c>
      <c r="R186">
        <v>0</v>
      </c>
      <c r="T186">
        <f t="shared" si="18"/>
        <v>3.2142857142857154E-2</v>
      </c>
      <c r="V186">
        <f t="shared" si="19"/>
        <v>6.4285714285714307E-2</v>
      </c>
      <c r="AB186">
        <f t="shared" si="20"/>
        <v>2</v>
      </c>
      <c r="AC186">
        <f t="shared" si="21"/>
        <v>17</v>
      </c>
      <c r="AD186" s="2">
        <f t="shared" si="22"/>
        <v>0.47058823529411764</v>
      </c>
      <c r="AE186" s="2">
        <f t="shared" si="23"/>
        <v>0</v>
      </c>
      <c r="AF186" s="3">
        <f t="shared" si="24"/>
        <v>52.941176470588239</v>
      </c>
      <c r="AG186">
        <f t="shared" si="25"/>
        <v>0</v>
      </c>
      <c r="AH186">
        <f t="shared" si="26"/>
        <v>0.32142857142857151</v>
      </c>
    </row>
    <row r="187" spans="1:34" x14ac:dyDescent="0.25">
      <c r="A187" t="s">
        <v>212</v>
      </c>
      <c r="B187" t="s">
        <v>21</v>
      </c>
      <c r="C187">
        <v>28</v>
      </c>
      <c r="D187">
        <v>0.23499999999999999</v>
      </c>
      <c r="E187">
        <v>0.36599999999999999</v>
      </c>
      <c r="F187">
        <v>0.32400000000000001</v>
      </c>
      <c r="G187">
        <v>34</v>
      </c>
      <c r="H187">
        <v>8</v>
      </c>
      <c r="I187">
        <v>3</v>
      </c>
      <c r="J187">
        <v>0</v>
      </c>
      <c r="K187">
        <v>0</v>
      </c>
      <c r="L187">
        <v>3</v>
      </c>
      <c r="M187">
        <v>2</v>
      </c>
      <c r="N187">
        <v>0</v>
      </c>
      <c r="O187">
        <v>7</v>
      </c>
      <c r="P187">
        <v>10</v>
      </c>
      <c r="Q187">
        <v>0</v>
      </c>
      <c r="R187">
        <v>0</v>
      </c>
      <c r="T187">
        <f t="shared" si="18"/>
        <v>0.13301785714285716</v>
      </c>
      <c r="V187">
        <f t="shared" si="19"/>
        <v>0.26603571428571432</v>
      </c>
      <c r="AB187">
        <f t="shared" si="20"/>
        <v>1</v>
      </c>
      <c r="AC187">
        <f t="shared" si="21"/>
        <v>41</v>
      </c>
      <c r="AD187" s="2">
        <f t="shared" si="22"/>
        <v>0.24390243902439024</v>
      </c>
      <c r="AE187" s="2">
        <f t="shared" si="23"/>
        <v>0.17073170731707318</v>
      </c>
      <c r="AF187" s="3">
        <f t="shared" si="24"/>
        <v>92.682926829268297</v>
      </c>
      <c r="AG187">
        <f t="shared" si="25"/>
        <v>89.000000000000028</v>
      </c>
      <c r="AH187">
        <f t="shared" si="26"/>
        <v>1.3301785714285717</v>
      </c>
    </row>
    <row r="188" spans="1:34" x14ac:dyDescent="0.25">
      <c r="A188" t="s">
        <v>213</v>
      </c>
      <c r="B188" t="s">
        <v>19</v>
      </c>
      <c r="C188">
        <v>28</v>
      </c>
      <c r="D188">
        <v>0</v>
      </c>
      <c r="E188">
        <v>0.5</v>
      </c>
      <c r="F188">
        <v>0</v>
      </c>
      <c r="G188">
        <v>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T188">
        <f t="shared" si="18"/>
        <v>3.5714285714285712E-2</v>
      </c>
      <c r="V188">
        <f t="shared" si="19"/>
        <v>7.1428571428571425E-2</v>
      </c>
      <c r="AB188">
        <f t="shared" si="20"/>
        <v>10</v>
      </c>
      <c r="AC188">
        <f t="shared" si="21"/>
        <v>2</v>
      </c>
      <c r="AD188" s="2">
        <f t="shared" si="22"/>
        <v>0.5</v>
      </c>
      <c r="AE188" s="2">
        <f t="shared" si="23"/>
        <v>0.5</v>
      </c>
      <c r="AF188" s="3">
        <f t="shared" si="24"/>
        <v>100</v>
      </c>
      <c r="AG188">
        <f t="shared" si="25"/>
        <v>0</v>
      </c>
      <c r="AH188">
        <f t="shared" si="26"/>
        <v>0.35714285714285715</v>
      </c>
    </row>
    <row r="189" spans="1:34" x14ac:dyDescent="0.25">
      <c r="A189" t="s">
        <v>214</v>
      </c>
      <c r="B189" t="s">
        <v>23</v>
      </c>
      <c r="C189">
        <v>28</v>
      </c>
      <c r="D189">
        <v>0.19500000000000001</v>
      </c>
      <c r="E189">
        <v>0.214</v>
      </c>
      <c r="F189">
        <v>0.29299999999999998</v>
      </c>
      <c r="G189">
        <v>41</v>
      </c>
      <c r="H189">
        <v>8</v>
      </c>
      <c r="I189">
        <v>1</v>
      </c>
      <c r="J189">
        <v>0</v>
      </c>
      <c r="K189">
        <v>1</v>
      </c>
      <c r="L189">
        <v>7</v>
      </c>
      <c r="M189">
        <v>3</v>
      </c>
      <c r="N189">
        <v>0</v>
      </c>
      <c r="O189">
        <v>1</v>
      </c>
      <c r="P189">
        <v>13</v>
      </c>
      <c r="Q189">
        <v>1</v>
      </c>
      <c r="R189">
        <v>0</v>
      </c>
      <c r="T189">
        <f t="shared" si="18"/>
        <v>0.50828571428571423</v>
      </c>
      <c r="V189">
        <f t="shared" si="19"/>
        <v>1.0165714285714285</v>
      </c>
      <c r="AB189">
        <f t="shared" si="20"/>
        <v>4</v>
      </c>
      <c r="AC189">
        <f t="shared" si="21"/>
        <v>42</v>
      </c>
      <c r="AD189" s="2">
        <f t="shared" si="22"/>
        <v>0.30952380952380953</v>
      </c>
      <c r="AE189" s="2">
        <f t="shared" si="23"/>
        <v>2.3809523809523808E-2</v>
      </c>
      <c r="AF189" s="3">
        <f t="shared" si="24"/>
        <v>71.428571428571431</v>
      </c>
      <c r="AG189">
        <f t="shared" si="25"/>
        <v>97.999999999999972</v>
      </c>
      <c r="AH189">
        <f t="shared" si="26"/>
        <v>5.0828571428571419</v>
      </c>
    </row>
    <row r="190" spans="1:34" x14ac:dyDescent="0.25">
      <c r="A190" t="s">
        <v>215</v>
      </c>
      <c r="B190" t="s">
        <v>33</v>
      </c>
      <c r="C190">
        <v>28</v>
      </c>
      <c r="D190">
        <v>0.125</v>
      </c>
      <c r="E190">
        <v>0.157</v>
      </c>
      <c r="F190">
        <v>0.17699999999999999</v>
      </c>
      <c r="G190">
        <v>96</v>
      </c>
      <c r="H190">
        <v>12</v>
      </c>
      <c r="I190">
        <v>2</v>
      </c>
      <c r="J190">
        <v>0</v>
      </c>
      <c r="K190">
        <v>1</v>
      </c>
      <c r="L190">
        <v>10</v>
      </c>
      <c r="M190">
        <v>6</v>
      </c>
      <c r="N190">
        <v>1</v>
      </c>
      <c r="O190">
        <v>3</v>
      </c>
      <c r="P190">
        <v>25</v>
      </c>
      <c r="Q190">
        <v>2</v>
      </c>
      <c r="R190">
        <v>0</v>
      </c>
      <c r="T190">
        <f t="shared" si="18"/>
        <v>1.4035714285714287</v>
      </c>
      <c r="V190">
        <f t="shared" si="19"/>
        <v>2.8071428571428574</v>
      </c>
      <c r="AB190">
        <f t="shared" si="20"/>
        <v>6</v>
      </c>
      <c r="AC190">
        <f t="shared" si="21"/>
        <v>100</v>
      </c>
      <c r="AD190" s="2">
        <f t="shared" si="22"/>
        <v>0.25</v>
      </c>
      <c r="AE190" s="2">
        <f t="shared" si="23"/>
        <v>0.04</v>
      </c>
      <c r="AF190" s="3">
        <f t="shared" si="24"/>
        <v>79</v>
      </c>
      <c r="AG190">
        <f t="shared" si="25"/>
        <v>51.999999999999993</v>
      </c>
      <c r="AH190">
        <f t="shared" si="26"/>
        <v>14.035714285714286</v>
      </c>
    </row>
    <row r="191" spans="1:34" x14ac:dyDescent="0.25">
      <c r="A191" t="s">
        <v>216</v>
      </c>
      <c r="B191" t="s">
        <v>23</v>
      </c>
      <c r="C191">
        <v>28</v>
      </c>
      <c r="D191">
        <v>0.309</v>
      </c>
      <c r="E191">
        <v>0.32300000000000001</v>
      </c>
      <c r="F191">
        <v>0.54300000000000004</v>
      </c>
      <c r="G191">
        <v>94</v>
      </c>
      <c r="H191">
        <v>29</v>
      </c>
      <c r="I191">
        <v>8</v>
      </c>
      <c r="J191">
        <v>1</v>
      </c>
      <c r="K191">
        <v>4</v>
      </c>
      <c r="L191">
        <v>11</v>
      </c>
      <c r="M191">
        <v>14</v>
      </c>
      <c r="N191">
        <v>0</v>
      </c>
      <c r="O191">
        <v>3</v>
      </c>
      <c r="P191">
        <v>20</v>
      </c>
      <c r="Q191">
        <v>0</v>
      </c>
      <c r="R191">
        <v>0</v>
      </c>
      <c r="T191">
        <f t="shared" si="18"/>
        <v>2.1927142857142856</v>
      </c>
      <c r="V191">
        <f t="shared" si="19"/>
        <v>4.3854285714285712</v>
      </c>
      <c r="AB191">
        <f t="shared" si="20"/>
        <v>4</v>
      </c>
      <c r="AC191">
        <f t="shared" si="21"/>
        <v>97</v>
      </c>
      <c r="AD191" s="2">
        <f t="shared" si="22"/>
        <v>0.20618556701030927</v>
      </c>
      <c r="AE191" s="2">
        <f t="shared" si="23"/>
        <v>3.0927835051546393E-2</v>
      </c>
      <c r="AF191" s="3">
        <f t="shared" si="24"/>
        <v>82.474226804123717</v>
      </c>
      <c r="AG191">
        <f t="shared" si="25"/>
        <v>234.00000000000003</v>
      </c>
      <c r="AH191">
        <f t="shared" si="26"/>
        <v>21.927142857142858</v>
      </c>
    </row>
    <row r="192" spans="1:34" x14ac:dyDescent="0.25">
      <c r="A192" t="s">
        <v>217</v>
      </c>
      <c r="B192" t="s">
        <v>29</v>
      </c>
      <c r="C192">
        <v>28</v>
      </c>
      <c r="D192">
        <v>0.2</v>
      </c>
      <c r="E192">
        <v>0.27</v>
      </c>
      <c r="F192">
        <v>0.46200000000000002</v>
      </c>
      <c r="G192">
        <v>65</v>
      </c>
      <c r="H192">
        <v>13</v>
      </c>
      <c r="I192">
        <v>2</v>
      </c>
      <c r="J192">
        <v>0</v>
      </c>
      <c r="K192">
        <v>5</v>
      </c>
      <c r="L192">
        <v>10</v>
      </c>
      <c r="M192">
        <v>12</v>
      </c>
      <c r="N192">
        <v>1</v>
      </c>
      <c r="O192">
        <v>6</v>
      </c>
      <c r="P192">
        <v>28</v>
      </c>
      <c r="Q192">
        <v>0</v>
      </c>
      <c r="R192">
        <v>0</v>
      </c>
      <c r="T192">
        <f t="shared" si="18"/>
        <v>0.85585714285714276</v>
      </c>
      <c r="V192">
        <f t="shared" si="19"/>
        <v>1.7117142857142855</v>
      </c>
      <c r="AB192">
        <f t="shared" si="20"/>
        <v>2</v>
      </c>
      <c r="AC192">
        <f t="shared" si="21"/>
        <v>72</v>
      </c>
      <c r="AD192" s="2">
        <f t="shared" si="22"/>
        <v>0.3888888888888889</v>
      </c>
      <c r="AE192" s="2">
        <f t="shared" si="23"/>
        <v>9.7222222222222224E-2</v>
      </c>
      <c r="AF192" s="3">
        <f t="shared" si="24"/>
        <v>70.833333333333329</v>
      </c>
      <c r="AG192">
        <f t="shared" si="25"/>
        <v>262</v>
      </c>
      <c r="AH192">
        <f t="shared" si="26"/>
        <v>8.5585714285714278</v>
      </c>
    </row>
    <row r="193" spans="1:34" x14ac:dyDescent="0.25">
      <c r="A193" t="s">
        <v>218</v>
      </c>
      <c r="B193" t="s">
        <v>48</v>
      </c>
      <c r="C193">
        <v>28</v>
      </c>
      <c r="D193">
        <v>0.191</v>
      </c>
      <c r="E193">
        <v>0.24</v>
      </c>
      <c r="F193">
        <v>0.21299999999999999</v>
      </c>
      <c r="G193">
        <v>47</v>
      </c>
      <c r="H193">
        <v>9</v>
      </c>
      <c r="I193">
        <v>1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3</v>
      </c>
      <c r="P193">
        <v>18</v>
      </c>
      <c r="Q193">
        <v>1</v>
      </c>
      <c r="R193">
        <v>0</v>
      </c>
      <c r="T193">
        <f t="shared" si="18"/>
        <v>0.16428571428571428</v>
      </c>
      <c r="V193">
        <f t="shared" si="19"/>
        <v>0.32857142857142857</v>
      </c>
      <c r="AB193">
        <f t="shared" si="20"/>
        <v>2</v>
      </c>
      <c r="AC193">
        <f t="shared" si="21"/>
        <v>50</v>
      </c>
      <c r="AD193" s="2">
        <f t="shared" si="22"/>
        <v>0.36</v>
      </c>
      <c r="AE193" s="2">
        <f t="shared" si="23"/>
        <v>0.06</v>
      </c>
      <c r="AF193" s="3">
        <f t="shared" si="24"/>
        <v>70</v>
      </c>
      <c r="AG193">
        <f t="shared" si="25"/>
        <v>21.999999999999993</v>
      </c>
      <c r="AH193">
        <f t="shared" si="26"/>
        <v>1.6428571428571428</v>
      </c>
    </row>
    <row r="194" spans="1:34" x14ac:dyDescent="0.25">
      <c r="A194" t="s">
        <v>219</v>
      </c>
      <c r="B194" t="s">
        <v>60</v>
      </c>
      <c r="C194">
        <v>28</v>
      </c>
      <c r="D194">
        <v>0</v>
      </c>
      <c r="E194">
        <v>0</v>
      </c>
      <c r="F194">
        <v>0</v>
      </c>
      <c r="G194">
        <v>2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1</v>
      </c>
      <c r="R194">
        <v>0</v>
      </c>
      <c r="T194">
        <f t="shared" si="18"/>
        <v>1.4285714285714285E-2</v>
      </c>
      <c r="V194">
        <f t="shared" si="19"/>
        <v>2.8571428571428571E-2</v>
      </c>
      <c r="AB194">
        <f t="shared" si="20"/>
        <v>8</v>
      </c>
      <c r="AC194">
        <f t="shared" si="21"/>
        <v>2</v>
      </c>
      <c r="AD194" s="2">
        <f t="shared" si="22"/>
        <v>0.5</v>
      </c>
      <c r="AE194" s="2">
        <f t="shared" si="23"/>
        <v>0</v>
      </c>
      <c r="AF194" s="3">
        <f t="shared" si="24"/>
        <v>50</v>
      </c>
      <c r="AG194">
        <f t="shared" si="25"/>
        <v>0</v>
      </c>
      <c r="AH194">
        <f t="shared" si="26"/>
        <v>0.14285714285714285</v>
      </c>
    </row>
    <row r="195" spans="1:34" x14ac:dyDescent="0.25">
      <c r="A195" t="s">
        <v>220</v>
      </c>
      <c r="B195" t="s">
        <v>33</v>
      </c>
      <c r="C195">
        <v>28</v>
      </c>
      <c r="D195">
        <v>0.13900000000000001</v>
      </c>
      <c r="E195">
        <v>0.184</v>
      </c>
      <c r="F195">
        <v>0.16700000000000001</v>
      </c>
      <c r="G195">
        <v>36</v>
      </c>
      <c r="H195">
        <v>5</v>
      </c>
      <c r="I195">
        <v>1</v>
      </c>
      <c r="J195">
        <v>0</v>
      </c>
      <c r="K195">
        <v>0</v>
      </c>
      <c r="L195">
        <v>1</v>
      </c>
      <c r="M195">
        <v>1</v>
      </c>
      <c r="N195">
        <v>0</v>
      </c>
      <c r="O195">
        <v>2</v>
      </c>
      <c r="P195">
        <v>21</v>
      </c>
      <c r="Q195">
        <v>0</v>
      </c>
      <c r="R195">
        <v>1</v>
      </c>
      <c r="T195">
        <f t="shared" ref="T195:T258" si="27">AH195/10</f>
        <v>0.31757142857142856</v>
      </c>
      <c r="V195">
        <f t="shared" ref="V195:V258" si="28">(T195*2)+U195</f>
        <v>0.63514285714285712</v>
      </c>
      <c r="AB195">
        <f t="shared" ref="AB195:AB258" si="29">_xlfn.IFS(B195="c", 10, B195="ss", 10, B195="cf", 8,  B195="2b", 8, B195="3b", 6, B195="rf", 4, B195="lf", 2, B195="1b", 2, B195 ="dh", 1)</f>
        <v>6</v>
      </c>
      <c r="AC195">
        <f t="shared" ref="AC195:AC258" si="30">(G195+N195+O195)</f>
        <v>38</v>
      </c>
      <c r="AD195" s="2">
        <f t="shared" ref="AD195:AD258" si="31">P195/AC195</f>
        <v>0.55263157894736847</v>
      </c>
      <c r="AE195" s="2">
        <f t="shared" ref="AE195:AE258" si="32">(N195+O195)/AC195</f>
        <v>5.2631578947368418E-2</v>
      </c>
      <c r="AF195" s="3">
        <f t="shared" ref="AF195:AF258" si="33">100-((AD195-AE195)*100)</f>
        <v>50</v>
      </c>
      <c r="AG195">
        <f t="shared" ref="AG195:AG258" si="34">(F195-D195)*1000</f>
        <v>27.999999999999996</v>
      </c>
      <c r="AH195">
        <f t="shared" si="26"/>
        <v>3.1757142857142857</v>
      </c>
    </row>
    <row r="196" spans="1:34" x14ac:dyDescent="0.25">
      <c r="A196" t="s">
        <v>221</v>
      </c>
      <c r="B196" t="s">
        <v>23</v>
      </c>
      <c r="C196">
        <v>28</v>
      </c>
      <c r="D196">
        <v>0.29599999999999999</v>
      </c>
      <c r="E196">
        <v>0.34799999999999998</v>
      </c>
      <c r="F196">
        <v>0.38300000000000001</v>
      </c>
      <c r="G196">
        <v>81</v>
      </c>
      <c r="H196">
        <v>24</v>
      </c>
      <c r="I196">
        <v>4</v>
      </c>
      <c r="J196">
        <v>0</v>
      </c>
      <c r="K196">
        <v>1</v>
      </c>
      <c r="L196">
        <v>16</v>
      </c>
      <c r="M196">
        <v>4</v>
      </c>
      <c r="N196">
        <v>1</v>
      </c>
      <c r="O196">
        <v>6</v>
      </c>
      <c r="P196">
        <v>19</v>
      </c>
      <c r="Q196">
        <v>9</v>
      </c>
      <c r="R196">
        <v>2</v>
      </c>
      <c r="T196">
        <f t="shared" si="27"/>
        <v>1.0897142857142856</v>
      </c>
      <c r="V196">
        <f t="shared" si="28"/>
        <v>2.1794285714285713</v>
      </c>
      <c r="AB196">
        <f t="shared" si="29"/>
        <v>4</v>
      </c>
      <c r="AC196">
        <f t="shared" si="30"/>
        <v>88</v>
      </c>
      <c r="AD196" s="2">
        <f t="shared" si="31"/>
        <v>0.21590909090909091</v>
      </c>
      <c r="AE196" s="2">
        <f t="shared" si="32"/>
        <v>7.9545454545454544E-2</v>
      </c>
      <c r="AF196" s="3">
        <f t="shared" si="33"/>
        <v>86.36363636363636</v>
      </c>
      <c r="AG196">
        <f t="shared" si="34"/>
        <v>87.000000000000028</v>
      </c>
      <c r="AH196">
        <f t="shared" ref="AH196:AH259" si="35">(((AF196+AG196)/2)*(AC196/100)*AB196)/C196</f>
        <v>10.897142857142857</v>
      </c>
    </row>
    <row r="197" spans="1:34" x14ac:dyDescent="0.25">
      <c r="A197" t="s">
        <v>222</v>
      </c>
      <c r="B197" t="s">
        <v>29</v>
      </c>
      <c r="C197">
        <v>28</v>
      </c>
      <c r="D197">
        <v>9.0999999999999998E-2</v>
      </c>
      <c r="E197">
        <v>0.13</v>
      </c>
      <c r="F197">
        <v>0.13600000000000001</v>
      </c>
      <c r="G197">
        <v>22</v>
      </c>
      <c r="H197">
        <v>2</v>
      </c>
      <c r="I197">
        <v>1</v>
      </c>
      <c r="J197">
        <v>0</v>
      </c>
      <c r="K197">
        <v>0</v>
      </c>
      <c r="L197">
        <v>0</v>
      </c>
      <c r="M197">
        <v>1</v>
      </c>
      <c r="N197">
        <v>0</v>
      </c>
      <c r="O197">
        <v>1</v>
      </c>
      <c r="P197">
        <v>8</v>
      </c>
      <c r="Q197">
        <v>0</v>
      </c>
      <c r="R197">
        <v>0</v>
      </c>
      <c r="T197">
        <f t="shared" si="27"/>
        <v>9.4107142857142875E-2</v>
      </c>
      <c r="V197">
        <f t="shared" si="28"/>
        <v>0.18821428571428575</v>
      </c>
      <c r="AB197">
        <f t="shared" si="29"/>
        <v>2</v>
      </c>
      <c r="AC197">
        <f t="shared" si="30"/>
        <v>23</v>
      </c>
      <c r="AD197" s="2">
        <f t="shared" si="31"/>
        <v>0.34782608695652173</v>
      </c>
      <c r="AE197" s="2">
        <f t="shared" si="32"/>
        <v>4.3478260869565216E-2</v>
      </c>
      <c r="AF197" s="3">
        <f t="shared" si="33"/>
        <v>69.565217391304344</v>
      </c>
      <c r="AG197">
        <f t="shared" si="34"/>
        <v>45.000000000000014</v>
      </c>
      <c r="AH197">
        <f t="shared" si="35"/>
        <v>0.94107142857142878</v>
      </c>
    </row>
    <row r="198" spans="1:34" x14ac:dyDescent="0.25">
      <c r="A198" t="s">
        <v>223</v>
      </c>
      <c r="B198" t="s">
        <v>19</v>
      </c>
      <c r="C198">
        <v>28</v>
      </c>
      <c r="D198">
        <v>0.14799999999999999</v>
      </c>
      <c r="E198">
        <v>0.26700000000000002</v>
      </c>
      <c r="F198">
        <v>0.20499999999999999</v>
      </c>
      <c r="G198">
        <v>88</v>
      </c>
      <c r="H198">
        <v>13</v>
      </c>
      <c r="I198">
        <v>5</v>
      </c>
      <c r="J198">
        <v>0</v>
      </c>
      <c r="K198">
        <v>0</v>
      </c>
      <c r="L198">
        <v>5</v>
      </c>
      <c r="M198">
        <v>8</v>
      </c>
      <c r="N198">
        <v>0</v>
      </c>
      <c r="O198">
        <v>15</v>
      </c>
      <c r="P198">
        <v>29</v>
      </c>
      <c r="Q198">
        <v>1</v>
      </c>
      <c r="R198">
        <v>0</v>
      </c>
      <c r="T198">
        <f t="shared" si="27"/>
        <v>2.6376785714285718</v>
      </c>
      <c r="V198">
        <f t="shared" si="28"/>
        <v>5.2753571428571435</v>
      </c>
      <c r="AB198">
        <f t="shared" si="29"/>
        <v>10</v>
      </c>
      <c r="AC198">
        <f t="shared" si="30"/>
        <v>103</v>
      </c>
      <c r="AD198" s="2">
        <f t="shared" si="31"/>
        <v>0.28155339805825241</v>
      </c>
      <c r="AE198" s="2">
        <f t="shared" si="32"/>
        <v>0.14563106796116504</v>
      </c>
      <c r="AF198" s="3">
        <f t="shared" si="33"/>
        <v>86.407766990291265</v>
      </c>
      <c r="AG198">
        <f t="shared" si="34"/>
        <v>56.999999999999993</v>
      </c>
      <c r="AH198">
        <f t="shared" si="35"/>
        <v>26.376785714285717</v>
      </c>
    </row>
    <row r="199" spans="1:34" x14ac:dyDescent="0.25">
      <c r="A199" t="s">
        <v>224</v>
      </c>
      <c r="B199" t="s">
        <v>19</v>
      </c>
      <c r="C199">
        <v>28</v>
      </c>
      <c r="D199">
        <v>0.187</v>
      </c>
      <c r="E199">
        <v>0.28499999999999998</v>
      </c>
      <c r="F199">
        <v>0.25900000000000001</v>
      </c>
      <c r="G199">
        <v>166</v>
      </c>
      <c r="H199">
        <v>31</v>
      </c>
      <c r="I199">
        <v>6</v>
      </c>
      <c r="J199">
        <v>0</v>
      </c>
      <c r="K199">
        <v>2</v>
      </c>
      <c r="L199">
        <v>21</v>
      </c>
      <c r="M199">
        <v>17</v>
      </c>
      <c r="N199">
        <v>1</v>
      </c>
      <c r="O199">
        <v>23</v>
      </c>
      <c r="P199">
        <v>47</v>
      </c>
      <c r="Q199">
        <v>0</v>
      </c>
      <c r="R199">
        <v>0</v>
      </c>
      <c r="T199">
        <f t="shared" si="27"/>
        <v>5.4249999999999989</v>
      </c>
      <c r="V199">
        <f t="shared" si="28"/>
        <v>10.849999999999998</v>
      </c>
      <c r="AB199">
        <f t="shared" si="29"/>
        <v>10</v>
      </c>
      <c r="AC199">
        <f t="shared" si="30"/>
        <v>190</v>
      </c>
      <c r="AD199" s="2">
        <f t="shared" si="31"/>
        <v>0.24736842105263157</v>
      </c>
      <c r="AE199" s="2">
        <f t="shared" si="32"/>
        <v>0.12631578947368421</v>
      </c>
      <c r="AF199" s="3">
        <f t="shared" si="33"/>
        <v>87.89473684210526</v>
      </c>
      <c r="AG199">
        <f t="shared" si="34"/>
        <v>72.000000000000014</v>
      </c>
      <c r="AH199">
        <f t="shared" si="35"/>
        <v>54.249999999999993</v>
      </c>
    </row>
    <row r="200" spans="1:34" x14ac:dyDescent="0.25">
      <c r="A200" t="s">
        <v>225</v>
      </c>
      <c r="B200" t="s">
        <v>29</v>
      </c>
      <c r="C200">
        <v>28</v>
      </c>
      <c r="D200">
        <v>0.222</v>
      </c>
      <c r="E200">
        <v>0.33300000000000002</v>
      </c>
      <c r="F200">
        <v>0.27800000000000002</v>
      </c>
      <c r="G200">
        <v>18</v>
      </c>
      <c r="H200">
        <v>4</v>
      </c>
      <c r="I200">
        <v>1</v>
      </c>
      <c r="J200">
        <v>0</v>
      </c>
      <c r="K200">
        <v>0</v>
      </c>
      <c r="L200">
        <v>3</v>
      </c>
      <c r="M200">
        <v>1</v>
      </c>
      <c r="N200">
        <v>3</v>
      </c>
      <c r="O200">
        <v>0</v>
      </c>
      <c r="P200">
        <v>7</v>
      </c>
      <c r="Q200">
        <v>0</v>
      </c>
      <c r="R200">
        <v>0</v>
      </c>
      <c r="T200">
        <f t="shared" si="27"/>
        <v>0.10271428571428572</v>
      </c>
      <c r="V200">
        <f t="shared" si="28"/>
        <v>0.20542857142857143</v>
      </c>
      <c r="AB200">
        <f t="shared" si="29"/>
        <v>2</v>
      </c>
      <c r="AC200">
        <f t="shared" si="30"/>
        <v>21</v>
      </c>
      <c r="AD200" s="2">
        <f t="shared" si="31"/>
        <v>0.33333333333333331</v>
      </c>
      <c r="AE200" s="2">
        <f t="shared" si="32"/>
        <v>0.14285714285714285</v>
      </c>
      <c r="AF200" s="3">
        <f t="shared" si="33"/>
        <v>80.952380952380949</v>
      </c>
      <c r="AG200">
        <f t="shared" si="34"/>
        <v>56.000000000000021</v>
      </c>
      <c r="AH200">
        <f t="shared" si="35"/>
        <v>1.0271428571428571</v>
      </c>
    </row>
    <row r="201" spans="1:34" x14ac:dyDescent="0.25">
      <c r="A201" t="s">
        <v>226</v>
      </c>
      <c r="B201" t="s">
        <v>60</v>
      </c>
      <c r="C201">
        <v>28</v>
      </c>
      <c r="D201">
        <v>0.255</v>
      </c>
      <c r="E201">
        <v>0.30099999999999999</v>
      </c>
      <c r="F201">
        <v>0.35299999999999998</v>
      </c>
      <c r="G201">
        <v>368</v>
      </c>
      <c r="H201">
        <v>94</v>
      </c>
      <c r="I201">
        <v>16</v>
      </c>
      <c r="J201">
        <v>4</v>
      </c>
      <c r="K201">
        <v>4</v>
      </c>
      <c r="L201">
        <v>42</v>
      </c>
      <c r="M201">
        <v>33</v>
      </c>
      <c r="N201">
        <v>2</v>
      </c>
      <c r="O201">
        <v>23</v>
      </c>
      <c r="P201">
        <v>74</v>
      </c>
      <c r="Q201">
        <v>4</v>
      </c>
      <c r="R201">
        <v>5</v>
      </c>
      <c r="T201">
        <f t="shared" si="27"/>
        <v>10.416285714285712</v>
      </c>
      <c r="V201">
        <f t="shared" si="28"/>
        <v>20.832571428571423</v>
      </c>
      <c r="AB201">
        <f t="shared" si="29"/>
        <v>8</v>
      </c>
      <c r="AC201">
        <f t="shared" si="30"/>
        <v>393</v>
      </c>
      <c r="AD201" s="2">
        <f t="shared" si="31"/>
        <v>0.18829516539440203</v>
      </c>
      <c r="AE201" s="2">
        <f t="shared" si="32"/>
        <v>6.3613231552162849E-2</v>
      </c>
      <c r="AF201" s="3">
        <f t="shared" si="33"/>
        <v>87.531806615776077</v>
      </c>
      <c r="AG201">
        <f t="shared" si="34"/>
        <v>97.999999999999972</v>
      </c>
      <c r="AH201">
        <f t="shared" si="35"/>
        <v>104.16285714285712</v>
      </c>
    </row>
    <row r="202" spans="1:34" x14ac:dyDescent="0.25">
      <c r="A202" t="s">
        <v>227</v>
      </c>
      <c r="B202" t="s">
        <v>29</v>
      </c>
      <c r="C202">
        <v>28</v>
      </c>
      <c r="D202">
        <v>0.27700000000000002</v>
      </c>
      <c r="E202">
        <v>0.33100000000000002</v>
      </c>
      <c r="F202">
        <v>0.42</v>
      </c>
      <c r="G202">
        <v>112</v>
      </c>
      <c r="H202">
        <v>31</v>
      </c>
      <c r="I202">
        <v>2</v>
      </c>
      <c r="J202">
        <v>1</v>
      </c>
      <c r="K202">
        <v>4</v>
      </c>
      <c r="L202">
        <v>12</v>
      </c>
      <c r="M202">
        <v>13</v>
      </c>
      <c r="N202">
        <v>1</v>
      </c>
      <c r="O202">
        <v>8</v>
      </c>
      <c r="P202">
        <v>26</v>
      </c>
      <c r="Q202">
        <v>2</v>
      </c>
      <c r="R202">
        <v>2</v>
      </c>
      <c r="T202">
        <f t="shared" si="27"/>
        <v>0.98939285714285707</v>
      </c>
      <c r="V202">
        <f t="shared" si="28"/>
        <v>1.9787857142857141</v>
      </c>
      <c r="AB202">
        <f t="shared" si="29"/>
        <v>2</v>
      </c>
      <c r="AC202">
        <f t="shared" si="30"/>
        <v>121</v>
      </c>
      <c r="AD202" s="2">
        <f t="shared" si="31"/>
        <v>0.21487603305785125</v>
      </c>
      <c r="AE202" s="2">
        <f t="shared" si="32"/>
        <v>7.43801652892562E-2</v>
      </c>
      <c r="AF202" s="3">
        <f t="shared" si="33"/>
        <v>85.950413223140501</v>
      </c>
      <c r="AG202">
        <f t="shared" si="34"/>
        <v>142.99999999999997</v>
      </c>
      <c r="AH202">
        <f t="shared" si="35"/>
        <v>9.893928571428571</v>
      </c>
    </row>
    <row r="203" spans="1:34" x14ac:dyDescent="0.25">
      <c r="A203" t="s">
        <v>228</v>
      </c>
      <c r="B203" t="s">
        <v>31</v>
      </c>
      <c r="C203">
        <v>28</v>
      </c>
      <c r="D203">
        <v>0.111</v>
      </c>
      <c r="E203">
        <v>0.158</v>
      </c>
      <c r="F203">
        <v>0.16700000000000001</v>
      </c>
      <c r="G203">
        <v>18</v>
      </c>
      <c r="H203">
        <v>2</v>
      </c>
      <c r="I203">
        <v>1</v>
      </c>
      <c r="J203">
        <v>0</v>
      </c>
      <c r="K203">
        <v>0</v>
      </c>
      <c r="L203">
        <v>1</v>
      </c>
      <c r="M203">
        <v>2</v>
      </c>
      <c r="N203">
        <v>0</v>
      </c>
      <c r="O203">
        <v>1</v>
      </c>
      <c r="P203">
        <v>5</v>
      </c>
      <c r="Q203">
        <v>0</v>
      </c>
      <c r="R203">
        <v>0</v>
      </c>
      <c r="T203">
        <f t="shared" si="27"/>
        <v>0.36628571428571427</v>
      </c>
      <c r="V203">
        <f t="shared" si="28"/>
        <v>0.73257142857142854</v>
      </c>
      <c r="AB203">
        <f t="shared" si="29"/>
        <v>8</v>
      </c>
      <c r="AC203">
        <f t="shared" si="30"/>
        <v>19</v>
      </c>
      <c r="AD203" s="2">
        <f t="shared" si="31"/>
        <v>0.26315789473684209</v>
      </c>
      <c r="AE203" s="2">
        <f t="shared" si="32"/>
        <v>5.2631578947368418E-2</v>
      </c>
      <c r="AF203" s="3">
        <f t="shared" si="33"/>
        <v>78.94736842105263</v>
      </c>
      <c r="AG203">
        <f t="shared" si="34"/>
        <v>56.000000000000007</v>
      </c>
      <c r="AH203">
        <f t="shared" si="35"/>
        <v>3.6628571428571428</v>
      </c>
    </row>
    <row r="204" spans="1:34" x14ac:dyDescent="0.25">
      <c r="A204" t="s">
        <v>229</v>
      </c>
      <c r="B204" t="s">
        <v>23</v>
      </c>
      <c r="C204">
        <v>28</v>
      </c>
      <c r="D204">
        <v>0.107</v>
      </c>
      <c r="E204">
        <v>0.13800000000000001</v>
      </c>
      <c r="F204">
        <v>0.17899999999999999</v>
      </c>
      <c r="G204">
        <v>84</v>
      </c>
      <c r="H204">
        <v>9</v>
      </c>
      <c r="I204">
        <v>0</v>
      </c>
      <c r="J204">
        <v>0</v>
      </c>
      <c r="K204">
        <v>2</v>
      </c>
      <c r="L204">
        <v>11</v>
      </c>
      <c r="M204">
        <v>6</v>
      </c>
      <c r="N204">
        <v>1</v>
      </c>
      <c r="O204">
        <v>2</v>
      </c>
      <c r="P204">
        <v>33</v>
      </c>
      <c r="Q204">
        <v>10</v>
      </c>
      <c r="R204">
        <v>3</v>
      </c>
      <c r="T204">
        <f t="shared" si="27"/>
        <v>0.85457142857142865</v>
      </c>
      <c r="V204">
        <f t="shared" si="28"/>
        <v>1.7091428571428573</v>
      </c>
      <c r="AB204">
        <f t="shared" si="29"/>
        <v>4</v>
      </c>
      <c r="AC204">
        <f t="shared" si="30"/>
        <v>87</v>
      </c>
      <c r="AD204" s="2">
        <f t="shared" si="31"/>
        <v>0.37931034482758619</v>
      </c>
      <c r="AE204" s="2">
        <f t="shared" si="32"/>
        <v>3.4482758620689655E-2</v>
      </c>
      <c r="AF204" s="3">
        <f t="shared" si="33"/>
        <v>65.517241379310349</v>
      </c>
      <c r="AG204">
        <f t="shared" si="34"/>
        <v>72</v>
      </c>
      <c r="AH204">
        <f t="shared" si="35"/>
        <v>8.5457142857142863</v>
      </c>
    </row>
    <row r="205" spans="1:34" x14ac:dyDescent="0.25">
      <c r="A205" t="s">
        <v>230</v>
      </c>
      <c r="B205" t="s">
        <v>48</v>
      </c>
      <c r="C205">
        <v>28</v>
      </c>
      <c r="D205">
        <v>0.23100000000000001</v>
      </c>
      <c r="E205">
        <v>0.27600000000000002</v>
      </c>
      <c r="F205">
        <v>0.29899999999999999</v>
      </c>
      <c r="G205">
        <v>134</v>
      </c>
      <c r="H205">
        <v>31</v>
      </c>
      <c r="I205">
        <v>7</v>
      </c>
      <c r="J205">
        <v>1</v>
      </c>
      <c r="K205">
        <v>0</v>
      </c>
      <c r="L205">
        <v>17</v>
      </c>
      <c r="M205">
        <v>11</v>
      </c>
      <c r="N205">
        <v>1</v>
      </c>
      <c r="O205">
        <v>8</v>
      </c>
      <c r="P205">
        <v>36</v>
      </c>
      <c r="Q205">
        <v>10</v>
      </c>
      <c r="R205">
        <v>1</v>
      </c>
      <c r="T205">
        <f t="shared" si="27"/>
        <v>0.76157142857142834</v>
      </c>
      <c r="V205">
        <f t="shared" si="28"/>
        <v>1.5231428571428567</v>
      </c>
      <c r="AB205">
        <f t="shared" si="29"/>
        <v>2</v>
      </c>
      <c r="AC205">
        <f t="shared" si="30"/>
        <v>143</v>
      </c>
      <c r="AD205" s="2">
        <f t="shared" si="31"/>
        <v>0.25174825174825177</v>
      </c>
      <c r="AE205" s="2">
        <f t="shared" si="32"/>
        <v>6.2937062937062943E-2</v>
      </c>
      <c r="AF205" s="3">
        <f t="shared" si="33"/>
        <v>81.11888111888112</v>
      </c>
      <c r="AG205">
        <f t="shared" si="34"/>
        <v>67.999999999999972</v>
      </c>
      <c r="AH205">
        <f t="shared" si="35"/>
        <v>7.6157142857142839</v>
      </c>
    </row>
    <row r="206" spans="1:34" x14ac:dyDescent="0.25">
      <c r="A206" t="s">
        <v>231</v>
      </c>
      <c r="B206" t="s">
        <v>19</v>
      </c>
      <c r="C206">
        <v>28</v>
      </c>
      <c r="D206">
        <v>0.186</v>
      </c>
      <c r="E206">
        <v>0.252</v>
      </c>
      <c r="F206">
        <v>0.32400000000000001</v>
      </c>
      <c r="G206">
        <v>102</v>
      </c>
      <c r="H206">
        <v>19</v>
      </c>
      <c r="I206">
        <v>5</v>
      </c>
      <c r="J206">
        <v>0</v>
      </c>
      <c r="K206">
        <v>3</v>
      </c>
      <c r="L206">
        <v>7</v>
      </c>
      <c r="M206">
        <v>9</v>
      </c>
      <c r="N206">
        <v>2</v>
      </c>
      <c r="O206">
        <v>7</v>
      </c>
      <c r="P206">
        <v>27</v>
      </c>
      <c r="Q206">
        <v>3</v>
      </c>
      <c r="R206">
        <v>0</v>
      </c>
      <c r="T206">
        <f t="shared" si="27"/>
        <v>4.3960714285714291</v>
      </c>
      <c r="V206">
        <f t="shared" si="28"/>
        <v>8.7921428571428581</v>
      </c>
      <c r="AB206">
        <f t="shared" si="29"/>
        <v>10</v>
      </c>
      <c r="AC206">
        <f t="shared" si="30"/>
        <v>111</v>
      </c>
      <c r="AD206" s="2">
        <f t="shared" si="31"/>
        <v>0.24324324324324326</v>
      </c>
      <c r="AE206" s="2">
        <f t="shared" si="32"/>
        <v>8.1081081081081086E-2</v>
      </c>
      <c r="AF206" s="3">
        <f t="shared" si="33"/>
        <v>83.783783783783775</v>
      </c>
      <c r="AG206">
        <f t="shared" si="34"/>
        <v>138</v>
      </c>
      <c r="AH206">
        <f t="shared" si="35"/>
        <v>43.960714285714289</v>
      </c>
    </row>
    <row r="207" spans="1:34" x14ac:dyDescent="0.25">
      <c r="A207" t="s">
        <v>232</v>
      </c>
      <c r="B207" t="s">
        <v>21</v>
      </c>
      <c r="C207">
        <v>28</v>
      </c>
      <c r="D207">
        <v>0.16700000000000001</v>
      </c>
      <c r="E207">
        <v>0.28599999999999998</v>
      </c>
      <c r="F207">
        <v>0.315</v>
      </c>
      <c r="G207">
        <v>54</v>
      </c>
      <c r="H207">
        <v>9</v>
      </c>
      <c r="I207">
        <v>2</v>
      </c>
      <c r="J207">
        <v>0</v>
      </c>
      <c r="K207">
        <v>2</v>
      </c>
      <c r="L207">
        <v>5</v>
      </c>
      <c r="M207">
        <v>4</v>
      </c>
      <c r="N207">
        <v>0</v>
      </c>
      <c r="O207">
        <v>9</v>
      </c>
      <c r="P207">
        <v>19</v>
      </c>
      <c r="Q207">
        <v>0</v>
      </c>
      <c r="R207">
        <v>1</v>
      </c>
      <c r="T207">
        <f t="shared" si="27"/>
        <v>0.26114285714285718</v>
      </c>
      <c r="V207">
        <f t="shared" si="28"/>
        <v>0.52228571428571435</v>
      </c>
      <c r="AB207">
        <f t="shared" si="29"/>
        <v>1</v>
      </c>
      <c r="AC207">
        <f t="shared" si="30"/>
        <v>63</v>
      </c>
      <c r="AD207" s="2">
        <f t="shared" si="31"/>
        <v>0.30158730158730157</v>
      </c>
      <c r="AE207" s="2">
        <f t="shared" si="32"/>
        <v>0.14285714285714285</v>
      </c>
      <c r="AF207" s="3">
        <f t="shared" si="33"/>
        <v>84.126984126984127</v>
      </c>
      <c r="AG207">
        <f t="shared" si="34"/>
        <v>148</v>
      </c>
      <c r="AH207">
        <f t="shared" si="35"/>
        <v>2.6114285714285717</v>
      </c>
    </row>
    <row r="208" spans="1:34" x14ac:dyDescent="0.25">
      <c r="A208" t="s">
        <v>233</v>
      </c>
      <c r="B208" t="s">
        <v>31</v>
      </c>
      <c r="C208">
        <v>28</v>
      </c>
      <c r="D208">
        <v>0.14299999999999999</v>
      </c>
      <c r="E208">
        <v>0.29399999999999998</v>
      </c>
      <c r="F208">
        <v>0.14299999999999999</v>
      </c>
      <c r="G208">
        <v>14</v>
      </c>
      <c r="H208">
        <v>2</v>
      </c>
      <c r="I208">
        <v>0</v>
      </c>
      <c r="J208">
        <v>0</v>
      </c>
      <c r="K208">
        <v>0</v>
      </c>
      <c r="L208">
        <v>0</v>
      </c>
      <c r="M208">
        <v>1</v>
      </c>
      <c r="N208">
        <v>1</v>
      </c>
      <c r="O208">
        <v>2</v>
      </c>
      <c r="P208">
        <v>4</v>
      </c>
      <c r="Q208">
        <v>1</v>
      </c>
      <c r="R208">
        <v>0</v>
      </c>
      <c r="T208">
        <f t="shared" si="27"/>
        <v>0.22857142857142859</v>
      </c>
      <c r="V208">
        <f t="shared" si="28"/>
        <v>0.45714285714285718</v>
      </c>
      <c r="AB208">
        <f t="shared" si="29"/>
        <v>8</v>
      </c>
      <c r="AC208">
        <f t="shared" si="30"/>
        <v>17</v>
      </c>
      <c r="AD208" s="2">
        <f t="shared" si="31"/>
        <v>0.23529411764705882</v>
      </c>
      <c r="AE208" s="2">
        <f t="shared" si="32"/>
        <v>0.17647058823529413</v>
      </c>
      <c r="AF208" s="3">
        <f t="shared" si="33"/>
        <v>94.117647058823536</v>
      </c>
      <c r="AG208">
        <f t="shared" si="34"/>
        <v>0</v>
      </c>
      <c r="AH208">
        <f t="shared" si="35"/>
        <v>2.285714285714286</v>
      </c>
    </row>
    <row r="209" spans="1:34" x14ac:dyDescent="0.25">
      <c r="A209" t="s">
        <v>234</v>
      </c>
      <c r="B209" t="s">
        <v>26</v>
      </c>
      <c r="C209">
        <v>28</v>
      </c>
      <c r="D209">
        <v>0.27</v>
      </c>
      <c r="E209">
        <v>0.31900000000000001</v>
      </c>
      <c r="F209">
        <v>0.437</v>
      </c>
      <c r="G209">
        <v>126</v>
      </c>
      <c r="H209">
        <v>34</v>
      </c>
      <c r="I209">
        <v>9</v>
      </c>
      <c r="J209">
        <v>0</v>
      </c>
      <c r="K209">
        <v>4</v>
      </c>
      <c r="L209">
        <v>19</v>
      </c>
      <c r="M209">
        <v>16</v>
      </c>
      <c r="N209">
        <v>2</v>
      </c>
      <c r="O209">
        <v>7</v>
      </c>
      <c r="P209">
        <v>32</v>
      </c>
      <c r="Q209">
        <v>2</v>
      </c>
      <c r="R209">
        <v>1</v>
      </c>
      <c r="T209">
        <f t="shared" si="27"/>
        <v>6.0258928571428569</v>
      </c>
      <c r="V209">
        <f t="shared" si="28"/>
        <v>12.051785714285714</v>
      </c>
      <c r="AB209">
        <f t="shared" si="29"/>
        <v>10</v>
      </c>
      <c r="AC209">
        <f t="shared" si="30"/>
        <v>135</v>
      </c>
      <c r="AD209" s="2">
        <f t="shared" si="31"/>
        <v>0.23703703703703705</v>
      </c>
      <c r="AE209" s="2">
        <f t="shared" si="32"/>
        <v>6.6666666666666666E-2</v>
      </c>
      <c r="AF209" s="3">
        <f t="shared" si="33"/>
        <v>82.962962962962962</v>
      </c>
      <c r="AG209">
        <f t="shared" si="34"/>
        <v>166.99999999999997</v>
      </c>
      <c r="AH209">
        <f t="shared" si="35"/>
        <v>60.258928571428569</v>
      </c>
    </row>
    <row r="210" spans="1:34" x14ac:dyDescent="0.25">
      <c r="A210" t="s">
        <v>235</v>
      </c>
      <c r="B210" t="s">
        <v>31</v>
      </c>
      <c r="C210">
        <v>28</v>
      </c>
      <c r="D210">
        <v>0.2</v>
      </c>
      <c r="E210">
        <v>0.2</v>
      </c>
      <c r="F210">
        <v>0.2</v>
      </c>
      <c r="G210">
        <v>10</v>
      </c>
      <c r="H210">
        <v>2</v>
      </c>
      <c r="I210">
        <v>0</v>
      </c>
      <c r="J210">
        <v>0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3</v>
      </c>
      <c r="Q210">
        <v>0</v>
      </c>
      <c r="R210">
        <v>0</v>
      </c>
      <c r="T210">
        <f t="shared" si="27"/>
        <v>0.1</v>
      </c>
      <c r="V210">
        <f t="shared" si="28"/>
        <v>0.2</v>
      </c>
      <c r="AB210">
        <f t="shared" si="29"/>
        <v>8</v>
      </c>
      <c r="AC210">
        <f t="shared" si="30"/>
        <v>10</v>
      </c>
      <c r="AD210" s="2">
        <f t="shared" si="31"/>
        <v>0.3</v>
      </c>
      <c r="AE210" s="2">
        <f t="shared" si="32"/>
        <v>0</v>
      </c>
      <c r="AF210" s="3">
        <f t="shared" si="33"/>
        <v>70</v>
      </c>
      <c r="AG210">
        <f t="shared" si="34"/>
        <v>0</v>
      </c>
      <c r="AH210">
        <f t="shared" si="35"/>
        <v>1</v>
      </c>
    </row>
    <row r="211" spans="1:34" x14ac:dyDescent="0.25">
      <c r="A211" t="s">
        <v>236</v>
      </c>
      <c r="B211" t="s">
        <v>60</v>
      </c>
      <c r="C211">
        <v>28</v>
      </c>
      <c r="D211">
        <v>0.13400000000000001</v>
      </c>
      <c r="E211">
        <v>0.216</v>
      </c>
      <c r="F211">
        <v>0.32100000000000001</v>
      </c>
      <c r="G211">
        <v>134</v>
      </c>
      <c r="H211">
        <v>18</v>
      </c>
      <c r="I211">
        <v>5</v>
      </c>
      <c r="J211">
        <v>1</v>
      </c>
      <c r="K211">
        <v>6</v>
      </c>
      <c r="L211">
        <v>19</v>
      </c>
      <c r="M211">
        <v>11</v>
      </c>
      <c r="N211">
        <v>2</v>
      </c>
      <c r="O211">
        <v>12</v>
      </c>
      <c r="P211">
        <v>63</v>
      </c>
      <c r="Q211">
        <v>1</v>
      </c>
      <c r="R211">
        <v>0</v>
      </c>
      <c r="T211">
        <f t="shared" si="27"/>
        <v>5.3680000000000003</v>
      </c>
      <c r="V211">
        <f t="shared" si="28"/>
        <v>10.736000000000001</v>
      </c>
      <c r="AB211">
        <f t="shared" si="29"/>
        <v>8</v>
      </c>
      <c r="AC211">
        <f t="shared" si="30"/>
        <v>148</v>
      </c>
      <c r="AD211" s="2">
        <f t="shared" si="31"/>
        <v>0.42567567567567566</v>
      </c>
      <c r="AE211" s="2">
        <f t="shared" si="32"/>
        <v>9.45945945945946E-2</v>
      </c>
      <c r="AF211" s="3">
        <f t="shared" si="33"/>
        <v>66.891891891891902</v>
      </c>
      <c r="AG211">
        <f t="shared" si="34"/>
        <v>187</v>
      </c>
      <c r="AH211">
        <f t="shared" si="35"/>
        <v>53.68</v>
      </c>
    </row>
    <row r="212" spans="1:34" x14ac:dyDescent="0.25">
      <c r="A212" t="s">
        <v>237</v>
      </c>
      <c r="B212" t="s">
        <v>60</v>
      </c>
      <c r="C212">
        <v>28</v>
      </c>
      <c r="D212">
        <v>0.22600000000000001</v>
      </c>
      <c r="E212">
        <v>0.29799999999999999</v>
      </c>
      <c r="F212">
        <v>0.34799999999999998</v>
      </c>
      <c r="G212">
        <v>155</v>
      </c>
      <c r="H212">
        <v>35</v>
      </c>
      <c r="I212">
        <v>6</v>
      </c>
      <c r="J212">
        <v>2</v>
      </c>
      <c r="K212">
        <v>3</v>
      </c>
      <c r="L212">
        <v>25</v>
      </c>
      <c r="M212">
        <v>19</v>
      </c>
      <c r="N212">
        <v>1</v>
      </c>
      <c r="O212">
        <v>15</v>
      </c>
      <c r="P212">
        <v>47</v>
      </c>
      <c r="Q212">
        <v>7</v>
      </c>
      <c r="R212">
        <v>2</v>
      </c>
      <c r="T212">
        <f t="shared" si="27"/>
        <v>4.9802857142857135</v>
      </c>
      <c r="V212">
        <f t="shared" si="28"/>
        <v>9.9605714285714271</v>
      </c>
      <c r="AB212">
        <f t="shared" si="29"/>
        <v>8</v>
      </c>
      <c r="AC212">
        <f t="shared" si="30"/>
        <v>171</v>
      </c>
      <c r="AD212" s="2">
        <f t="shared" si="31"/>
        <v>0.27485380116959063</v>
      </c>
      <c r="AE212" s="2">
        <f t="shared" si="32"/>
        <v>9.3567251461988299E-2</v>
      </c>
      <c r="AF212" s="3">
        <f t="shared" si="33"/>
        <v>81.871345029239762</v>
      </c>
      <c r="AG212">
        <f t="shared" si="34"/>
        <v>121.99999999999997</v>
      </c>
      <c r="AH212">
        <f t="shared" si="35"/>
        <v>49.802857142857135</v>
      </c>
    </row>
    <row r="213" spans="1:34" x14ac:dyDescent="0.25">
      <c r="A213" t="s">
        <v>238</v>
      </c>
      <c r="B213" t="s">
        <v>19</v>
      </c>
      <c r="C213">
        <v>28</v>
      </c>
      <c r="D213">
        <v>0.23100000000000001</v>
      </c>
      <c r="E213">
        <v>0.26200000000000001</v>
      </c>
      <c r="F213">
        <v>0.375</v>
      </c>
      <c r="G213">
        <v>160</v>
      </c>
      <c r="H213">
        <v>37</v>
      </c>
      <c r="I213">
        <v>8</v>
      </c>
      <c r="J213">
        <v>0</v>
      </c>
      <c r="K213">
        <v>5</v>
      </c>
      <c r="L213">
        <v>16</v>
      </c>
      <c r="M213">
        <v>19</v>
      </c>
      <c r="N213">
        <v>0</v>
      </c>
      <c r="O213">
        <v>7</v>
      </c>
      <c r="P213">
        <v>22</v>
      </c>
      <c r="Q213">
        <v>0</v>
      </c>
      <c r="R213">
        <v>0</v>
      </c>
      <c r="T213">
        <f t="shared" si="27"/>
        <v>7.0085714285714271</v>
      </c>
      <c r="V213">
        <f t="shared" si="28"/>
        <v>14.017142857142854</v>
      </c>
      <c r="AB213">
        <f t="shared" si="29"/>
        <v>10</v>
      </c>
      <c r="AC213">
        <f t="shared" si="30"/>
        <v>167</v>
      </c>
      <c r="AD213" s="2">
        <f t="shared" si="31"/>
        <v>0.1317365269461078</v>
      </c>
      <c r="AE213" s="2">
        <f t="shared" si="32"/>
        <v>4.1916167664670656E-2</v>
      </c>
      <c r="AF213" s="3">
        <f t="shared" si="33"/>
        <v>91.017964071856284</v>
      </c>
      <c r="AG213">
        <f t="shared" si="34"/>
        <v>144</v>
      </c>
      <c r="AH213">
        <f t="shared" si="35"/>
        <v>70.085714285714275</v>
      </c>
    </row>
    <row r="214" spans="1:34" x14ac:dyDescent="0.25">
      <c r="A214" t="s">
        <v>239</v>
      </c>
      <c r="B214" t="s">
        <v>31</v>
      </c>
      <c r="C214">
        <v>28</v>
      </c>
      <c r="D214">
        <v>0.191</v>
      </c>
      <c r="E214">
        <v>0.26600000000000001</v>
      </c>
      <c r="F214">
        <v>0.27800000000000002</v>
      </c>
      <c r="G214">
        <v>115</v>
      </c>
      <c r="H214">
        <v>22</v>
      </c>
      <c r="I214">
        <v>4</v>
      </c>
      <c r="J214">
        <v>0</v>
      </c>
      <c r="K214">
        <v>2</v>
      </c>
      <c r="L214">
        <v>12</v>
      </c>
      <c r="M214">
        <v>11</v>
      </c>
      <c r="N214">
        <v>1</v>
      </c>
      <c r="O214">
        <v>11</v>
      </c>
      <c r="P214">
        <v>46</v>
      </c>
      <c r="Q214">
        <v>0</v>
      </c>
      <c r="R214">
        <v>1</v>
      </c>
      <c r="T214">
        <f t="shared" si="27"/>
        <v>2.9070000000000005</v>
      </c>
      <c r="V214">
        <f t="shared" si="28"/>
        <v>5.8140000000000009</v>
      </c>
      <c r="AB214">
        <f t="shared" si="29"/>
        <v>8</v>
      </c>
      <c r="AC214">
        <f t="shared" si="30"/>
        <v>127</v>
      </c>
      <c r="AD214" s="2">
        <f t="shared" si="31"/>
        <v>0.36220472440944884</v>
      </c>
      <c r="AE214" s="2">
        <f t="shared" si="32"/>
        <v>9.4488188976377951E-2</v>
      </c>
      <c r="AF214" s="3">
        <f t="shared" si="33"/>
        <v>73.228346456692918</v>
      </c>
      <c r="AG214">
        <f t="shared" si="34"/>
        <v>87.000000000000028</v>
      </c>
      <c r="AH214">
        <f t="shared" si="35"/>
        <v>29.070000000000004</v>
      </c>
    </row>
    <row r="215" spans="1:34" x14ac:dyDescent="0.25">
      <c r="A215" t="s">
        <v>240</v>
      </c>
      <c r="B215" t="s">
        <v>19</v>
      </c>
      <c r="C215">
        <v>28</v>
      </c>
      <c r="D215">
        <v>0.217</v>
      </c>
      <c r="E215">
        <v>0.217</v>
      </c>
      <c r="F215">
        <v>0.30399999999999999</v>
      </c>
      <c r="G215">
        <v>23</v>
      </c>
      <c r="H215">
        <v>5</v>
      </c>
      <c r="I215">
        <v>2</v>
      </c>
      <c r="J215">
        <v>0</v>
      </c>
      <c r="K215">
        <v>0</v>
      </c>
      <c r="L215">
        <v>2</v>
      </c>
      <c r="M215">
        <v>0</v>
      </c>
      <c r="N215">
        <v>0</v>
      </c>
      <c r="O215">
        <v>0</v>
      </c>
      <c r="P215">
        <v>6</v>
      </c>
      <c r="Q215">
        <v>0</v>
      </c>
      <c r="R215">
        <v>0</v>
      </c>
      <c r="T215">
        <f t="shared" si="27"/>
        <v>0.66089285714285717</v>
      </c>
      <c r="V215">
        <f t="shared" si="28"/>
        <v>1.3217857142857143</v>
      </c>
      <c r="AB215">
        <f t="shared" si="29"/>
        <v>10</v>
      </c>
      <c r="AC215">
        <f t="shared" si="30"/>
        <v>23</v>
      </c>
      <c r="AD215" s="2">
        <f t="shared" si="31"/>
        <v>0.2608695652173913</v>
      </c>
      <c r="AE215" s="2">
        <f t="shared" si="32"/>
        <v>0</v>
      </c>
      <c r="AF215" s="3">
        <f t="shared" si="33"/>
        <v>73.913043478260875</v>
      </c>
      <c r="AG215">
        <f t="shared" si="34"/>
        <v>87</v>
      </c>
      <c r="AH215">
        <f t="shared" si="35"/>
        <v>6.6089285714285717</v>
      </c>
    </row>
    <row r="216" spans="1:34" x14ac:dyDescent="0.25">
      <c r="A216" t="s">
        <v>241</v>
      </c>
      <c r="B216" t="s">
        <v>31</v>
      </c>
      <c r="C216">
        <v>28</v>
      </c>
      <c r="D216">
        <v>0.19700000000000001</v>
      </c>
      <c r="E216">
        <v>0.29499999999999998</v>
      </c>
      <c r="F216">
        <v>0.27300000000000002</v>
      </c>
      <c r="G216">
        <v>183</v>
      </c>
      <c r="H216">
        <v>36</v>
      </c>
      <c r="I216">
        <v>4</v>
      </c>
      <c r="J216">
        <v>2</v>
      </c>
      <c r="K216">
        <v>2</v>
      </c>
      <c r="L216">
        <v>20</v>
      </c>
      <c r="M216">
        <v>13</v>
      </c>
      <c r="N216">
        <v>4</v>
      </c>
      <c r="O216">
        <v>22</v>
      </c>
      <c r="P216">
        <v>35</v>
      </c>
      <c r="Q216">
        <v>7</v>
      </c>
      <c r="R216">
        <v>1</v>
      </c>
      <c r="T216">
        <f t="shared" si="27"/>
        <v>5.1262857142857134</v>
      </c>
      <c r="V216">
        <f t="shared" si="28"/>
        <v>10.252571428571427</v>
      </c>
      <c r="AB216">
        <f t="shared" si="29"/>
        <v>8</v>
      </c>
      <c r="AC216">
        <f t="shared" si="30"/>
        <v>209</v>
      </c>
      <c r="AD216" s="2">
        <f t="shared" si="31"/>
        <v>0.1674641148325359</v>
      </c>
      <c r="AE216" s="2">
        <f t="shared" si="32"/>
        <v>0.12440191387559808</v>
      </c>
      <c r="AF216" s="3">
        <f t="shared" si="33"/>
        <v>95.693779904306211</v>
      </c>
      <c r="AG216">
        <f t="shared" si="34"/>
        <v>76.000000000000014</v>
      </c>
      <c r="AH216">
        <f t="shared" si="35"/>
        <v>51.262857142857136</v>
      </c>
    </row>
    <row r="217" spans="1:34" x14ac:dyDescent="0.25">
      <c r="A217" t="s">
        <v>242</v>
      </c>
      <c r="B217" t="s">
        <v>19</v>
      </c>
      <c r="C217">
        <v>28</v>
      </c>
      <c r="D217">
        <v>0.18099999999999999</v>
      </c>
      <c r="E217">
        <v>0.221</v>
      </c>
      <c r="F217">
        <v>0.19400000000000001</v>
      </c>
      <c r="G217">
        <v>72</v>
      </c>
      <c r="H217">
        <v>13</v>
      </c>
      <c r="I217">
        <v>1</v>
      </c>
      <c r="J217">
        <v>0</v>
      </c>
      <c r="K217">
        <v>0</v>
      </c>
      <c r="L217">
        <v>8</v>
      </c>
      <c r="M217">
        <v>4</v>
      </c>
      <c r="N217">
        <v>1</v>
      </c>
      <c r="O217">
        <v>3</v>
      </c>
      <c r="P217">
        <v>22</v>
      </c>
      <c r="Q217">
        <v>0</v>
      </c>
      <c r="R217">
        <v>0</v>
      </c>
      <c r="T217">
        <f t="shared" si="27"/>
        <v>1.2121428571428572</v>
      </c>
      <c r="V217">
        <f t="shared" si="28"/>
        <v>2.4242857142857144</v>
      </c>
      <c r="AB217">
        <f t="shared" si="29"/>
        <v>10</v>
      </c>
      <c r="AC217">
        <f t="shared" si="30"/>
        <v>76</v>
      </c>
      <c r="AD217" s="2">
        <f t="shared" si="31"/>
        <v>0.28947368421052633</v>
      </c>
      <c r="AE217" s="2">
        <f t="shared" si="32"/>
        <v>5.2631578947368418E-2</v>
      </c>
      <c r="AF217" s="3">
        <f t="shared" si="33"/>
        <v>76.315789473684205</v>
      </c>
      <c r="AG217">
        <f t="shared" si="34"/>
        <v>13.000000000000011</v>
      </c>
      <c r="AH217">
        <f t="shared" si="35"/>
        <v>12.121428571428572</v>
      </c>
    </row>
    <row r="218" spans="1:34" x14ac:dyDescent="0.25">
      <c r="A218" t="s">
        <v>243</v>
      </c>
      <c r="B218" t="s">
        <v>60</v>
      </c>
      <c r="C218">
        <v>28</v>
      </c>
      <c r="D218">
        <v>0.25</v>
      </c>
      <c r="E218">
        <v>0.25</v>
      </c>
      <c r="F218">
        <v>0.25</v>
      </c>
      <c r="G218">
        <v>8</v>
      </c>
      <c r="H218">
        <v>2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2</v>
      </c>
      <c r="Q218">
        <v>0</v>
      </c>
      <c r="R218">
        <v>0</v>
      </c>
      <c r="T218">
        <f t="shared" si="27"/>
        <v>8.5714285714285715E-2</v>
      </c>
      <c r="V218">
        <f t="shared" si="28"/>
        <v>0.17142857142857143</v>
      </c>
      <c r="AB218">
        <f t="shared" si="29"/>
        <v>8</v>
      </c>
      <c r="AC218">
        <f t="shared" si="30"/>
        <v>8</v>
      </c>
      <c r="AD218" s="2">
        <f t="shared" si="31"/>
        <v>0.25</v>
      </c>
      <c r="AE218" s="2">
        <f t="shared" si="32"/>
        <v>0</v>
      </c>
      <c r="AF218" s="3">
        <f t="shared" si="33"/>
        <v>75</v>
      </c>
      <c r="AG218">
        <f t="shared" si="34"/>
        <v>0</v>
      </c>
      <c r="AH218">
        <f t="shared" si="35"/>
        <v>0.8571428571428571</v>
      </c>
    </row>
    <row r="219" spans="1:34" x14ac:dyDescent="0.25">
      <c r="A219" t="s">
        <v>244</v>
      </c>
      <c r="B219" t="s">
        <v>19</v>
      </c>
      <c r="C219">
        <v>28</v>
      </c>
      <c r="D219">
        <v>0</v>
      </c>
      <c r="E219">
        <v>0</v>
      </c>
      <c r="F219">
        <v>0</v>
      </c>
      <c r="G219">
        <v>3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f t="shared" si="27"/>
        <v>5.3571428571428568E-2</v>
      </c>
      <c r="V219">
        <f t="shared" si="28"/>
        <v>0.10714285714285714</v>
      </c>
      <c r="AB219">
        <f t="shared" si="29"/>
        <v>10</v>
      </c>
      <c r="AC219">
        <f t="shared" si="30"/>
        <v>3</v>
      </c>
      <c r="AD219" s="2">
        <f t="shared" si="31"/>
        <v>0</v>
      </c>
      <c r="AE219" s="2">
        <f t="shared" si="32"/>
        <v>0</v>
      </c>
      <c r="AF219" s="3">
        <f t="shared" si="33"/>
        <v>100</v>
      </c>
      <c r="AG219">
        <f t="shared" si="34"/>
        <v>0</v>
      </c>
      <c r="AH219">
        <f t="shared" si="35"/>
        <v>0.5357142857142857</v>
      </c>
    </row>
    <row r="220" spans="1:34" x14ac:dyDescent="0.25">
      <c r="A220" t="s">
        <v>245</v>
      </c>
      <c r="B220" t="s">
        <v>29</v>
      </c>
      <c r="C220">
        <v>28</v>
      </c>
      <c r="D220">
        <v>0.23899999999999999</v>
      </c>
      <c r="E220">
        <v>0.28899999999999998</v>
      </c>
      <c r="F220">
        <v>0.371</v>
      </c>
      <c r="G220">
        <v>259</v>
      </c>
      <c r="H220">
        <v>62</v>
      </c>
      <c r="I220">
        <v>13</v>
      </c>
      <c r="J220">
        <v>0</v>
      </c>
      <c r="K220">
        <v>7</v>
      </c>
      <c r="L220">
        <v>33</v>
      </c>
      <c r="M220">
        <v>27</v>
      </c>
      <c r="N220">
        <v>6</v>
      </c>
      <c r="O220">
        <v>14</v>
      </c>
      <c r="P220">
        <v>42</v>
      </c>
      <c r="Q220">
        <v>2</v>
      </c>
      <c r="R220">
        <v>1</v>
      </c>
      <c r="T220">
        <f t="shared" si="27"/>
        <v>2.2331428571428571</v>
      </c>
      <c r="V220">
        <f t="shared" si="28"/>
        <v>4.4662857142857142</v>
      </c>
      <c r="AB220">
        <f t="shared" si="29"/>
        <v>2</v>
      </c>
      <c r="AC220">
        <f t="shared" si="30"/>
        <v>279</v>
      </c>
      <c r="AD220" s="2">
        <f t="shared" si="31"/>
        <v>0.15053763440860216</v>
      </c>
      <c r="AE220" s="2">
        <f t="shared" si="32"/>
        <v>7.1684587813620068E-2</v>
      </c>
      <c r="AF220" s="3">
        <f t="shared" si="33"/>
        <v>92.114695340501797</v>
      </c>
      <c r="AG220">
        <f t="shared" si="34"/>
        <v>132</v>
      </c>
      <c r="AH220">
        <f t="shared" si="35"/>
        <v>22.331428571428571</v>
      </c>
    </row>
    <row r="221" spans="1:34" x14ac:dyDescent="0.25">
      <c r="A221" t="s">
        <v>246</v>
      </c>
      <c r="B221" t="s">
        <v>31</v>
      </c>
      <c r="C221">
        <v>28</v>
      </c>
      <c r="D221">
        <v>0.23</v>
      </c>
      <c r="E221">
        <v>0.315</v>
      </c>
      <c r="F221">
        <v>0.33800000000000002</v>
      </c>
      <c r="G221">
        <v>287</v>
      </c>
      <c r="H221">
        <v>66</v>
      </c>
      <c r="I221">
        <v>7</v>
      </c>
      <c r="J221">
        <v>0</v>
      </c>
      <c r="K221">
        <v>8</v>
      </c>
      <c r="L221">
        <v>27</v>
      </c>
      <c r="M221">
        <v>25</v>
      </c>
      <c r="N221">
        <v>6</v>
      </c>
      <c r="O221">
        <v>31</v>
      </c>
      <c r="P221">
        <v>45</v>
      </c>
      <c r="Q221">
        <v>2</v>
      </c>
      <c r="R221">
        <v>1</v>
      </c>
      <c r="T221">
        <f t="shared" si="27"/>
        <v>9.5131428571428582</v>
      </c>
      <c r="V221">
        <f t="shared" si="28"/>
        <v>19.026285714285716</v>
      </c>
      <c r="AB221">
        <f t="shared" si="29"/>
        <v>8</v>
      </c>
      <c r="AC221">
        <f t="shared" si="30"/>
        <v>324</v>
      </c>
      <c r="AD221" s="2">
        <f t="shared" si="31"/>
        <v>0.1388888888888889</v>
      </c>
      <c r="AE221" s="2">
        <f t="shared" si="32"/>
        <v>0.11419753086419752</v>
      </c>
      <c r="AF221" s="3">
        <f t="shared" si="33"/>
        <v>97.53086419753086</v>
      </c>
      <c r="AG221">
        <f t="shared" si="34"/>
        <v>108.00000000000001</v>
      </c>
      <c r="AH221">
        <f t="shared" si="35"/>
        <v>95.131428571428586</v>
      </c>
    </row>
    <row r="222" spans="1:34" x14ac:dyDescent="0.25">
      <c r="A222" t="s">
        <v>247</v>
      </c>
      <c r="B222" t="s">
        <v>31</v>
      </c>
      <c r="C222">
        <v>28</v>
      </c>
      <c r="D222">
        <v>0</v>
      </c>
      <c r="E222">
        <v>0</v>
      </c>
      <c r="F222">
        <v>0</v>
      </c>
      <c r="G222">
        <v>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f t="shared" si="27"/>
        <v>1.4285714285714285E-2</v>
      </c>
      <c r="V222">
        <f t="shared" si="28"/>
        <v>2.8571428571428571E-2</v>
      </c>
      <c r="AB222">
        <f t="shared" si="29"/>
        <v>8</v>
      </c>
      <c r="AC222">
        <f t="shared" si="30"/>
        <v>1</v>
      </c>
      <c r="AD222" s="2">
        <f t="shared" si="31"/>
        <v>0</v>
      </c>
      <c r="AE222" s="2">
        <f t="shared" si="32"/>
        <v>0</v>
      </c>
      <c r="AF222" s="3">
        <f t="shared" si="33"/>
        <v>100</v>
      </c>
      <c r="AG222">
        <f t="shared" si="34"/>
        <v>0</v>
      </c>
      <c r="AH222">
        <f t="shared" si="35"/>
        <v>0.14285714285714285</v>
      </c>
    </row>
    <row r="223" spans="1:34" x14ac:dyDescent="0.25">
      <c r="A223" t="s">
        <v>248</v>
      </c>
      <c r="B223" t="s">
        <v>60</v>
      </c>
      <c r="C223">
        <v>28</v>
      </c>
      <c r="D223">
        <v>0.23899999999999999</v>
      </c>
      <c r="E223">
        <v>0.31</v>
      </c>
      <c r="F223">
        <v>0.307</v>
      </c>
      <c r="G223">
        <v>88</v>
      </c>
      <c r="H223">
        <v>21</v>
      </c>
      <c r="I223">
        <v>3</v>
      </c>
      <c r="J223">
        <v>0</v>
      </c>
      <c r="K223">
        <v>1</v>
      </c>
      <c r="L223">
        <v>6</v>
      </c>
      <c r="M223">
        <v>11</v>
      </c>
      <c r="N223">
        <v>3</v>
      </c>
      <c r="O223">
        <v>7</v>
      </c>
      <c r="P223">
        <v>24</v>
      </c>
      <c r="Q223">
        <v>2</v>
      </c>
      <c r="R223">
        <v>0</v>
      </c>
      <c r="T223">
        <f t="shared" si="27"/>
        <v>2.1520000000000001</v>
      </c>
      <c r="V223">
        <f t="shared" si="28"/>
        <v>4.3040000000000003</v>
      </c>
      <c r="AB223">
        <f t="shared" si="29"/>
        <v>8</v>
      </c>
      <c r="AC223">
        <f t="shared" si="30"/>
        <v>98</v>
      </c>
      <c r="AD223" s="2">
        <f t="shared" si="31"/>
        <v>0.24489795918367346</v>
      </c>
      <c r="AE223" s="2">
        <f t="shared" si="32"/>
        <v>0.10204081632653061</v>
      </c>
      <c r="AF223" s="3">
        <f t="shared" si="33"/>
        <v>85.714285714285722</v>
      </c>
      <c r="AG223">
        <f t="shared" si="34"/>
        <v>68</v>
      </c>
      <c r="AH223">
        <f t="shared" si="35"/>
        <v>21.520000000000003</v>
      </c>
    </row>
    <row r="224" spans="1:34" x14ac:dyDescent="0.25">
      <c r="A224" t="s">
        <v>249</v>
      </c>
      <c r="B224" t="s">
        <v>29</v>
      </c>
      <c r="C224">
        <v>28</v>
      </c>
      <c r="D224">
        <v>0.2</v>
      </c>
      <c r="E224">
        <v>0.36</v>
      </c>
      <c r="F224">
        <v>0.25</v>
      </c>
      <c r="G224">
        <v>20</v>
      </c>
      <c r="H224">
        <v>4</v>
      </c>
      <c r="I224">
        <v>1</v>
      </c>
      <c r="J224">
        <v>0</v>
      </c>
      <c r="K224">
        <v>0</v>
      </c>
      <c r="L224">
        <v>4</v>
      </c>
      <c r="M224">
        <v>1</v>
      </c>
      <c r="N224">
        <v>1</v>
      </c>
      <c r="O224">
        <v>4</v>
      </c>
      <c r="P224">
        <v>5</v>
      </c>
      <c r="Q224">
        <v>0</v>
      </c>
      <c r="R224">
        <v>0</v>
      </c>
      <c r="T224">
        <f t="shared" si="27"/>
        <v>0.13392857142857142</v>
      </c>
      <c r="V224">
        <f t="shared" si="28"/>
        <v>0.26785714285714285</v>
      </c>
      <c r="AB224">
        <f t="shared" si="29"/>
        <v>2</v>
      </c>
      <c r="AC224">
        <f t="shared" si="30"/>
        <v>25</v>
      </c>
      <c r="AD224" s="2">
        <f t="shared" si="31"/>
        <v>0.2</v>
      </c>
      <c r="AE224" s="2">
        <f t="shared" si="32"/>
        <v>0.2</v>
      </c>
      <c r="AF224" s="3">
        <f t="shared" si="33"/>
        <v>100</v>
      </c>
      <c r="AG224">
        <f t="shared" si="34"/>
        <v>49.999999999999986</v>
      </c>
      <c r="AH224">
        <f t="shared" si="35"/>
        <v>1.3392857142857142</v>
      </c>
    </row>
    <row r="225" spans="1:34" x14ac:dyDescent="0.25">
      <c r="A225" t="s">
        <v>250</v>
      </c>
      <c r="B225" t="s">
        <v>26</v>
      </c>
      <c r="C225">
        <v>28</v>
      </c>
      <c r="D225">
        <v>0.22</v>
      </c>
      <c r="E225">
        <v>0.28000000000000003</v>
      </c>
      <c r="F225">
        <v>0.31900000000000001</v>
      </c>
      <c r="G225">
        <v>282</v>
      </c>
      <c r="H225">
        <v>62</v>
      </c>
      <c r="I225">
        <v>14</v>
      </c>
      <c r="J225">
        <v>1</v>
      </c>
      <c r="K225">
        <v>4</v>
      </c>
      <c r="L225">
        <v>36</v>
      </c>
      <c r="M225">
        <v>38</v>
      </c>
      <c r="N225">
        <v>0</v>
      </c>
      <c r="O225">
        <v>26</v>
      </c>
      <c r="P225">
        <v>70</v>
      </c>
      <c r="Q225">
        <v>14</v>
      </c>
      <c r="R225">
        <v>6</v>
      </c>
      <c r="T225">
        <f t="shared" si="27"/>
        <v>10.159285714285716</v>
      </c>
      <c r="V225">
        <f t="shared" si="28"/>
        <v>20.318571428571431</v>
      </c>
      <c r="AB225">
        <f t="shared" si="29"/>
        <v>10</v>
      </c>
      <c r="AC225">
        <f t="shared" si="30"/>
        <v>308</v>
      </c>
      <c r="AD225" s="2">
        <f t="shared" si="31"/>
        <v>0.22727272727272727</v>
      </c>
      <c r="AE225" s="2">
        <f t="shared" si="32"/>
        <v>8.4415584415584416E-2</v>
      </c>
      <c r="AF225" s="3">
        <f t="shared" si="33"/>
        <v>85.714285714285722</v>
      </c>
      <c r="AG225">
        <f t="shared" si="34"/>
        <v>99</v>
      </c>
      <c r="AH225">
        <f t="shared" si="35"/>
        <v>101.59285714285716</v>
      </c>
    </row>
    <row r="226" spans="1:34" x14ac:dyDescent="0.25">
      <c r="A226" t="s">
        <v>251</v>
      </c>
      <c r="B226" t="s">
        <v>26</v>
      </c>
      <c r="C226">
        <v>28</v>
      </c>
      <c r="D226">
        <v>0.129</v>
      </c>
      <c r="E226">
        <v>0.17599999999999999</v>
      </c>
      <c r="F226">
        <v>0.19400000000000001</v>
      </c>
      <c r="G226">
        <v>31</v>
      </c>
      <c r="H226">
        <v>4</v>
      </c>
      <c r="I226">
        <v>2</v>
      </c>
      <c r="J226">
        <v>0</v>
      </c>
      <c r="K226">
        <v>0</v>
      </c>
      <c r="L226">
        <v>5</v>
      </c>
      <c r="M226">
        <v>5</v>
      </c>
      <c r="N226">
        <v>1</v>
      </c>
      <c r="O226">
        <v>1</v>
      </c>
      <c r="P226">
        <v>9</v>
      </c>
      <c r="Q226">
        <v>5</v>
      </c>
      <c r="R226">
        <v>0</v>
      </c>
      <c r="T226">
        <f t="shared" si="27"/>
        <v>0.84732142857142867</v>
      </c>
      <c r="V226">
        <f t="shared" si="28"/>
        <v>1.6946428571428573</v>
      </c>
      <c r="AB226">
        <f t="shared" si="29"/>
        <v>10</v>
      </c>
      <c r="AC226">
        <f t="shared" si="30"/>
        <v>33</v>
      </c>
      <c r="AD226" s="2">
        <f t="shared" si="31"/>
        <v>0.27272727272727271</v>
      </c>
      <c r="AE226" s="2">
        <f t="shared" si="32"/>
        <v>6.0606060606060608E-2</v>
      </c>
      <c r="AF226" s="3">
        <f t="shared" si="33"/>
        <v>78.787878787878782</v>
      </c>
      <c r="AG226">
        <f t="shared" si="34"/>
        <v>65</v>
      </c>
      <c r="AH226">
        <f t="shared" si="35"/>
        <v>8.4732142857142865</v>
      </c>
    </row>
    <row r="227" spans="1:34" x14ac:dyDescent="0.25">
      <c r="A227" t="s">
        <v>252</v>
      </c>
      <c r="B227" t="s">
        <v>48</v>
      </c>
      <c r="C227">
        <v>29</v>
      </c>
      <c r="D227">
        <v>0.11799999999999999</v>
      </c>
      <c r="E227">
        <v>0.111</v>
      </c>
      <c r="F227">
        <v>0.11799999999999999</v>
      </c>
      <c r="G227">
        <v>17</v>
      </c>
      <c r="H227">
        <v>2</v>
      </c>
      <c r="I227">
        <v>0</v>
      </c>
      <c r="J227">
        <v>0</v>
      </c>
      <c r="K227">
        <v>0</v>
      </c>
      <c r="L227">
        <v>1</v>
      </c>
      <c r="M227">
        <v>1</v>
      </c>
      <c r="N227">
        <v>0</v>
      </c>
      <c r="O227">
        <v>0</v>
      </c>
      <c r="P227">
        <v>6</v>
      </c>
      <c r="Q227">
        <v>1</v>
      </c>
      <c r="R227">
        <v>0</v>
      </c>
      <c r="T227">
        <f t="shared" si="27"/>
        <v>3.793103448275862E-2</v>
      </c>
      <c r="V227">
        <f t="shared" si="28"/>
        <v>7.586206896551724E-2</v>
      </c>
      <c r="AB227">
        <f t="shared" si="29"/>
        <v>2</v>
      </c>
      <c r="AC227">
        <f t="shared" si="30"/>
        <v>17</v>
      </c>
      <c r="AD227" s="2">
        <f t="shared" si="31"/>
        <v>0.35294117647058826</v>
      </c>
      <c r="AE227" s="2">
        <f t="shared" si="32"/>
        <v>0</v>
      </c>
      <c r="AF227" s="3">
        <f t="shared" si="33"/>
        <v>64.705882352941174</v>
      </c>
      <c r="AG227">
        <f t="shared" si="34"/>
        <v>0</v>
      </c>
      <c r="AH227">
        <f t="shared" si="35"/>
        <v>0.37931034482758619</v>
      </c>
    </row>
    <row r="228" spans="1:34" x14ac:dyDescent="0.25">
      <c r="A228" t="s">
        <v>253</v>
      </c>
      <c r="B228" t="s">
        <v>48</v>
      </c>
      <c r="C228">
        <v>29</v>
      </c>
      <c r="D228">
        <v>0.26300000000000001</v>
      </c>
      <c r="E228">
        <v>0.33300000000000002</v>
      </c>
      <c r="F228">
        <v>0.26300000000000001</v>
      </c>
      <c r="G228">
        <v>19</v>
      </c>
      <c r="H228">
        <v>5</v>
      </c>
      <c r="I228">
        <v>0</v>
      </c>
      <c r="J228">
        <v>0</v>
      </c>
      <c r="K228">
        <v>0</v>
      </c>
      <c r="L228">
        <v>5</v>
      </c>
      <c r="M228">
        <v>1</v>
      </c>
      <c r="N228">
        <v>0</v>
      </c>
      <c r="O228">
        <v>2</v>
      </c>
      <c r="P228">
        <v>1</v>
      </c>
      <c r="Q228">
        <v>1</v>
      </c>
      <c r="R228">
        <v>0</v>
      </c>
      <c r="T228">
        <f t="shared" si="27"/>
        <v>7.586206896551724E-2</v>
      </c>
      <c r="V228">
        <f t="shared" si="28"/>
        <v>0.15172413793103448</v>
      </c>
      <c r="AB228">
        <f t="shared" si="29"/>
        <v>2</v>
      </c>
      <c r="AC228">
        <f t="shared" si="30"/>
        <v>21</v>
      </c>
      <c r="AD228" s="2">
        <f t="shared" si="31"/>
        <v>4.7619047619047616E-2</v>
      </c>
      <c r="AE228" s="2">
        <f t="shared" si="32"/>
        <v>9.5238095238095233E-2</v>
      </c>
      <c r="AF228" s="3">
        <f t="shared" si="33"/>
        <v>104.76190476190476</v>
      </c>
      <c r="AG228">
        <f t="shared" si="34"/>
        <v>0</v>
      </c>
      <c r="AH228">
        <f t="shared" si="35"/>
        <v>0.75862068965517238</v>
      </c>
    </row>
    <row r="229" spans="1:34" x14ac:dyDescent="0.25">
      <c r="A229" t="s">
        <v>254</v>
      </c>
      <c r="B229" t="s">
        <v>23</v>
      </c>
      <c r="C229">
        <v>29</v>
      </c>
      <c r="D229">
        <v>0.16700000000000001</v>
      </c>
      <c r="E229">
        <v>0.247</v>
      </c>
      <c r="F229">
        <v>0.24199999999999999</v>
      </c>
      <c r="G229">
        <v>66</v>
      </c>
      <c r="H229">
        <v>11</v>
      </c>
      <c r="I229">
        <v>0</v>
      </c>
      <c r="J229">
        <v>1</v>
      </c>
      <c r="K229">
        <v>1</v>
      </c>
      <c r="L229">
        <v>7</v>
      </c>
      <c r="M229">
        <v>7</v>
      </c>
      <c r="N229">
        <v>0</v>
      </c>
      <c r="O229">
        <v>7</v>
      </c>
      <c r="P229">
        <v>27</v>
      </c>
      <c r="Q229">
        <v>1</v>
      </c>
      <c r="R229">
        <v>1</v>
      </c>
      <c r="T229">
        <f t="shared" si="27"/>
        <v>0.74310344827586206</v>
      </c>
      <c r="V229">
        <f t="shared" si="28"/>
        <v>1.4862068965517241</v>
      </c>
      <c r="AB229">
        <f t="shared" si="29"/>
        <v>4</v>
      </c>
      <c r="AC229">
        <f t="shared" si="30"/>
        <v>73</v>
      </c>
      <c r="AD229" s="2">
        <f t="shared" si="31"/>
        <v>0.36986301369863012</v>
      </c>
      <c r="AE229" s="2">
        <f t="shared" si="32"/>
        <v>9.5890410958904104E-2</v>
      </c>
      <c r="AF229" s="3">
        <f t="shared" si="33"/>
        <v>72.602739726027394</v>
      </c>
      <c r="AG229">
        <f t="shared" si="34"/>
        <v>74.999999999999986</v>
      </c>
      <c r="AH229">
        <f t="shared" si="35"/>
        <v>7.4310344827586201</v>
      </c>
    </row>
    <row r="230" spans="1:34" x14ac:dyDescent="0.25">
      <c r="A230" t="s">
        <v>255</v>
      </c>
      <c r="B230" t="s">
        <v>33</v>
      </c>
      <c r="C230">
        <v>29</v>
      </c>
      <c r="D230">
        <v>0.17</v>
      </c>
      <c r="E230">
        <v>0.248</v>
      </c>
      <c r="F230">
        <v>0.188</v>
      </c>
      <c r="G230">
        <v>112</v>
      </c>
      <c r="H230">
        <v>19</v>
      </c>
      <c r="I230">
        <v>2</v>
      </c>
      <c r="J230">
        <v>0</v>
      </c>
      <c r="K230">
        <v>0</v>
      </c>
      <c r="L230">
        <v>7</v>
      </c>
      <c r="M230">
        <v>5</v>
      </c>
      <c r="N230">
        <v>1</v>
      </c>
      <c r="O230">
        <v>11</v>
      </c>
      <c r="P230">
        <v>39</v>
      </c>
      <c r="Q230">
        <v>0</v>
      </c>
      <c r="R230">
        <v>0</v>
      </c>
      <c r="T230">
        <f t="shared" si="27"/>
        <v>1.2343448275862066</v>
      </c>
      <c r="V230">
        <f t="shared" si="28"/>
        <v>2.4686896551724131</v>
      </c>
      <c r="AB230">
        <f t="shared" si="29"/>
        <v>6</v>
      </c>
      <c r="AC230">
        <f t="shared" si="30"/>
        <v>124</v>
      </c>
      <c r="AD230" s="2">
        <f t="shared" si="31"/>
        <v>0.31451612903225806</v>
      </c>
      <c r="AE230" s="2">
        <f t="shared" si="32"/>
        <v>9.6774193548387094E-2</v>
      </c>
      <c r="AF230" s="3">
        <f t="shared" si="33"/>
        <v>78.225806451612897</v>
      </c>
      <c r="AG230">
        <f t="shared" si="34"/>
        <v>17.999999999999989</v>
      </c>
      <c r="AH230">
        <f t="shared" si="35"/>
        <v>12.343448275862066</v>
      </c>
    </row>
    <row r="231" spans="1:34" x14ac:dyDescent="0.25">
      <c r="A231" t="s">
        <v>256</v>
      </c>
      <c r="B231" t="s">
        <v>21</v>
      </c>
      <c r="C231">
        <v>29</v>
      </c>
      <c r="D231">
        <v>0.14599999999999999</v>
      </c>
      <c r="E231">
        <v>0.186</v>
      </c>
      <c r="F231">
        <v>0.26800000000000002</v>
      </c>
      <c r="G231">
        <v>41</v>
      </c>
      <c r="H231">
        <v>6</v>
      </c>
      <c r="I231">
        <v>2</v>
      </c>
      <c r="J231">
        <v>0</v>
      </c>
      <c r="K231">
        <v>1</v>
      </c>
      <c r="L231">
        <v>5</v>
      </c>
      <c r="M231">
        <v>2</v>
      </c>
      <c r="N231">
        <v>0</v>
      </c>
      <c r="O231">
        <v>2</v>
      </c>
      <c r="P231">
        <v>13</v>
      </c>
      <c r="Q231">
        <v>0</v>
      </c>
      <c r="R231">
        <v>0</v>
      </c>
      <c r="T231">
        <f t="shared" si="27"/>
        <v>0.14562068965517244</v>
      </c>
      <c r="V231">
        <f t="shared" si="28"/>
        <v>0.29124137931034488</v>
      </c>
      <c r="AB231">
        <f t="shared" si="29"/>
        <v>1</v>
      </c>
      <c r="AC231">
        <f t="shared" si="30"/>
        <v>43</v>
      </c>
      <c r="AD231" s="2">
        <f t="shared" si="31"/>
        <v>0.30232558139534882</v>
      </c>
      <c r="AE231" s="2">
        <f t="shared" si="32"/>
        <v>4.6511627906976744E-2</v>
      </c>
      <c r="AF231" s="3">
        <f t="shared" si="33"/>
        <v>74.418604651162781</v>
      </c>
      <c r="AG231">
        <f t="shared" si="34"/>
        <v>122.00000000000003</v>
      </c>
      <c r="AH231">
        <f t="shared" si="35"/>
        <v>1.4562068965517243</v>
      </c>
    </row>
    <row r="232" spans="1:34" x14ac:dyDescent="0.25">
      <c r="A232" t="s">
        <v>257</v>
      </c>
      <c r="B232" t="s">
        <v>31</v>
      </c>
      <c r="C232">
        <v>29</v>
      </c>
      <c r="D232">
        <v>0.253</v>
      </c>
      <c r="E232">
        <v>0.28499999999999998</v>
      </c>
      <c r="F232">
        <v>0.37</v>
      </c>
      <c r="G232">
        <v>154</v>
      </c>
      <c r="H232">
        <v>39</v>
      </c>
      <c r="I232">
        <v>9</v>
      </c>
      <c r="J232">
        <v>0</v>
      </c>
      <c r="K232">
        <v>3</v>
      </c>
      <c r="L232">
        <v>14</v>
      </c>
      <c r="M232">
        <v>21</v>
      </c>
      <c r="N232">
        <v>2</v>
      </c>
      <c r="O232">
        <v>6</v>
      </c>
      <c r="P232">
        <v>26</v>
      </c>
      <c r="Q232">
        <v>1</v>
      </c>
      <c r="R232">
        <v>3</v>
      </c>
      <c r="T232">
        <f t="shared" si="27"/>
        <v>4.6005517241379312</v>
      </c>
      <c r="V232">
        <f t="shared" si="28"/>
        <v>9.2011034482758625</v>
      </c>
      <c r="AB232">
        <f t="shared" si="29"/>
        <v>8</v>
      </c>
      <c r="AC232">
        <f t="shared" si="30"/>
        <v>162</v>
      </c>
      <c r="AD232" s="2">
        <f t="shared" si="31"/>
        <v>0.16049382716049382</v>
      </c>
      <c r="AE232" s="2">
        <f t="shared" si="32"/>
        <v>4.9382716049382713E-2</v>
      </c>
      <c r="AF232" s="3">
        <f t="shared" si="33"/>
        <v>88.888888888888886</v>
      </c>
      <c r="AG232">
        <f t="shared" si="34"/>
        <v>117</v>
      </c>
      <c r="AH232">
        <f t="shared" si="35"/>
        <v>46.005517241379316</v>
      </c>
    </row>
    <row r="233" spans="1:34" x14ac:dyDescent="0.25">
      <c r="A233" t="s">
        <v>258</v>
      </c>
      <c r="B233" t="s">
        <v>23</v>
      </c>
      <c r="C233">
        <v>29</v>
      </c>
      <c r="D233">
        <v>0.216</v>
      </c>
      <c r="E233">
        <v>0.27300000000000002</v>
      </c>
      <c r="F233">
        <v>0.33300000000000002</v>
      </c>
      <c r="G233">
        <v>51</v>
      </c>
      <c r="H233">
        <v>11</v>
      </c>
      <c r="I233">
        <v>4</v>
      </c>
      <c r="J233">
        <v>1</v>
      </c>
      <c r="K233">
        <v>0</v>
      </c>
      <c r="L233">
        <v>7</v>
      </c>
      <c r="M233">
        <v>2</v>
      </c>
      <c r="N233">
        <v>0</v>
      </c>
      <c r="O233">
        <v>4</v>
      </c>
      <c r="P233">
        <v>15</v>
      </c>
      <c r="Q233">
        <v>2</v>
      </c>
      <c r="R233">
        <v>1</v>
      </c>
      <c r="T233">
        <f t="shared" si="27"/>
        <v>0.74724137931034496</v>
      </c>
      <c r="V233">
        <f t="shared" si="28"/>
        <v>1.4944827586206899</v>
      </c>
      <c r="AB233">
        <f t="shared" si="29"/>
        <v>4</v>
      </c>
      <c r="AC233">
        <f t="shared" si="30"/>
        <v>55</v>
      </c>
      <c r="AD233" s="2">
        <f t="shared" si="31"/>
        <v>0.27272727272727271</v>
      </c>
      <c r="AE233" s="2">
        <f t="shared" si="32"/>
        <v>7.2727272727272724E-2</v>
      </c>
      <c r="AF233" s="3">
        <f t="shared" si="33"/>
        <v>80</v>
      </c>
      <c r="AG233">
        <f t="shared" si="34"/>
        <v>117.00000000000001</v>
      </c>
      <c r="AH233">
        <f t="shared" si="35"/>
        <v>7.4724137931034491</v>
      </c>
    </row>
    <row r="234" spans="1:34" x14ac:dyDescent="0.25">
      <c r="A234" t="s">
        <v>259</v>
      </c>
      <c r="B234" t="s">
        <v>21</v>
      </c>
      <c r="C234">
        <v>29</v>
      </c>
      <c r="D234">
        <v>0.17100000000000001</v>
      </c>
      <c r="E234">
        <v>0.22900000000000001</v>
      </c>
      <c r="F234">
        <v>0.36299999999999999</v>
      </c>
      <c r="G234">
        <v>146</v>
      </c>
      <c r="H234">
        <v>25</v>
      </c>
      <c r="I234">
        <v>4</v>
      </c>
      <c r="J234">
        <v>0</v>
      </c>
      <c r="K234">
        <v>8</v>
      </c>
      <c r="L234">
        <v>16</v>
      </c>
      <c r="M234">
        <v>23</v>
      </c>
      <c r="N234">
        <v>2</v>
      </c>
      <c r="O234">
        <v>9</v>
      </c>
      <c r="P234">
        <v>58</v>
      </c>
      <c r="Q234">
        <v>1</v>
      </c>
      <c r="R234">
        <v>0</v>
      </c>
      <c r="T234">
        <f t="shared" si="27"/>
        <v>0.70937931034482749</v>
      </c>
      <c r="V234">
        <f t="shared" si="28"/>
        <v>1.418758620689655</v>
      </c>
      <c r="AB234">
        <f t="shared" si="29"/>
        <v>1</v>
      </c>
      <c r="AC234">
        <f t="shared" si="30"/>
        <v>157</v>
      </c>
      <c r="AD234" s="2">
        <f t="shared" si="31"/>
        <v>0.36942675159235666</v>
      </c>
      <c r="AE234" s="2">
        <f t="shared" si="32"/>
        <v>7.0063694267515922E-2</v>
      </c>
      <c r="AF234" s="3">
        <f t="shared" si="33"/>
        <v>70.063694267515928</v>
      </c>
      <c r="AG234">
        <f t="shared" si="34"/>
        <v>191.99999999999997</v>
      </c>
      <c r="AH234">
        <f t="shared" si="35"/>
        <v>7.0937931034482746</v>
      </c>
    </row>
    <row r="235" spans="1:34" x14ac:dyDescent="0.25">
      <c r="A235" t="s">
        <v>260</v>
      </c>
      <c r="B235" t="s">
        <v>19</v>
      </c>
      <c r="C235">
        <v>29</v>
      </c>
      <c r="D235">
        <v>0.158</v>
      </c>
      <c r="E235">
        <v>0.25700000000000001</v>
      </c>
      <c r="F235">
        <v>0.23200000000000001</v>
      </c>
      <c r="G235">
        <v>95</v>
      </c>
      <c r="H235">
        <v>15</v>
      </c>
      <c r="I235">
        <v>1</v>
      </c>
      <c r="J235">
        <v>0</v>
      </c>
      <c r="K235">
        <v>2</v>
      </c>
      <c r="L235">
        <v>15</v>
      </c>
      <c r="M235">
        <v>11</v>
      </c>
      <c r="N235">
        <v>3</v>
      </c>
      <c r="O235">
        <v>10</v>
      </c>
      <c r="P235">
        <v>20</v>
      </c>
      <c r="Q235">
        <v>2</v>
      </c>
      <c r="R235">
        <v>0</v>
      </c>
      <c r="T235">
        <f t="shared" si="27"/>
        <v>3.1193103448275865</v>
      </c>
      <c r="V235">
        <f t="shared" si="28"/>
        <v>6.238620689655173</v>
      </c>
      <c r="AB235">
        <f t="shared" si="29"/>
        <v>10</v>
      </c>
      <c r="AC235">
        <f t="shared" si="30"/>
        <v>108</v>
      </c>
      <c r="AD235" s="2">
        <f t="shared" si="31"/>
        <v>0.18518518518518517</v>
      </c>
      <c r="AE235" s="2">
        <f t="shared" si="32"/>
        <v>0.12037037037037036</v>
      </c>
      <c r="AF235" s="3">
        <f t="shared" si="33"/>
        <v>93.518518518518519</v>
      </c>
      <c r="AG235">
        <f t="shared" si="34"/>
        <v>74.000000000000014</v>
      </c>
      <c r="AH235">
        <f t="shared" si="35"/>
        <v>31.193103448275867</v>
      </c>
    </row>
    <row r="236" spans="1:34" x14ac:dyDescent="0.25">
      <c r="A236" t="s">
        <v>261</v>
      </c>
      <c r="B236" t="s">
        <v>31</v>
      </c>
      <c r="C236">
        <v>29</v>
      </c>
      <c r="D236">
        <v>0.23100000000000001</v>
      </c>
      <c r="E236">
        <v>0.28199999999999997</v>
      </c>
      <c r="F236">
        <v>0.41</v>
      </c>
      <c r="G236">
        <v>78</v>
      </c>
      <c r="H236">
        <v>18</v>
      </c>
      <c r="I236">
        <v>5</v>
      </c>
      <c r="J236">
        <v>0</v>
      </c>
      <c r="K236">
        <v>3</v>
      </c>
      <c r="L236">
        <v>9</v>
      </c>
      <c r="M236">
        <v>9</v>
      </c>
      <c r="N236">
        <v>0</v>
      </c>
      <c r="O236">
        <v>6</v>
      </c>
      <c r="P236">
        <v>19</v>
      </c>
      <c r="Q236">
        <v>0</v>
      </c>
      <c r="R236">
        <v>0</v>
      </c>
      <c r="T236">
        <f t="shared" si="27"/>
        <v>3.0532413793103448</v>
      </c>
      <c r="V236">
        <f t="shared" si="28"/>
        <v>6.1064827586206896</v>
      </c>
      <c r="AB236">
        <f t="shared" si="29"/>
        <v>8</v>
      </c>
      <c r="AC236">
        <f t="shared" si="30"/>
        <v>84</v>
      </c>
      <c r="AD236" s="2">
        <f t="shared" si="31"/>
        <v>0.22619047619047619</v>
      </c>
      <c r="AE236" s="2">
        <f t="shared" si="32"/>
        <v>7.1428571428571425E-2</v>
      </c>
      <c r="AF236" s="3">
        <f t="shared" si="33"/>
        <v>84.523809523809518</v>
      </c>
      <c r="AG236">
        <f t="shared" si="34"/>
        <v>178.99999999999997</v>
      </c>
      <c r="AH236">
        <f t="shared" si="35"/>
        <v>30.532413793103448</v>
      </c>
    </row>
    <row r="237" spans="1:34" x14ac:dyDescent="0.25">
      <c r="A237" t="s">
        <v>262</v>
      </c>
      <c r="B237" t="s">
        <v>60</v>
      </c>
      <c r="C237">
        <v>29</v>
      </c>
      <c r="D237">
        <v>0.23200000000000001</v>
      </c>
      <c r="E237">
        <v>0.28999999999999998</v>
      </c>
      <c r="F237">
        <v>0.45500000000000002</v>
      </c>
      <c r="G237">
        <v>99</v>
      </c>
      <c r="H237">
        <v>23</v>
      </c>
      <c r="I237">
        <v>5</v>
      </c>
      <c r="J237">
        <v>1</v>
      </c>
      <c r="K237">
        <v>5</v>
      </c>
      <c r="L237">
        <v>18</v>
      </c>
      <c r="M237">
        <v>20</v>
      </c>
      <c r="N237">
        <v>1</v>
      </c>
      <c r="O237">
        <v>7</v>
      </c>
      <c r="P237">
        <v>21</v>
      </c>
      <c r="Q237">
        <v>4</v>
      </c>
      <c r="R237">
        <v>0</v>
      </c>
      <c r="T237">
        <f t="shared" si="27"/>
        <v>4.5877241379310352</v>
      </c>
      <c r="V237">
        <f t="shared" si="28"/>
        <v>9.1754482758620703</v>
      </c>
      <c r="AB237">
        <f t="shared" si="29"/>
        <v>8</v>
      </c>
      <c r="AC237">
        <f t="shared" si="30"/>
        <v>107</v>
      </c>
      <c r="AD237" s="2">
        <f t="shared" si="31"/>
        <v>0.19626168224299065</v>
      </c>
      <c r="AE237" s="2">
        <f t="shared" si="32"/>
        <v>7.476635514018691E-2</v>
      </c>
      <c r="AF237" s="3">
        <f t="shared" si="33"/>
        <v>87.850467289719631</v>
      </c>
      <c r="AG237">
        <f t="shared" si="34"/>
        <v>223</v>
      </c>
      <c r="AH237">
        <f t="shared" si="35"/>
        <v>45.877241379310348</v>
      </c>
    </row>
    <row r="238" spans="1:34" x14ac:dyDescent="0.25">
      <c r="A238" t="s">
        <v>263</v>
      </c>
      <c r="B238" t="s">
        <v>60</v>
      </c>
      <c r="C238">
        <v>29</v>
      </c>
      <c r="D238">
        <v>0.66700000000000004</v>
      </c>
      <c r="E238">
        <v>0.75</v>
      </c>
      <c r="F238">
        <v>0.66700000000000004</v>
      </c>
      <c r="G238">
        <v>3</v>
      </c>
      <c r="H238">
        <v>2</v>
      </c>
      <c r="I238">
        <v>0</v>
      </c>
      <c r="J238">
        <v>0</v>
      </c>
      <c r="K238">
        <v>0</v>
      </c>
      <c r="L238">
        <v>2</v>
      </c>
      <c r="M238">
        <v>0</v>
      </c>
      <c r="N238">
        <v>0</v>
      </c>
      <c r="O238">
        <v>1</v>
      </c>
      <c r="P238">
        <v>1</v>
      </c>
      <c r="Q238">
        <v>1</v>
      </c>
      <c r="R238">
        <v>0</v>
      </c>
      <c r="T238">
        <f t="shared" si="27"/>
        <v>5.5172413793103448E-2</v>
      </c>
      <c r="V238">
        <f t="shared" si="28"/>
        <v>0.1103448275862069</v>
      </c>
      <c r="AB238">
        <f t="shared" si="29"/>
        <v>8</v>
      </c>
      <c r="AC238">
        <f t="shared" si="30"/>
        <v>4</v>
      </c>
      <c r="AD238" s="2">
        <f t="shared" si="31"/>
        <v>0.25</v>
      </c>
      <c r="AE238" s="2">
        <f t="shared" si="32"/>
        <v>0.25</v>
      </c>
      <c r="AF238" s="3">
        <f t="shared" si="33"/>
        <v>100</v>
      </c>
      <c r="AG238">
        <f t="shared" si="34"/>
        <v>0</v>
      </c>
      <c r="AH238">
        <f t="shared" si="35"/>
        <v>0.55172413793103448</v>
      </c>
    </row>
    <row r="239" spans="1:34" x14ac:dyDescent="0.25">
      <c r="A239" t="s">
        <v>264</v>
      </c>
      <c r="B239" t="s">
        <v>60</v>
      </c>
      <c r="C239">
        <v>29</v>
      </c>
      <c r="D239">
        <v>0.216</v>
      </c>
      <c r="E239">
        <v>0.28100000000000003</v>
      </c>
      <c r="F239">
        <v>0.32800000000000001</v>
      </c>
      <c r="G239">
        <v>134</v>
      </c>
      <c r="H239">
        <v>29</v>
      </c>
      <c r="I239">
        <v>6</v>
      </c>
      <c r="J239">
        <v>0</v>
      </c>
      <c r="K239">
        <v>3</v>
      </c>
      <c r="L239">
        <v>19</v>
      </c>
      <c r="M239">
        <v>11</v>
      </c>
      <c r="N239">
        <v>3</v>
      </c>
      <c r="O239">
        <v>9</v>
      </c>
      <c r="P239">
        <v>48</v>
      </c>
      <c r="Q239">
        <v>7</v>
      </c>
      <c r="R239">
        <v>0</v>
      </c>
      <c r="T239">
        <f t="shared" si="27"/>
        <v>3.7726896551724147</v>
      </c>
      <c r="V239">
        <f t="shared" si="28"/>
        <v>7.5453793103448294</v>
      </c>
      <c r="AB239">
        <f t="shared" si="29"/>
        <v>8</v>
      </c>
      <c r="AC239">
        <f t="shared" si="30"/>
        <v>146</v>
      </c>
      <c r="AD239" s="2">
        <f t="shared" si="31"/>
        <v>0.32876712328767121</v>
      </c>
      <c r="AE239" s="2">
        <f t="shared" si="32"/>
        <v>8.2191780821917804E-2</v>
      </c>
      <c r="AF239" s="3">
        <f t="shared" si="33"/>
        <v>75.342465753424662</v>
      </c>
      <c r="AG239">
        <f t="shared" si="34"/>
        <v>112.00000000000001</v>
      </c>
      <c r="AH239">
        <f t="shared" si="35"/>
        <v>37.726896551724145</v>
      </c>
    </row>
    <row r="240" spans="1:34" x14ac:dyDescent="0.25">
      <c r="A240" t="s">
        <v>265</v>
      </c>
      <c r="B240" t="s">
        <v>19</v>
      </c>
      <c r="C240">
        <v>29</v>
      </c>
      <c r="D240">
        <v>0.22</v>
      </c>
      <c r="E240">
        <v>0.28999999999999998</v>
      </c>
      <c r="F240">
        <v>0.47299999999999998</v>
      </c>
      <c r="G240">
        <v>91</v>
      </c>
      <c r="H240">
        <v>20</v>
      </c>
      <c r="I240">
        <v>8</v>
      </c>
      <c r="J240">
        <v>0</v>
      </c>
      <c r="K240">
        <v>5</v>
      </c>
      <c r="L240">
        <v>17</v>
      </c>
      <c r="M240">
        <v>8</v>
      </c>
      <c r="N240">
        <v>4</v>
      </c>
      <c r="O240">
        <v>5</v>
      </c>
      <c r="P240">
        <v>37</v>
      </c>
      <c r="Q240">
        <v>0</v>
      </c>
      <c r="R240">
        <v>0</v>
      </c>
      <c r="T240">
        <f t="shared" si="27"/>
        <v>5.6034482758620694</v>
      </c>
      <c r="V240">
        <f t="shared" si="28"/>
        <v>11.206896551724139</v>
      </c>
      <c r="AB240">
        <f t="shared" si="29"/>
        <v>10</v>
      </c>
      <c r="AC240">
        <f t="shared" si="30"/>
        <v>100</v>
      </c>
      <c r="AD240" s="2">
        <f t="shared" si="31"/>
        <v>0.37</v>
      </c>
      <c r="AE240" s="2">
        <f t="shared" si="32"/>
        <v>0.09</v>
      </c>
      <c r="AF240" s="3">
        <f t="shared" si="33"/>
        <v>72</v>
      </c>
      <c r="AG240">
        <f t="shared" si="34"/>
        <v>253</v>
      </c>
      <c r="AH240">
        <f t="shared" si="35"/>
        <v>56.03448275862069</v>
      </c>
    </row>
    <row r="241" spans="1:34" x14ac:dyDescent="0.25">
      <c r="A241" t="s">
        <v>266</v>
      </c>
      <c r="B241" t="s">
        <v>48</v>
      </c>
      <c r="C241">
        <v>29</v>
      </c>
      <c r="D241">
        <v>0.34200000000000003</v>
      </c>
      <c r="E241">
        <v>0.38300000000000001</v>
      </c>
      <c r="F241">
        <v>0.434</v>
      </c>
      <c r="G241">
        <v>76</v>
      </c>
      <c r="H241">
        <v>26</v>
      </c>
      <c r="I241">
        <v>4</v>
      </c>
      <c r="J241">
        <v>0</v>
      </c>
      <c r="K241">
        <v>1</v>
      </c>
      <c r="L241">
        <v>9</v>
      </c>
      <c r="M241">
        <v>8</v>
      </c>
      <c r="N241">
        <v>2</v>
      </c>
      <c r="O241">
        <v>3</v>
      </c>
      <c r="P241">
        <v>19</v>
      </c>
      <c r="Q241">
        <v>4</v>
      </c>
      <c r="R241">
        <v>1</v>
      </c>
      <c r="T241">
        <f t="shared" si="27"/>
        <v>0.48799999999999988</v>
      </c>
      <c r="V241">
        <f t="shared" si="28"/>
        <v>0.97599999999999976</v>
      </c>
      <c r="AB241">
        <f t="shared" si="29"/>
        <v>2</v>
      </c>
      <c r="AC241">
        <f t="shared" si="30"/>
        <v>81</v>
      </c>
      <c r="AD241" s="2">
        <f t="shared" si="31"/>
        <v>0.23456790123456789</v>
      </c>
      <c r="AE241" s="2">
        <f t="shared" si="32"/>
        <v>6.1728395061728392E-2</v>
      </c>
      <c r="AF241" s="3">
        <f t="shared" si="33"/>
        <v>82.716049382716051</v>
      </c>
      <c r="AG241">
        <f t="shared" si="34"/>
        <v>91.999999999999972</v>
      </c>
      <c r="AH241">
        <f t="shared" si="35"/>
        <v>4.879999999999999</v>
      </c>
    </row>
    <row r="242" spans="1:34" x14ac:dyDescent="0.25">
      <c r="A242" t="s">
        <v>267</v>
      </c>
      <c r="B242" t="s">
        <v>60</v>
      </c>
      <c r="C242">
        <v>29</v>
      </c>
      <c r="D242">
        <v>0.189</v>
      </c>
      <c r="E242">
        <v>0.246</v>
      </c>
      <c r="F242">
        <v>0.30199999999999999</v>
      </c>
      <c r="G242">
        <v>53</v>
      </c>
      <c r="H242">
        <v>10</v>
      </c>
      <c r="I242">
        <v>3</v>
      </c>
      <c r="J242">
        <v>0</v>
      </c>
      <c r="K242">
        <v>1</v>
      </c>
      <c r="L242">
        <v>13</v>
      </c>
      <c r="M242">
        <v>1</v>
      </c>
      <c r="N242">
        <v>0</v>
      </c>
      <c r="O242">
        <v>4</v>
      </c>
      <c r="P242">
        <v>13</v>
      </c>
      <c r="Q242">
        <v>2</v>
      </c>
      <c r="R242">
        <v>1</v>
      </c>
      <c r="T242">
        <f t="shared" si="27"/>
        <v>1.5504827586206897</v>
      </c>
      <c r="V242">
        <f t="shared" si="28"/>
        <v>3.1009655172413795</v>
      </c>
      <c r="AB242">
        <f t="shared" si="29"/>
        <v>8</v>
      </c>
      <c r="AC242">
        <f t="shared" si="30"/>
        <v>57</v>
      </c>
      <c r="AD242" s="2">
        <f t="shared" si="31"/>
        <v>0.22807017543859648</v>
      </c>
      <c r="AE242" s="2">
        <f t="shared" si="32"/>
        <v>7.0175438596491224E-2</v>
      </c>
      <c r="AF242" s="3">
        <f t="shared" si="33"/>
        <v>84.21052631578948</v>
      </c>
      <c r="AG242">
        <f t="shared" si="34"/>
        <v>112.99999999999999</v>
      </c>
      <c r="AH242">
        <f t="shared" si="35"/>
        <v>15.504827586206897</v>
      </c>
    </row>
    <row r="243" spans="1:34" x14ac:dyDescent="0.25">
      <c r="A243" t="s">
        <v>268</v>
      </c>
      <c r="B243" t="s">
        <v>48</v>
      </c>
      <c r="C243">
        <v>29</v>
      </c>
      <c r="D243">
        <v>0.25</v>
      </c>
      <c r="E243">
        <v>0.23100000000000001</v>
      </c>
      <c r="F243">
        <v>0.41699999999999998</v>
      </c>
      <c r="G243">
        <v>12</v>
      </c>
      <c r="H243">
        <v>3</v>
      </c>
      <c r="I243">
        <v>2</v>
      </c>
      <c r="J243">
        <v>0</v>
      </c>
      <c r="K243">
        <v>0</v>
      </c>
      <c r="L243">
        <v>2</v>
      </c>
      <c r="M243">
        <v>1</v>
      </c>
      <c r="N243">
        <v>0</v>
      </c>
      <c r="O243">
        <v>0</v>
      </c>
      <c r="P243">
        <v>3</v>
      </c>
      <c r="Q243">
        <v>0</v>
      </c>
      <c r="R243">
        <v>0</v>
      </c>
      <c r="T243">
        <f t="shared" si="27"/>
        <v>0.10013793103448274</v>
      </c>
      <c r="V243">
        <f t="shared" si="28"/>
        <v>0.20027586206896547</v>
      </c>
      <c r="AB243">
        <f t="shared" si="29"/>
        <v>2</v>
      </c>
      <c r="AC243">
        <f t="shared" si="30"/>
        <v>12</v>
      </c>
      <c r="AD243" s="2">
        <f t="shared" si="31"/>
        <v>0.25</v>
      </c>
      <c r="AE243" s="2">
        <f t="shared" si="32"/>
        <v>0</v>
      </c>
      <c r="AF243" s="3">
        <f t="shared" si="33"/>
        <v>75</v>
      </c>
      <c r="AG243">
        <f t="shared" si="34"/>
        <v>166.99999999999997</v>
      </c>
      <c r="AH243">
        <f t="shared" si="35"/>
        <v>1.0013793103448274</v>
      </c>
    </row>
    <row r="244" spans="1:34" x14ac:dyDescent="0.25">
      <c r="A244" t="s">
        <v>269</v>
      </c>
      <c r="B244" t="s">
        <v>26</v>
      </c>
      <c r="C244">
        <v>29</v>
      </c>
      <c r="D244">
        <v>0.23400000000000001</v>
      </c>
      <c r="E244">
        <v>0.30399999999999999</v>
      </c>
      <c r="F244">
        <v>0.34499999999999997</v>
      </c>
      <c r="G244">
        <v>171</v>
      </c>
      <c r="H244">
        <v>40</v>
      </c>
      <c r="I244">
        <v>4</v>
      </c>
      <c r="J244">
        <v>0</v>
      </c>
      <c r="K244">
        <v>5</v>
      </c>
      <c r="L244">
        <v>19</v>
      </c>
      <c r="M244">
        <v>17</v>
      </c>
      <c r="N244">
        <v>2</v>
      </c>
      <c r="O244">
        <v>16</v>
      </c>
      <c r="P244">
        <v>39</v>
      </c>
      <c r="Q244">
        <v>6</v>
      </c>
      <c r="R244">
        <v>2</v>
      </c>
      <c r="T244">
        <f t="shared" si="27"/>
        <v>6.5136206896551716</v>
      </c>
      <c r="V244">
        <f t="shared" si="28"/>
        <v>13.027241379310343</v>
      </c>
      <c r="AB244">
        <f t="shared" si="29"/>
        <v>10</v>
      </c>
      <c r="AC244">
        <f t="shared" si="30"/>
        <v>189</v>
      </c>
      <c r="AD244" s="2">
        <f t="shared" si="31"/>
        <v>0.20634920634920634</v>
      </c>
      <c r="AE244" s="2">
        <f t="shared" si="32"/>
        <v>9.5238095238095233E-2</v>
      </c>
      <c r="AF244" s="3">
        <f t="shared" si="33"/>
        <v>88.888888888888886</v>
      </c>
      <c r="AG244">
        <f t="shared" si="34"/>
        <v>110.99999999999996</v>
      </c>
      <c r="AH244">
        <f t="shared" si="35"/>
        <v>65.136206896551712</v>
      </c>
    </row>
    <row r="245" spans="1:34" x14ac:dyDescent="0.25">
      <c r="A245" t="s">
        <v>270</v>
      </c>
      <c r="B245" t="s">
        <v>29</v>
      </c>
      <c r="C245">
        <v>29</v>
      </c>
      <c r="D245">
        <v>0.22800000000000001</v>
      </c>
      <c r="E245">
        <v>0.307</v>
      </c>
      <c r="F245">
        <v>0.38100000000000001</v>
      </c>
      <c r="G245">
        <v>540</v>
      </c>
      <c r="H245">
        <v>123</v>
      </c>
      <c r="I245">
        <v>23</v>
      </c>
      <c r="J245">
        <v>3</v>
      </c>
      <c r="K245">
        <v>18</v>
      </c>
      <c r="L245">
        <v>64</v>
      </c>
      <c r="M245">
        <v>84</v>
      </c>
      <c r="N245">
        <v>2</v>
      </c>
      <c r="O245">
        <v>62</v>
      </c>
      <c r="P245">
        <v>159</v>
      </c>
      <c r="Q245">
        <v>1</v>
      </c>
      <c r="R245">
        <v>0</v>
      </c>
      <c r="T245">
        <f t="shared" si="27"/>
        <v>4.9417931034482754</v>
      </c>
      <c r="V245">
        <f t="shared" si="28"/>
        <v>9.8835862068965508</v>
      </c>
      <c r="AB245">
        <f t="shared" si="29"/>
        <v>2</v>
      </c>
      <c r="AC245">
        <f t="shared" si="30"/>
        <v>604</v>
      </c>
      <c r="AD245" s="2">
        <f t="shared" si="31"/>
        <v>0.26324503311258279</v>
      </c>
      <c r="AE245" s="2">
        <f t="shared" si="32"/>
        <v>0.10596026490066225</v>
      </c>
      <c r="AF245" s="3">
        <f t="shared" si="33"/>
        <v>84.271523178807939</v>
      </c>
      <c r="AG245">
        <f t="shared" si="34"/>
        <v>153</v>
      </c>
      <c r="AH245">
        <f t="shared" si="35"/>
        <v>49.417931034482756</v>
      </c>
    </row>
    <row r="246" spans="1:34" x14ac:dyDescent="0.25">
      <c r="A246" t="s">
        <v>271</v>
      </c>
      <c r="B246" t="s">
        <v>48</v>
      </c>
      <c r="C246">
        <v>29</v>
      </c>
      <c r="D246">
        <v>0.29599999999999999</v>
      </c>
      <c r="E246">
        <v>0.33</v>
      </c>
      <c r="F246">
        <v>0.36799999999999999</v>
      </c>
      <c r="G246">
        <v>405</v>
      </c>
      <c r="H246">
        <v>120</v>
      </c>
      <c r="I246">
        <v>18</v>
      </c>
      <c r="J246">
        <v>1</v>
      </c>
      <c r="K246">
        <v>3</v>
      </c>
      <c r="L246">
        <v>37</v>
      </c>
      <c r="M246">
        <v>40</v>
      </c>
      <c r="N246">
        <v>2</v>
      </c>
      <c r="O246">
        <v>19</v>
      </c>
      <c r="P246">
        <v>64</v>
      </c>
      <c r="Q246">
        <v>27</v>
      </c>
      <c r="R246">
        <v>6</v>
      </c>
      <c r="T246">
        <f t="shared" si="27"/>
        <v>2.3783448275862069</v>
      </c>
      <c r="V246">
        <f t="shared" si="28"/>
        <v>4.7566896551724138</v>
      </c>
      <c r="AB246">
        <f t="shared" si="29"/>
        <v>2</v>
      </c>
      <c r="AC246">
        <f t="shared" si="30"/>
        <v>426</v>
      </c>
      <c r="AD246" s="2">
        <f t="shared" si="31"/>
        <v>0.15023474178403756</v>
      </c>
      <c r="AE246" s="2">
        <f t="shared" si="32"/>
        <v>4.9295774647887321E-2</v>
      </c>
      <c r="AF246" s="3">
        <f t="shared" si="33"/>
        <v>89.906103286384976</v>
      </c>
      <c r="AG246">
        <f t="shared" si="34"/>
        <v>72.000000000000014</v>
      </c>
      <c r="AH246">
        <f t="shared" si="35"/>
        <v>23.783448275862071</v>
      </c>
    </row>
    <row r="247" spans="1:34" x14ac:dyDescent="0.25">
      <c r="A247" t="s">
        <v>272</v>
      </c>
      <c r="B247" t="s">
        <v>33</v>
      </c>
      <c r="C247">
        <v>29</v>
      </c>
      <c r="D247">
        <v>0.25</v>
      </c>
      <c r="E247">
        <v>0.32400000000000001</v>
      </c>
      <c r="F247">
        <v>0.29599999999999999</v>
      </c>
      <c r="G247">
        <v>152</v>
      </c>
      <c r="H247">
        <v>38</v>
      </c>
      <c r="I247">
        <v>4</v>
      </c>
      <c r="J247">
        <v>0</v>
      </c>
      <c r="K247">
        <v>1</v>
      </c>
      <c r="L247">
        <v>20</v>
      </c>
      <c r="M247">
        <v>12</v>
      </c>
      <c r="N247">
        <v>0</v>
      </c>
      <c r="O247">
        <v>17</v>
      </c>
      <c r="P247">
        <v>29</v>
      </c>
      <c r="Q247">
        <v>6</v>
      </c>
      <c r="R247">
        <v>3</v>
      </c>
      <c r="T247">
        <f t="shared" si="27"/>
        <v>2.4283448275862063</v>
      </c>
      <c r="V247">
        <f t="shared" si="28"/>
        <v>4.8566896551724126</v>
      </c>
      <c r="AB247">
        <f t="shared" si="29"/>
        <v>6</v>
      </c>
      <c r="AC247">
        <f t="shared" si="30"/>
        <v>169</v>
      </c>
      <c r="AD247" s="2">
        <f t="shared" si="31"/>
        <v>0.17159763313609466</v>
      </c>
      <c r="AE247" s="2">
        <f t="shared" si="32"/>
        <v>0.10059171597633136</v>
      </c>
      <c r="AF247" s="3">
        <f t="shared" si="33"/>
        <v>92.899408284023664</v>
      </c>
      <c r="AG247">
        <f t="shared" si="34"/>
        <v>45.999999999999986</v>
      </c>
      <c r="AH247">
        <f t="shared" si="35"/>
        <v>24.283448275862064</v>
      </c>
    </row>
    <row r="248" spans="1:34" x14ac:dyDescent="0.25">
      <c r="A248" t="s">
        <v>273</v>
      </c>
      <c r="B248" t="s">
        <v>29</v>
      </c>
      <c r="C248">
        <v>29</v>
      </c>
      <c r="D248">
        <v>0.106</v>
      </c>
      <c r="E248">
        <v>0.27600000000000002</v>
      </c>
      <c r="F248">
        <v>0.17</v>
      </c>
      <c r="G248">
        <v>47</v>
      </c>
      <c r="H248">
        <v>5</v>
      </c>
      <c r="I248">
        <v>0</v>
      </c>
      <c r="J248">
        <v>0</v>
      </c>
      <c r="K248">
        <v>1</v>
      </c>
      <c r="L248">
        <v>3</v>
      </c>
      <c r="M248">
        <v>2</v>
      </c>
      <c r="N248">
        <v>0</v>
      </c>
      <c r="O248">
        <v>11</v>
      </c>
      <c r="P248">
        <v>25</v>
      </c>
      <c r="Q248">
        <v>1</v>
      </c>
      <c r="R248">
        <v>0</v>
      </c>
      <c r="T248">
        <f t="shared" si="27"/>
        <v>0.27972413793103451</v>
      </c>
      <c r="V248">
        <f t="shared" si="28"/>
        <v>0.55944827586206902</v>
      </c>
      <c r="AB248">
        <f t="shared" si="29"/>
        <v>2</v>
      </c>
      <c r="AC248">
        <f t="shared" si="30"/>
        <v>58</v>
      </c>
      <c r="AD248" s="2">
        <f t="shared" si="31"/>
        <v>0.43103448275862066</v>
      </c>
      <c r="AE248" s="2">
        <f t="shared" si="32"/>
        <v>0.18965517241379309</v>
      </c>
      <c r="AF248" s="3">
        <f t="shared" si="33"/>
        <v>75.862068965517238</v>
      </c>
      <c r="AG248">
        <f t="shared" si="34"/>
        <v>64.000000000000014</v>
      </c>
      <c r="AH248">
        <f t="shared" si="35"/>
        <v>2.797241379310345</v>
      </c>
    </row>
    <row r="249" spans="1:34" x14ac:dyDescent="0.25">
      <c r="A249" t="s">
        <v>274</v>
      </c>
      <c r="B249" t="s">
        <v>23</v>
      </c>
      <c r="C249">
        <v>29</v>
      </c>
      <c r="D249">
        <v>0.20300000000000001</v>
      </c>
      <c r="E249">
        <v>0.29199999999999998</v>
      </c>
      <c r="F249">
        <v>0.30499999999999999</v>
      </c>
      <c r="G249">
        <v>128</v>
      </c>
      <c r="H249">
        <v>26</v>
      </c>
      <c r="I249">
        <v>4</v>
      </c>
      <c r="J249">
        <v>0</v>
      </c>
      <c r="K249">
        <v>3</v>
      </c>
      <c r="L249">
        <v>11</v>
      </c>
      <c r="M249">
        <v>9</v>
      </c>
      <c r="N249">
        <v>4</v>
      </c>
      <c r="O249">
        <v>12</v>
      </c>
      <c r="P249">
        <v>36</v>
      </c>
      <c r="Q249">
        <v>0</v>
      </c>
      <c r="R249">
        <v>0</v>
      </c>
      <c r="T249">
        <f t="shared" si="27"/>
        <v>1.8681379310344823</v>
      </c>
      <c r="V249">
        <f t="shared" si="28"/>
        <v>3.7362758620689647</v>
      </c>
      <c r="AB249">
        <f t="shared" si="29"/>
        <v>4</v>
      </c>
      <c r="AC249">
        <f t="shared" si="30"/>
        <v>144</v>
      </c>
      <c r="AD249" s="2">
        <f t="shared" si="31"/>
        <v>0.25</v>
      </c>
      <c r="AE249" s="2">
        <f t="shared" si="32"/>
        <v>0.1111111111111111</v>
      </c>
      <c r="AF249" s="3">
        <f t="shared" si="33"/>
        <v>86.111111111111114</v>
      </c>
      <c r="AG249">
        <f t="shared" si="34"/>
        <v>101.99999999999999</v>
      </c>
      <c r="AH249">
        <f t="shared" si="35"/>
        <v>18.681379310344823</v>
      </c>
    </row>
    <row r="250" spans="1:34" x14ac:dyDescent="0.25">
      <c r="A250" t="s">
        <v>275</v>
      </c>
      <c r="B250" t="s">
        <v>19</v>
      </c>
      <c r="C250">
        <v>29</v>
      </c>
      <c r="D250">
        <v>0.246</v>
      </c>
      <c r="E250">
        <v>0.32500000000000001</v>
      </c>
      <c r="F250">
        <v>0.33300000000000002</v>
      </c>
      <c r="G250">
        <v>69</v>
      </c>
      <c r="H250">
        <v>17</v>
      </c>
      <c r="I250">
        <v>6</v>
      </c>
      <c r="J250">
        <v>0</v>
      </c>
      <c r="K250">
        <v>0</v>
      </c>
      <c r="L250">
        <v>4</v>
      </c>
      <c r="M250">
        <v>4</v>
      </c>
      <c r="N250">
        <v>0</v>
      </c>
      <c r="O250">
        <v>8</v>
      </c>
      <c r="P250">
        <v>21</v>
      </c>
      <c r="Q250">
        <v>0</v>
      </c>
      <c r="R250">
        <v>0</v>
      </c>
      <c r="T250">
        <f t="shared" si="27"/>
        <v>2.2584482758620696</v>
      </c>
      <c r="V250">
        <f t="shared" si="28"/>
        <v>4.5168965517241393</v>
      </c>
      <c r="AB250">
        <f t="shared" si="29"/>
        <v>10</v>
      </c>
      <c r="AC250">
        <f t="shared" si="30"/>
        <v>77</v>
      </c>
      <c r="AD250" s="2">
        <f t="shared" si="31"/>
        <v>0.27272727272727271</v>
      </c>
      <c r="AE250" s="2">
        <f t="shared" si="32"/>
        <v>0.1038961038961039</v>
      </c>
      <c r="AF250" s="3">
        <f t="shared" si="33"/>
        <v>83.116883116883116</v>
      </c>
      <c r="AG250">
        <f t="shared" si="34"/>
        <v>87.000000000000028</v>
      </c>
      <c r="AH250">
        <f t="shared" si="35"/>
        <v>22.584482758620695</v>
      </c>
    </row>
    <row r="251" spans="1:34" x14ac:dyDescent="0.25">
      <c r="A251" t="s">
        <v>276</v>
      </c>
      <c r="B251" t="s">
        <v>19</v>
      </c>
      <c r="C251">
        <v>29</v>
      </c>
      <c r="D251">
        <v>0.14299999999999999</v>
      </c>
      <c r="E251">
        <v>0.33300000000000002</v>
      </c>
      <c r="F251">
        <v>0.14299999999999999</v>
      </c>
      <c r="G251">
        <v>7</v>
      </c>
      <c r="H251">
        <v>1</v>
      </c>
      <c r="I251">
        <v>0</v>
      </c>
      <c r="J251">
        <v>0</v>
      </c>
      <c r="K251">
        <v>0</v>
      </c>
      <c r="L251">
        <v>2</v>
      </c>
      <c r="M251">
        <v>1</v>
      </c>
      <c r="N251">
        <v>1</v>
      </c>
      <c r="O251">
        <v>1</v>
      </c>
      <c r="P251">
        <v>2</v>
      </c>
      <c r="Q251">
        <v>0</v>
      </c>
      <c r="R251">
        <v>0</v>
      </c>
      <c r="T251">
        <f t="shared" si="27"/>
        <v>0.15517241379310345</v>
      </c>
      <c r="V251">
        <f t="shared" si="28"/>
        <v>0.31034482758620691</v>
      </c>
      <c r="AB251">
        <f t="shared" si="29"/>
        <v>10</v>
      </c>
      <c r="AC251">
        <f t="shared" si="30"/>
        <v>9</v>
      </c>
      <c r="AD251" s="2">
        <f t="shared" si="31"/>
        <v>0.22222222222222221</v>
      </c>
      <c r="AE251" s="2">
        <f t="shared" si="32"/>
        <v>0.22222222222222221</v>
      </c>
      <c r="AF251" s="3">
        <f t="shared" si="33"/>
        <v>100</v>
      </c>
      <c r="AG251">
        <f t="shared" si="34"/>
        <v>0</v>
      </c>
      <c r="AH251">
        <f t="shared" si="35"/>
        <v>1.5517241379310345</v>
      </c>
    </row>
    <row r="252" spans="1:34" x14ac:dyDescent="0.25">
      <c r="A252" t="s">
        <v>277</v>
      </c>
      <c r="B252" t="s">
        <v>33</v>
      </c>
      <c r="C252">
        <v>29</v>
      </c>
      <c r="D252">
        <v>0.25</v>
      </c>
      <c r="E252">
        <v>0.29099999999999998</v>
      </c>
      <c r="F252">
        <v>0.28299999999999997</v>
      </c>
      <c r="G252">
        <v>120</v>
      </c>
      <c r="H252">
        <v>30</v>
      </c>
      <c r="I252">
        <v>4</v>
      </c>
      <c r="J252">
        <v>0</v>
      </c>
      <c r="K252">
        <v>0</v>
      </c>
      <c r="L252">
        <v>5</v>
      </c>
      <c r="M252">
        <v>13</v>
      </c>
      <c r="N252">
        <v>1</v>
      </c>
      <c r="O252">
        <v>6</v>
      </c>
      <c r="P252">
        <v>24</v>
      </c>
      <c r="Q252">
        <v>1</v>
      </c>
      <c r="R252">
        <v>0</v>
      </c>
      <c r="T252">
        <f t="shared" si="27"/>
        <v>1.5714827586206892</v>
      </c>
      <c r="V252">
        <f t="shared" si="28"/>
        <v>3.1429655172413784</v>
      </c>
      <c r="AB252">
        <f t="shared" si="29"/>
        <v>6</v>
      </c>
      <c r="AC252">
        <f t="shared" si="30"/>
        <v>127</v>
      </c>
      <c r="AD252" s="2">
        <f t="shared" si="31"/>
        <v>0.1889763779527559</v>
      </c>
      <c r="AE252" s="2">
        <f t="shared" si="32"/>
        <v>5.5118110236220472E-2</v>
      </c>
      <c r="AF252" s="3">
        <f t="shared" si="33"/>
        <v>86.614173228346459</v>
      </c>
      <c r="AG252">
        <f t="shared" si="34"/>
        <v>32.999999999999972</v>
      </c>
      <c r="AH252">
        <f t="shared" si="35"/>
        <v>15.714827586206892</v>
      </c>
    </row>
    <row r="253" spans="1:34" x14ac:dyDescent="0.25">
      <c r="A253" t="s">
        <v>278</v>
      </c>
      <c r="B253" t="s">
        <v>19</v>
      </c>
      <c r="C253">
        <v>29</v>
      </c>
      <c r="D253">
        <v>0.23100000000000001</v>
      </c>
      <c r="E253">
        <v>0.375</v>
      </c>
      <c r="F253">
        <v>0.23100000000000001</v>
      </c>
      <c r="G253">
        <v>13</v>
      </c>
      <c r="H253">
        <v>3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1</v>
      </c>
      <c r="O253">
        <v>2</v>
      </c>
      <c r="P253">
        <v>2</v>
      </c>
      <c r="Q253">
        <v>0</v>
      </c>
      <c r="R253">
        <v>0</v>
      </c>
      <c r="T253">
        <f t="shared" si="27"/>
        <v>0.29310344827586204</v>
      </c>
      <c r="V253">
        <f t="shared" si="28"/>
        <v>0.58620689655172409</v>
      </c>
      <c r="AB253">
        <f t="shared" si="29"/>
        <v>10</v>
      </c>
      <c r="AC253">
        <f t="shared" si="30"/>
        <v>16</v>
      </c>
      <c r="AD253" s="2">
        <f t="shared" si="31"/>
        <v>0.125</v>
      </c>
      <c r="AE253" s="2">
        <f t="shared" si="32"/>
        <v>0.1875</v>
      </c>
      <c r="AF253" s="3">
        <f t="shared" si="33"/>
        <v>106.25</v>
      </c>
      <c r="AG253">
        <f t="shared" si="34"/>
        <v>0</v>
      </c>
      <c r="AH253">
        <f t="shared" si="35"/>
        <v>2.9310344827586206</v>
      </c>
    </row>
    <row r="254" spans="1:34" x14ac:dyDescent="0.25">
      <c r="A254" t="s">
        <v>279</v>
      </c>
      <c r="B254" t="s">
        <v>60</v>
      </c>
      <c r="C254">
        <v>29</v>
      </c>
      <c r="D254">
        <v>6.3E-2</v>
      </c>
      <c r="E254">
        <v>0.16700000000000001</v>
      </c>
      <c r="F254">
        <v>0.125</v>
      </c>
      <c r="G254">
        <v>32</v>
      </c>
      <c r="H254">
        <v>2</v>
      </c>
      <c r="I254">
        <v>2</v>
      </c>
      <c r="J254">
        <v>0</v>
      </c>
      <c r="K254">
        <v>0</v>
      </c>
      <c r="L254">
        <v>7</v>
      </c>
      <c r="M254">
        <v>1</v>
      </c>
      <c r="N254">
        <v>0</v>
      </c>
      <c r="O254">
        <v>4</v>
      </c>
      <c r="P254">
        <v>17</v>
      </c>
      <c r="Q254">
        <v>2</v>
      </c>
      <c r="R254">
        <v>0</v>
      </c>
      <c r="T254">
        <f t="shared" si="27"/>
        <v>0.62510344827586206</v>
      </c>
      <c r="V254">
        <f t="shared" si="28"/>
        <v>1.2502068965517241</v>
      </c>
      <c r="AB254">
        <f t="shared" si="29"/>
        <v>8</v>
      </c>
      <c r="AC254">
        <f t="shared" si="30"/>
        <v>36</v>
      </c>
      <c r="AD254" s="2">
        <f t="shared" si="31"/>
        <v>0.47222222222222221</v>
      </c>
      <c r="AE254" s="2">
        <f t="shared" si="32"/>
        <v>0.1111111111111111</v>
      </c>
      <c r="AF254" s="3">
        <f t="shared" si="33"/>
        <v>63.888888888888893</v>
      </c>
      <c r="AG254">
        <f t="shared" si="34"/>
        <v>62</v>
      </c>
      <c r="AH254">
        <f t="shared" si="35"/>
        <v>6.2510344827586204</v>
      </c>
    </row>
    <row r="255" spans="1:34" x14ac:dyDescent="0.25">
      <c r="A255" t="s">
        <v>280</v>
      </c>
      <c r="B255" t="s">
        <v>31</v>
      </c>
      <c r="C255">
        <v>29</v>
      </c>
      <c r="D255">
        <v>0.182</v>
      </c>
      <c r="E255">
        <v>0.28000000000000003</v>
      </c>
      <c r="F255">
        <v>0.182</v>
      </c>
      <c r="G255">
        <v>22</v>
      </c>
      <c r="H255">
        <v>4</v>
      </c>
      <c r="I255">
        <v>0</v>
      </c>
      <c r="J255">
        <v>0</v>
      </c>
      <c r="K255">
        <v>0</v>
      </c>
      <c r="L255">
        <v>1</v>
      </c>
      <c r="M255">
        <v>0</v>
      </c>
      <c r="N255">
        <v>0</v>
      </c>
      <c r="O255">
        <v>3</v>
      </c>
      <c r="P255">
        <v>3</v>
      </c>
      <c r="Q255">
        <v>0</v>
      </c>
      <c r="R255">
        <v>0</v>
      </c>
      <c r="T255">
        <f t="shared" si="27"/>
        <v>0.34482758620689652</v>
      </c>
      <c r="V255">
        <f t="shared" si="28"/>
        <v>0.68965517241379304</v>
      </c>
      <c r="AB255">
        <f t="shared" si="29"/>
        <v>8</v>
      </c>
      <c r="AC255">
        <f t="shared" si="30"/>
        <v>25</v>
      </c>
      <c r="AD255" s="2">
        <f t="shared" si="31"/>
        <v>0.12</v>
      </c>
      <c r="AE255" s="2">
        <f t="shared" si="32"/>
        <v>0.12</v>
      </c>
      <c r="AF255" s="3">
        <f t="shared" si="33"/>
        <v>100</v>
      </c>
      <c r="AG255">
        <f t="shared" si="34"/>
        <v>0</v>
      </c>
      <c r="AH255">
        <f t="shared" si="35"/>
        <v>3.4482758620689653</v>
      </c>
    </row>
    <row r="256" spans="1:34" x14ac:dyDescent="0.25">
      <c r="A256" t="s">
        <v>281</v>
      </c>
      <c r="B256" t="s">
        <v>26</v>
      </c>
      <c r="C256">
        <v>29</v>
      </c>
      <c r="D256">
        <v>0.17499999999999999</v>
      </c>
      <c r="E256">
        <v>0.19</v>
      </c>
      <c r="F256">
        <v>0.22500000000000001</v>
      </c>
      <c r="G256">
        <v>40</v>
      </c>
      <c r="H256">
        <v>7</v>
      </c>
      <c r="I256">
        <v>2</v>
      </c>
      <c r="J256">
        <v>0</v>
      </c>
      <c r="K256">
        <v>0</v>
      </c>
      <c r="L256">
        <v>3</v>
      </c>
      <c r="M256">
        <v>1</v>
      </c>
      <c r="N256">
        <v>0</v>
      </c>
      <c r="O256">
        <v>1</v>
      </c>
      <c r="P256">
        <v>7</v>
      </c>
      <c r="Q256">
        <v>0</v>
      </c>
      <c r="R256">
        <v>0</v>
      </c>
      <c r="T256">
        <f t="shared" si="27"/>
        <v>0.9568965517241379</v>
      </c>
      <c r="V256">
        <f t="shared" si="28"/>
        <v>1.9137931034482758</v>
      </c>
      <c r="AB256">
        <f t="shared" si="29"/>
        <v>10</v>
      </c>
      <c r="AC256">
        <f t="shared" si="30"/>
        <v>41</v>
      </c>
      <c r="AD256" s="2">
        <f t="shared" si="31"/>
        <v>0.17073170731707318</v>
      </c>
      <c r="AE256" s="2">
        <f t="shared" si="32"/>
        <v>2.4390243902439025E-2</v>
      </c>
      <c r="AF256" s="3">
        <f t="shared" si="33"/>
        <v>85.365853658536579</v>
      </c>
      <c r="AG256">
        <f t="shared" si="34"/>
        <v>50.000000000000014</v>
      </c>
      <c r="AH256">
        <f t="shared" si="35"/>
        <v>9.568965517241379</v>
      </c>
    </row>
    <row r="257" spans="1:34" x14ac:dyDescent="0.25">
      <c r="A257" t="s">
        <v>282</v>
      </c>
      <c r="B257" t="s">
        <v>48</v>
      </c>
      <c r="C257">
        <v>29</v>
      </c>
      <c r="D257">
        <v>0.23899999999999999</v>
      </c>
      <c r="E257">
        <v>0.29599999999999999</v>
      </c>
      <c r="F257">
        <v>0.28899999999999998</v>
      </c>
      <c r="G257">
        <v>197</v>
      </c>
      <c r="H257">
        <v>47</v>
      </c>
      <c r="I257">
        <v>10</v>
      </c>
      <c r="J257">
        <v>0</v>
      </c>
      <c r="K257">
        <v>0</v>
      </c>
      <c r="L257">
        <v>21</v>
      </c>
      <c r="M257">
        <v>12</v>
      </c>
      <c r="N257">
        <v>2</v>
      </c>
      <c r="O257">
        <v>14</v>
      </c>
      <c r="P257">
        <v>31</v>
      </c>
      <c r="Q257">
        <v>1</v>
      </c>
      <c r="R257">
        <v>0</v>
      </c>
      <c r="T257">
        <f t="shared" si="27"/>
        <v>1.0499999999999998</v>
      </c>
      <c r="V257">
        <f t="shared" si="28"/>
        <v>2.0999999999999996</v>
      </c>
      <c r="AB257">
        <f t="shared" si="29"/>
        <v>2</v>
      </c>
      <c r="AC257">
        <f t="shared" si="30"/>
        <v>213</v>
      </c>
      <c r="AD257" s="2">
        <f t="shared" si="31"/>
        <v>0.14553990610328638</v>
      </c>
      <c r="AE257" s="2">
        <f t="shared" si="32"/>
        <v>7.5117370892018781E-2</v>
      </c>
      <c r="AF257" s="3">
        <f t="shared" si="33"/>
        <v>92.957746478873247</v>
      </c>
      <c r="AG257">
        <f t="shared" si="34"/>
        <v>49.999999999999986</v>
      </c>
      <c r="AH257">
        <f t="shared" si="35"/>
        <v>10.499999999999998</v>
      </c>
    </row>
    <row r="258" spans="1:34" x14ac:dyDescent="0.25">
      <c r="A258" t="s">
        <v>283</v>
      </c>
      <c r="B258" t="s">
        <v>21</v>
      </c>
      <c r="C258">
        <v>29</v>
      </c>
      <c r="D258">
        <v>0.186</v>
      </c>
      <c r="E258">
        <v>0.23400000000000001</v>
      </c>
      <c r="F258">
        <v>0.48799999999999999</v>
      </c>
      <c r="G258">
        <v>43</v>
      </c>
      <c r="H258">
        <v>8</v>
      </c>
      <c r="I258">
        <v>1</v>
      </c>
      <c r="J258">
        <v>0</v>
      </c>
      <c r="K258">
        <v>4</v>
      </c>
      <c r="L258">
        <v>5</v>
      </c>
      <c r="M258">
        <v>6</v>
      </c>
      <c r="N258">
        <v>1</v>
      </c>
      <c r="O258">
        <v>2</v>
      </c>
      <c r="P258">
        <v>16</v>
      </c>
      <c r="Q258">
        <v>0</v>
      </c>
      <c r="R258">
        <v>0</v>
      </c>
      <c r="T258">
        <f t="shared" si="27"/>
        <v>0.29641379310344829</v>
      </c>
      <c r="V258">
        <f t="shared" si="28"/>
        <v>0.59282758620689657</v>
      </c>
      <c r="AB258">
        <f t="shared" si="29"/>
        <v>1</v>
      </c>
      <c r="AC258">
        <f t="shared" si="30"/>
        <v>46</v>
      </c>
      <c r="AD258" s="2">
        <f t="shared" si="31"/>
        <v>0.34782608695652173</v>
      </c>
      <c r="AE258" s="2">
        <f t="shared" si="32"/>
        <v>6.5217391304347824E-2</v>
      </c>
      <c r="AF258" s="3">
        <f t="shared" si="33"/>
        <v>71.739130434782609</v>
      </c>
      <c r="AG258">
        <f t="shared" si="34"/>
        <v>302</v>
      </c>
      <c r="AH258">
        <f t="shared" si="35"/>
        <v>2.9641379310344829</v>
      </c>
    </row>
    <row r="259" spans="1:34" x14ac:dyDescent="0.25">
      <c r="A259" t="s">
        <v>284</v>
      </c>
      <c r="B259" t="s">
        <v>26</v>
      </c>
      <c r="C259">
        <v>30</v>
      </c>
      <c r="D259">
        <v>0.20200000000000001</v>
      </c>
      <c r="E259">
        <v>0.23799999999999999</v>
      </c>
      <c r="F259">
        <v>0.29099999999999998</v>
      </c>
      <c r="G259">
        <v>203</v>
      </c>
      <c r="H259">
        <v>41</v>
      </c>
      <c r="I259">
        <v>7</v>
      </c>
      <c r="J259">
        <v>1</v>
      </c>
      <c r="K259">
        <v>3</v>
      </c>
      <c r="L259">
        <v>13</v>
      </c>
      <c r="M259">
        <v>13</v>
      </c>
      <c r="N259">
        <v>0</v>
      </c>
      <c r="O259">
        <v>10</v>
      </c>
      <c r="P259">
        <v>47</v>
      </c>
      <c r="Q259">
        <v>0</v>
      </c>
      <c r="R259">
        <v>1</v>
      </c>
      <c r="T259">
        <f t="shared" ref="T259:T322" si="36">AH259/10</f>
        <v>6.0928333333333313</v>
      </c>
      <c r="V259">
        <f t="shared" ref="V259:V322" si="37">(T259*2)+U259</f>
        <v>12.185666666666663</v>
      </c>
      <c r="AB259">
        <f t="shared" ref="AB259:AB322" si="38">_xlfn.IFS(B259="c", 10, B259="ss", 10, B259="cf", 8,  B259="2b", 8, B259="3b", 6, B259="rf", 4, B259="lf", 2, B259="1b", 2, B259 ="dh", 1)</f>
        <v>10</v>
      </c>
      <c r="AC259">
        <f t="shared" ref="AC259:AC322" si="39">(G259+N259+O259)</f>
        <v>213</v>
      </c>
      <c r="AD259" s="2">
        <f t="shared" ref="AD259:AD322" si="40">P259/AC259</f>
        <v>0.22065727699530516</v>
      </c>
      <c r="AE259" s="2">
        <f t="shared" ref="AE259:AE322" si="41">(N259+O259)/AC259</f>
        <v>4.6948356807511735E-2</v>
      </c>
      <c r="AF259" s="3">
        <f t="shared" ref="AF259:AF322" si="42">100-((AD259-AE259)*100)</f>
        <v>82.629107981220656</v>
      </c>
      <c r="AG259">
        <f t="shared" ref="AG259:AG322" si="43">(F259-D259)*1000</f>
        <v>88.999999999999972</v>
      </c>
      <c r="AH259">
        <f t="shared" si="35"/>
        <v>60.928333333333313</v>
      </c>
    </row>
    <row r="260" spans="1:34" x14ac:dyDescent="0.25">
      <c r="A260" t="s">
        <v>285</v>
      </c>
      <c r="B260" t="s">
        <v>48</v>
      </c>
      <c r="C260">
        <v>30</v>
      </c>
      <c r="D260">
        <v>0.24</v>
      </c>
      <c r="E260">
        <v>0.307</v>
      </c>
      <c r="F260">
        <v>0.43099999999999999</v>
      </c>
      <c r="G260">
        <v>420</v>
      </c>
      <c r="H260">
        <v>101</v>
      </c>
      <c r="I260">
        <v>16</v>
      </c>
      <c r="J260">
        <v>2</v>
      </c>
      <c r="K260">
        <v>20</v>
      </c>
      <c r="L260">
        <v>57</v>
      </c>
      <c r="M260">
        <v>63</v>
      </c>
      <c r="N260">
        <v>3</v>
      </c>
      <c r="O260">
        <v>40</v>
      </c>
      <c r="P260">
        <v>82</v>
      </c>
      <c r="Q260">
        <v>1</v>
      </c>
      <c r="R260">
        <v>0</v>
      </c>
      <c r="T260">
        <f t="shared" si="36"/>
        <v>4.3610999999999995</v>
      </c>
      <c r="V260">
        <f t="shared" si="37"/>
        <v>8.7221999999999991</v>
      </c>
      <c r="AB260">
        <f t="shared" si="38"/>
        <v>2</v>
      </c>
      <c r="AC260">
        <f t="shared" si="39"/>
        <v>463</v>
      </c>
      <c r="AD260" s="2">
        <f t="shared" si="40"/>
        <v>0.17710583153347731</v>
      </c>
      <c r="AE260" s="2">
        <f t="shared" si="41"/>
        <v>9.2872570194384454E-2</v>
      </c>
      <c r="AF260" s="3">
        <f t="shared" si="42"/>
        <v>91.576673866090715</v>
      </c>
      <c r="AG260">
        <f t="shared" si="43"/>
        <v>191</v>
      </c>
      <c r="AH260">
        <f t="shared" ref="AH260:AH323" si="44">(((AF260+AG260)/2)*(AC260/100)*AB260)/C260</f>
        <v>43.610999999999997</v>
      </c>
    </row>
    <row r="261" spans="1:34" x14ac:dyDescent="0.25">
      <c r="A261" t="s">
        <v>286</v>
      </c>
      <c r="B261" t="s">
        <v>29</v>
      </c>
      <c r="C261">
        <v>30</v>
      </c>
      <c r="D261">
        <v>0.17399999999999999</v>
      </c>
      <c r="E261">
        <v>0.29599999999999999</v>
      </c>
      <c r="F261">
        <v>0.246</v>
      </c>
      <c r="G261">
        <v>69</v>
      </c>
      <c r="H261">
        <v>12</v>
      </c>
      <c r="I261">
        <v>2</v>
      </c>
      <c r="J261">
        <v>0</v>
      </c>
      <c r="K261">
        <v>1</v>
      </c>
      <c r="L261">
        <v>9</v>
      </c>
      <c r="M261">
        <v>4</v>
      </c>
      <c r="N261">
        <v>1</v>
      </c>
      <c r="O261">
        <v>11</v>
      </c>
      <c r="P261">
        <v>21</v>
      </c>
      <c r="Q261">
        <v>1</v>
      </c>
      <c r="R261">
        <v>0</v>
      </c>
      <c r="T261">
        <f t="shared" si="36"/>
        <v>0.43440000000000001</v>
      </c>
      <c r="V261">
        <f t="shared" si="37"/>
        <v>0.86880000000000002</v>
      </c>
      <c r="AB261">
        <f t="shared" si="38"/>
        <v>2</v>
      </c>
      <c r="AC261">
        <f t="shared" si="39"/>
        <v>81</v>
      </c>
      <c r="AD261" s="2">
        <f t="shared" si="40"/>
        <v>0.25925925925925924</v>
      </c>
      <c r="AE261" s="2">
        <f t="shared" si="41"/>
        <v>0.14814814814814814</v>
      </c>
      <c r="AF261" s="3">
        <f t="shared" si="42"/>
        <v>88.888888888888886</v>
      </c>
      <c r="AG261">
        <f t="shared" si="43"/>
        <v>72.000000000000014</v>
      </c>
      <c r="AH261">
        <f t="shared" si="44"/>
        <v>4.3440000000000003</v>
      </c>
    </row>
    <row r="262" spans="1:34" x14ac:dyDescent="0.25">
      <c r="A262" t="s">
        <v>287</v>
      </c>
      <c r="B262" t="s">
        <v>29</v>
      </c>
      <c r="C262">
        <v>30</v>
      </c>
      <c r="D262">
        <v>0.222</v>
      </c>
      <c r="E262">
        <v>0.33300000000000002</v>
      </c>
      <c r="F262">
        <v>0.27800000000000002</v>
      </c>
      <c r="G262">
        <v>18</v>
      </c>
      <c r="H262">
        <v>4</v>
      </c>
      <c r="I262">
        <v>1</v>
      </c>
      <c r="J262">
        <v>0</v>
      </c>
      <c r="K262">
        <v>0</v>
      </c>
      <c r="L262">
        <v>2</v>
      </c>
      <c r="M262">
        <v>1</v>
      </c>
      <c r="N262">
        <v>0</v>
      </c>
      <c r="O262">
        <v>3</v>
      </c>
      <c r="P262">
        <v>6</v>
      </c>
      <c r="Q262">
        <v>0</v>
      </c>
      <c r="R262">
        <v>0</v>
      </c>
      <c r="T262">
        <f t="shared" si="36"/>
        <v>9.9200000000000024E-2</v>
      </c>
      <c r="V262">
        <f t="shared" si="37"/>
        <v>0.19840000000000005</v>
      </c>
      <c r="AB262">
        <f t="shared" si="38"/>
        <v>2</v>
      </c>
      <c r="AC262">
        <f t="shared" si="39"/>
        <v>21</v>
      </c>
      <c r="AD262" s="2">
        <f t="shared" si="40"/>
        <v>0.2857142857142857</v>
      </c>
      <c r="AE262" s="2">
        <f t="shared" si="41"/>
        <v>0.14285714285714285</v>
      </c>
      <c r="AF262" s="3">
        <f t="shared" si="42"/>
        <v>85.714285714285722</v>
      </c>
      <c r="AG262">
        <f t="shared" si="43"/>
        <v>56.000000000000021</v>
      </c>
      <c r="AH262">
        <f t="shared" si="44"/>
        <v>0.99200000000000021</v>
      </c>
    </row>
    <row r="263" spans="1:34" x14ac:dyDescent="0.25">
      <c r="A263" t="s">
        <v>288</v>
      </c>
      <c r="B263" t="s">
        <v>19</v>
      </c>
      <c r="C263">
        <v>30</v>
      </c>
      <c r="D263">
        <v>0.20200000000000001</v>
      </c>
      <c r="E263">
        <v>0.29599999999999999</v>
      </c>
      <c r="F263">
        <v>0.33300000000000002</v>
      </c>
      <c r="G263">
        <v>84</v>
      </c>
      <c r="H263">
        <v>17</v>
      </c>
      <c r="I263">
        <v>5</v>
      </c>
      <c r="J263">
        <v>0</v>
      </c>
      <c r="K263">
        <v>2</v>
      </c>
      <c r="L263">
        <v>5</v>
      </c>
      <c r="M263">
        <v>11</v>
      </c>
      <c r="N263">
        <v>1</v>
      </c>
      <c r="O263">
        <v>11</v>
      </c>
      <c r="P263">
        <v>14</v>
      </c>
      <c r="Q263">
        <v>1</v>
      </c>
      <c r="R263">
        <v>0</v>
      </c>
      <c r="T263">
        <f t="shared" si="36"/>
        <v>3.6626666666666674</v>
      </c>
      <c r="V263">
        <f t="shared" si="37"/>
        <v>7.3253333333333348</v>
      </c>
      <c r="AB263">
        <f t="shared" si="38"/>
        <v>10</v>
      </c>
      <c r="AC263">
        <f t="shared" si="39"/>
        <v>96</v>
      </c>
      <c r="AD263" s="2">
        <f t="shared" si="40"/>
        <v>0.14583333333333334</v>
      </c>
      <c r="AE263" s="2">
        <f t="shared" si="41"/>
        <v>0.125</v>
      </c>
      <c r="AF263" s="3">
        <f t="shared" si="42"/>
        <v>97.916666666666671</v>
      </c>
      <c r="AG263">
        <f t="shared" si="43"/>
        <v>131</v>
      </c>
      <c r="AH263">
        <f t="shared" si="44"/>
        <v>36.626666666666672</v>
      </c>
    </row>
    <row r="264" spans="1:34" x14ac:dyDescent="0.25">
      <c r="A264" t="s">
        <v>289</v>
      </c>
      <c r="B264" t="s">
        <v>33</v>
      </c>
      <c r="C264">
        <v>30</v>
      </c>
      <c r="D264">
        <v>0.15</v>
      </c>
      <c r="E264">
        <v>0.19</v>
      </c>
      <c r="F264">
        <v>0.15</v>
      </c>
      <c r="G264">
        <v>20</v>
      </c>
      <c r="H264">
        <v>3</v>
      </c>
      <c r="I264">
        <v>0</v>
      </c>
      <c r="J264">
        <v>0</v>
      </c>
      <c r="K264">
        <v>0</v>
      </c>
      <c r="L264">
        <v>2</v>
      </c>
      <c r="M264">
        <v>0</v>
      </c>
      <c r="N264">
        <v>0</v>
      </c>
      <c r="O264">
        <v>1</v>
      </c>
      <c r="P264">
        <v>8</v>
      </c>
      <c r="Q264">
        <v>0</v>
      </c>
      <c r="R264">
        <v>0</v>
      </c>
      <c r="T264">
        <f t="shared" si="36"/>
        <v>0.13999999999999999</v>
      </c>
      <c r="V264">
        <f t="shared" si="37"/>
        <v>0.27999999999999997</v>
      </c>
      <c r="AB264">
        <f t="shared" si="38"/>
        <v>6</v>
      </c>
      <c r="AC264">
        <f t="shared" si="39"/>
        <v>21</v>
      </c>
      <c r="AD264" s="2">
        <f t="shared" si="40"/>
        <v>0.38095238095238093</v>
      </c>
      <c r="AE264" s="2">
        <f t="shared" si="41"/>
        <v>4.7619047619047616E-2</v>
      </c>
      <c r="AF264" s="3">
        <f t="shared" si="42"/>
        <v>66.666666666666671</v>
      </c>
      <c r="AG264">
        <f t="shared" si="43"/>
        <v>0</v>
      </c>
      <c r="AH264">
        <f t="shared" si="44"/>
        <v>1.4</v>
      </c>
    </row>
    <row r="265" spans="1:34" x14ac:dyDescent="0.25">
      <c r="A265" t="s">
        <v>290</v>
      </c>
      <c r="B265" t="s">
        <v>31</v>
      </c>
      <c r="C265">
        <v>30</v>
      </c>
      <c r="D265">
        <v>0.14299999999999999</v>
      </c>
      <c r="E265">
        <v>0.25</v>
      </c>
      <c r="F265">
        <v>0.16900000000000001</v>
      </c>
      <c r="G265">
        <v>77</v>
      </c>
      <c r="H265">
        <v>11</v>
      </c>
      <c r="I265">
        <v>2</v>
      </c>
      <c r="J265">
        <v>0</v>
      </c>
      <c r="K265">
        <v>0</v>
      </c>
      <c r="L265">
        <v>19</v>
      </c>
      <c r="M265">
        <v>1</v>
      </c>
      <c r="N265">
        <v>0</v>
      </c>
      <c r="O265">
        <v>11</v>
      </c>
      <c r="P265">
        <v>29</v>
      </c>
      <c r="Q265">
        <v>3</v>
      </c>
      <c r="R265">
        <v>1</v>
      </c>
      <c r="T265">
        <f t="shared" si="36"/>
        <v>1.2384000000000002</v>
      </c>
      <c r="V265">
        <f t="shared" si="37"/>
        <v>2.4768000000000003</v>
      </c>
      <c r="AB265">
        <f t="shared" si="38"/>
        <v>8</v>
      </c>
      <c r="AC265">
        <f t="shared" si="39"/>
        <v>88</v>
      </c>
      <c r="AD265" s="2">
        <f t="shared" si="40"/>
        <v>0.32954545454545453</v>
      </c>
      <c r="AE265" s="2">
        <f t="shared" si="41"/>
        <v>0.125</v>
      </c>
      <c r="AF265" s="3">
        <f t="shared" si="42"/>
        <v>79.545454545454547</v>
      </c>
      <c r="AG265">
        <f t="shared" si="43"/>
        <v>26.000000000000021</v>
      </c>
      <c r="AH265">
        <f t="shared" si="44"/>
        <v>12.384000000000002</v>
      </c>
    </row>
    <row r="266" spans="1:34" x14ac:dyDescent="0.25">
      <c r="A266" t="s">
        <v>291</v>
      </c>
      <c r="B266" t="s">
        <v>48</v>
      </c>
      <c r="C266">
        <v>30</v>
      </c>
      <c r="D266">
        <v>0.17</v>
      </c>
      <c r="E266">
        <v>0.29799999999999999</v>
      </c>
      <c r="F266">
        <v>0.27300000000000002</v>
      </c>
      <c r="G266">
        <v>88</v>
      </c>
      <c r="H266">
        <v>15</v>
      </c>
      <c r="I266">
        <v>0</v>
      </c>
      <c r="J266">
        <v>0</v>
      </c>
      <c r="K266">
        <v>3</v>
      </c>
      <c r="L266">
        <v>10</v>
      </c>
      <c r="M266">
        <v>7</v>
      </c>
      <c r="N266">
        <v>2</v>
      </c>
      <c r="O266">
        <v>14</v>
      </c>
      <c r="P266">
        <v>31</v>
      </c>
      <c r="Q266">
        <v>1</v>
      </c>
      <c r="R266">
        <v>0</v>
      </c>
      <c r="T266">
        <f t="shared" si="36"/>
        <v>0.6537333333333335</v>
      </c>
      <c r="V266">
        <f t="shared" si="37"/>
        <v>1.307466666666667</v>
      </c>
      <c r="AB266">
        <f t="shared" si="38"/>
        <v>2</v>
      </c>
      <c r="AC266">
        <f t="shared" si="39"/>
        <v>104</v>
      </c>
      <c r="AD266" s="2">
        <f t="shared" si="40"/>
        <v>0.29807692307692307</v>
      </c>
      <c r="AE266" s="2">
        <f t="shared" si="41"/>
        <v>0.15384615384615385</v>
      </c>
      <c r="AF266" s="3">
        <f t="shared" si="42"/>
        <v>85.57692307692308</v>
      </c>
      <c r="AG266">
        <f t="shared" si="43"/>
        <v>103.00000000000001</v>
      </c>
      <c r="AH266">
        <f t="shared" si="44"/>
        <v>6.5373333333333346</v>
      </c>
    </row>
    <row r="267" spans="1:34" x14ac:dyDescent="0.25">
      <c r="A267" t="s">
        <v>292</v>
      </c>
      <c r="B267" t="s">
        <v>19</v>
      </c>
      <c r="C267">
        <v>30</v>
      </c>
      <c r="D267">
        <v>0.221</v>
      </c>
      <c r="E267">
        <v>0.29899999999999999</v>
      </c>
      <c r="F267">
        <v>0.29899999999999999</v>
      </c>
      <c r="G267">
        <v>77</v>
      </c>
      <c r="H267">
        <v>17</v>
      </c>
      <c r="I267">
        <v>1</v>
      </c>
      <c r="J267">
        <v>1</v>
      </c>
      <c r="K267">
        <v>1</v>
      </c>
      <c r="L267">
        <v>12</v>
      </c>
      <c r="M267">
        <v>5</v>
      </c>
      <c r="N267">
        <v>2</v>
      </c>
      <c r="O267">
        <v>7</v>
      </c>
      <c r="P267">
        <v>10</v>
      </c>
      <c r="Q267">
        <v>0</v>
      </c>
      <c r="R267">
        <v>0</v>
      </c>
      <c r="T267">
        <f t="shared" si="36"/>
        <v>2.534666666666666</v>
      </c>
      <c r="V267">
        <f t="shared" si="37"/>
        <v>5.0693333333333319</v>
      </c>
      <c r="AB267">
        <f t="shared" si="38"/>
        <v>10</v>
      </c>
      <c r="AC267">
        <f t="shared" si="39"/>
        <v>86</v>
      </c>
      <c r="AD267" s="2">
        <f t="shared" si="40"/>
        <v>0.11627906976744186</v>
      </c>
      <c r="AE267" s="2">
        <f t="shared" si="41"/>
        <v>0.10465116279069768</v>
      </c>
      <c r="AF267" s="3">
        <f t="shared" si="42"/>
        <v>98.837209302325576</v>
      </c>
      <c r="AG267">
        <f t="shared" si="43"/>
        <v>77.999999999999986</v>
      </c>
      <c r="AH267">
        <f t="shared" si="44"/>
        <v>25.34666666666666</v>
      </c>
    </row>
    <row r="268" spans="1:34" x14ac:dyDescent="0.25">
      <c r="A268" t="s">
        <v>293</v>
      </c>
      <c r="B268" t="s">
        <v>33</v>
      </c>
      <c r="C268">
        <v>30</v>
      </c>
      <c r="D268">
        <v>4.2000000000000003E-2</v>
      </c>
      <c r="E268">
        <v>0.17899999999999999</v>
      </c>
      <c r="F268">
        <v>4.2000000000000003E-2</v>
      </c>
      <c r="G268">
        <v>24</v>
      </c>
      <c r="H268">
        <v>1</v>
      </c>
      <c r="I268">
        <v>0</v>
      </c>
      <c r="J268">
        <v>0</v>
      </c>
      <c r="K268">
        <v>0</v>
      </c>
      <c r="L268">
        <v>2</v>
      </c>
      <c r="M268">
        <v>1</v>
      </c>
      <c r="N268">
        <v>0</v>
      </c>
      <c r="O268">
        <v>4</v>
      </c>
      <c r="P268">
        <v>4</v>
      </c>
      <c r="Q268">
        <v>0</v>
      </c>
      <c r="R268">
        <v>0</v>
      </c>
      <c r="T268">
        <f t="shared" si="36"/>
        <v>0.28000000000000003</v>
      </c>
      <c r="V268">
        <f t="shared" si="37"/>
        <v>0.56000000000000005</v>
      </c>
      <c r="AB268">
        <f t="shared" si="38"/>
        <v>6</v>
      </c>
      <c r="AC268">
        <f t="shared" si="39"/>
        <v>28</v>
      </c>
      <c r="AD268" s="2">
        <f t="shared" si="40"/>
        <v>0.14285714285714285</v>
      </c>
      <c r="AE268" s="2">
        <f t="shared" si="41"/>
        <v>0.14285714285714285</v>
      </c>
      <c r="AF268" s="3">
        <f t="shared" si="42"/>
        <v>100</v>
      </c>
      <c r="AG268">
        <f t="shared" si="43"/>
        <v>0</v>
      </c>
      <c r="AH268">
        <f t="shared" si="44"/>
        <v>2.8000000000000003</v>
      </c>
    </row>
    <row r="269" spans="1:34" x14ac:dyDescent="0.25">
      <c r="A269" t="s">
        <v>294</v>
      </c>
      <c r="B269" t="s">
        <v>23</v>
      </c>
      <c r="C269">
        <v>30</v>
      </c>
      <c r="D269">
        <v>0.316</v>
      </c>
      <c r="E269">
        <v>0.3</v>
      </c>
      <c r="F269">
        <v>0.316</v>
      </c>
      <c r="G269">
        <v>19</v>
      </c>
      <c r="H269">
        <v>6</v>
      </c>
      <c r="I269">
        <v>0</v>
      </c>
      <c r="J269">
        <v>0</v>
      </c>
      <c r="K269">
        <v>0</v>
      </c>
      <c r="L269">
        <v>1</v>
      </c>
      <c r="M269">
        <v>3</v>
      </c>
      <c r="N269">
        <v>0</v>
      </c>
      <c r="O269">
        <v>0</v>
      </c>
      <c r="P269">
        <v>6</v>
      </c>
      <c r="Q269">
        <v>0</v>
      </c>
      <c r="R269">
        <v>0</v>
      </c>
      <c r="T269">
        <f t="shared" si="36"/>
        <v>8.666666666666667E-2</v>
      </c>
      <c r="V269">
        <f t="shared" si="37"/>
        <v>0.17333333333333334</v>
      </c>
      <c r="AB269">
        <f t="shared" si="38"/>
        <v>4</v>
      </c>
      <c r="AC269">
        <f t="shared" si="39"/>
        <v>19</v>
      </c>
      <c r="AD269" s="2">
        <f t="shared" si="40"/>
        <v>0.31578947368421051</v>
      </c>
      <c r="AE269" s="2">
        <f t="shared" si="41"/>
        <v>0</v>
      </c>
      <c r="AF269" s="3">
        <f t="shared" si="42"/>
        <v>68.421052631578945</v>
      </c>
      <c r="AG269">
        <f t="shared" si="43"/>
        <v>0</v>
      </c>
      <c r="AH269">
        <f t="shared" si="44"/>
        <v>0.8666666666666667</v>
      </c>
    </row>
    <row r="270" spans="1:34" x14ac:dyDescent="0.25">
      <c r="A270" t="s">
        <v>295</v>
      </c>
      <c r="B270" t="s">
        <v>60</v>
      </c>
      <c r="C270">
        <v>30</v>
      </c>
      <c r="D270">
        <v>0.17699999999999999</v>
      </c>
      <c r="E270">
        <v>0.217</v>
      </c>
      <c r="F270">
        <v>0.26600000000000001</v>
      </c>
      <c r="G270">
        <v>79</v>
      </c>
      <c r="H270">
        <v>14</v>
      </c>
      <c r="I270">
        <v>4</v>
      </c>
      <c r="J270">
        <v>0</v>
      </c>
      <c r="K270">
        <v>1</v>
      </c>
      <c r="L270">
        <v>9</v>
      </c>
      <c r="M270">
        <v>3</v>
      </c>
      <c r="N270">
        <v>0</v>
      </c>
      <c r="O270">
        <v>4</v>
      </c>
      <c r="P270">
        <v>30</v>
      </c>
      <c r="Q270">
        <v>15</v>
      </c>
      <c r="R270">
        <v>2</v>
      </c>
      <c r="T270">
        <f t="shared" si="36"/>
        <v>1.7449333333333334</v>
      </c>
      <c r="V270">
        <f t="shared" si="37"/>
        <v>3.4898666666666669</v>
      </c>
      <c r="AB270">
        <f t="shared" si="38"/>
        <v>8</v>
      </c>
      <c r="AC270">
        <f t="shared" si="39"/>
        <v>83</v>
      </c>
      <c r="AD270" s="2">
        <f t="shared" si="40"/>
        <v>0.36144578313253012</v>
      </c>
      <c r="AE270" s="2">
        <f t="shared" si="41"/>
        <v>4.8192771084337352E-2</v>
      </c>
      <c r="AF270" s="3">
        <f t="shared" si="42"/>
        <v>68.674698795180717</v>
      </c>
      <c r="AG270">
        <f t="shared" si="43"/>
        <v>89.000000000000028</v>
      </c>
      <c r="AH270">
        <f t="shared" si="44"/>
        <v>17.449333333333335</v>
      </c>
    </row>
    <row r="271" spans="1:34" x14ac:dyDescent="0.25">
      <c r="A271" t="s">
        <v>296</v>
      </c>
      <c r="B271" t="s">
        <v>26</v>
      </c>
      <c r="C271">
        <v>30</v>
      </c>
      <c r="D271">
        <v>0.13600000000000001</v>
      </c>
      <c r="E271">
        <v>0.26900000000000002</v>
      </c>
      <c r="F271">
        <v>0.182</v>
      </c>
      <c r="G271">
        <v>22</v>
      </c>
      <c r="H271">
        <v>3</v>
      </c>
      <c r="I271">
        <v>1</v>
      </c>
      <c r="J271">
        <v>0</v>
      </c>
      <c r="K271">
        <v>0</v>
      </c>
      <c r="L271">
        <v>5</v>
      </c>
      <c r="M271">
        <v>1</v>
      </c>
      <c r="N271">
        <v>1</v>
      </c>
      <c r="O271">
        <v>3</v>
      </c>
      <c r="P271">
        <v>7</v>
      </c>
      <c r="Q271">
        <v>2</v>
      </c>
      <c r="R271">
        <v>0</v>
      </c>
      <c r="T271">
        <f t="shared" si="36"/>
        <v>0.58266666666666667</v>
      </c>
      <c r="V271">
        <f t="shared" si="37"/>
        <v>1.1653333333333333</v>
      </c>
      <c r="AB271">
        <f t="shared" si="38"/>
        <v>10</v>
      </c>
      <c r="AC271">
        <f t="shared" si="39"/>
        <v>26</v>
      </c>
      <c r="AD271" s="2">
        <f t="shared" si="40"/>
        <v>0.26923076923076922</v>
      </c>
      <c r="AE271" s="2">
        <f t="shared" si="41"/>
        <v>0.15384615384615385</v>
      </c>
      <c r="AF271" s="3">
        <f t="shared" si="42"/>
        <v>88.461538461538467</v>
      </c>
      <c r="AG271">
        <f t="shared" si="43"/>
        <v>45.999999999999986</v>
      </c>
      <c r="AH271">
        <f t="shared" si="44"/>
        <v>5.8266666666666671</v>
      </c>
    </row>
    <row r="272" spans="1:34" x14ac:dyDescent="0.25">
      <c r="A272" t="s">
        <v>297</v>
      </c>
      <c r="B272" t="s">
        <v>23</v>
      </c>
      <c r="C272">
        <v>30</v>
      </c>
      <c r="D272">
        <v>0.2</v>
      </c>
      <c r="E272">
        <v>0.23799999999999999</v>
      </c>
      <c r="F272">
        <v>0.25</v>
      </c>
      <c r="G272">
        <v>20</v>
      </c>
      <c r="H272">
        <v>4</v>
      </c>
      <c r="I272">
        <v>1</v>
      </c>
      <c r="J272">
        <v>0</v>
      </c>
      <c r="K272">
        <v>0</v>
      </c>
      <c r="L272">
        <v>4</v>
      </c>
      <c r="M272">
        <v>1</v>
      </c>
      <c r="N272">
        <v>0</v>
      </c>
      <c r="O272">
        <v>1</v>
      </c>
      <c r="P272">
        <v>1</v>
      </c>
      <c r="Q272">
        <v>0</v>
      </c>
      <c r="R272">
        <v>0</v>
      </c>
      <c r="T272">
        <f t="shared" si="36"/>
        <v>0.21000000000000002</v>
      </c>
      <c r="V272">
        <f t="shared" si="37"/>
        <v>0.42000000000000004</v>
      </c>
      <c r="AB272">
        <f t="shared" si="38"/>
        <v>4</v>
      </c>
      <c r="AC272">
        <f t="shared" si="39"/>
        <v>21</v>
      </c>
      <c r="AD272" s="2">
        <f t="shared" si="40"/>
        <v>4.7619047619047616E-2</v>
      </c>
      <c r="AE272" s="2">
        <f t="shared" si="41"/>
        <v>4.7619047619047616E-2</v>
      </c>
      <c r="AF272" s="3">
        <f t="shared" si="42"/>
        <v>100</v>
      </c>
      <c r="AG272">
        <f t="shared" si="43"/>
        <v>49.999999999999986</v>
      </c>
      <c r="AH272">
        <f t="shared" si="44"/>
        <v>2.1</v>
      </c>
    </row>
    <row r="273" spans="1:34" x14ac:dyDescent="0.25">
      <c r="A273" t="s">
        <v>298</v>
      </c>
      <c r="B273" t="s">
        <v>19</v>
      </c>
      <c r="C273">
        <v>30</v>
      </c>
      <c r="D273">
        <v>0.28599999999999998</v>
      </c>
      <c r="E273">
        <v>0.26700000000000002</v>
      </c>
      <c r="F273">
        <v>0.64300000000000002</v>
      </c>
      <c r="G273">
        <v>14</v>
      </c>
      <c r="H273">
        <v>4</v>
      </c>
      <c r="I273">
        <v>2</v>
      </c>
      <c r="J273">
        <v>0</v>
      </c>
      <c r="K273">
        <v>1</v>
      </c>
      <c r="L273">
        <v>3</v>
      </c>
      <c r="M273">
        <v>5</v>
      </c>
      <c r="N273">
        <v>0</v>
      </c>
      <c r="O273">
        <v>0</v>
      </c>
      <c r="P273">
        <v>3</v>
      </c>
      <c r="Q273">
        <v>0</v>
      </c>
      <c r="R273">
        <v>0</v>
      </c>
      <c r="T273">
        <f t="shared" si="36"/>
        <v>1.0163333333333333</v>
      </c>
      <c r="V273">
        <f t="shared" si="37"/>
        <v>2.0326666666666666</v>
      </c>
      <c r="AB273">
        <f t="shared" si="38"/>
        <v>10</v>
      </c>
      <c r="AC273">
        <f t="shared" si="39"/>
        <v>14</v>
      </c>
      <c r="AD273" s="2">
        <f t="shared" si="40"/>
        <v>0.21428571428571427</v>
      </c>
      <c r="AE273" s="2">
        <f t="shared" si="41"/>
        <v>0</v>
      </c>
      <c r="AF273" s="3">
        <f t="shared" si="42"/>
        <v>78.571428571428569</v>
      </c>
      <c r="AG273">
        <f t="shared" si="43"/>
        <v>357.00000000000006</v>
      </c>
      <c r="AH273">
        <f t="shared" si="44"/>
        <v>10.163333333333334</v>
      </c>
    </row>
    <row r="274" spans="1:34" x14ac:dyDescent="0.25">
      <c r="A274" t="s">
        <v>299</v>
      </c>
      <c r="B274" t="s">
        <v>19</v>
      </c>
      <c r="C274">
        <v>30</v>
      </c>
      <c r="D274">
        <v>0.28599999999999998</v>
      </c>
      <c r="E274">
        <v>0.28599999999999998</v>
      </c>
      <c r="F274">
        <v>0.28599999999999998</v>
      </c>
      <c r="G274">
        <v>7</v>
      </c>
      <c r="H274">
        <v>2</v>
      </c>
      <c r="I274">
        <v>0</v>
      </c>
      <c r="J274">
        <v>0</v>
      </c>
      <c r="K274">
        <v>0</v>
      </c>
      <c r="L274">
        <v>2</v>
      </c>
      <c r="M274">
        <v>0</v>
      </c>
      <c r="N274">
        <v>0</v>
      </c>
      <c r="O274">
        <v>0</v>
      </c>
      <c r="P274">
        <v>4</v>
      </c>
      <c r="Q274">
        <v>0</v>
      </c>
      <c r="R274">
        <v>0</v>
      </c>
      <c r="T274">
        <f t="shared" si="36"/>
        <v>5.000000000000001E-2</v>
      </c>
      <c r="V274">
        <f t="shared" si="37"/>
        <v>0.10000000000000002</v>
      </c>
      <c r="AB274">
        <f t="shared" si="38"/>
        <v>10</v>
      </c>
      <c r="AC274">
        <f t="shared" si="39"/>
        <v>7</v>
      </c>
      <c r="AD274" s="2">
        <f t="shared" si="40"/>
        <v>0.5714285714285714</v>
      </c>
      <c r="AE274" s="2">
        <f t="shared" si="41"/>
        <v>0</v>
      </c>
      <c r="AF274" s="3">
        <f t="shared" si="42"/>
        <v>42.857142857142861</v>
      </c>
      <c r="AG274">
        <f t="shared" si="43"/>
        <v>0</v>
      </c>
      <c r="AH274">
        <f t="shared" si="44"/>
        <v>0.50000000000000011</v>
      </c>
    </row>
    <row r="275" spans="1:34" x14ac:dyDescent="0.25">
      <c r="A275" t="s">
        <v>300</v>
      </c>
      <c r="B275" t="s">
        <v>23</v>
      </c>
      <c r="C275">
        <v>30</v>
      </c>
      <c r="D275">
        <v>0.20200000000000001</v>
      </c>
      <c r="E275">
        <v>0.31900000000000001</v>
      </c>
      <c r="F275">
        <v>0.311</v>
      </c>
      <c r="G275">
        <v>183</v>
      </c>
      <c r="H275">
        <v>37</v>
      </c>
      <c r="I275">
        <v>8</v>
      </c>
      <c r="J275">
        <v>0</v>
      </c>
      <c r="K275">
        <v>4</v>
      </c>
      <c r="L275">
        <v>23</v>
      </c>
      <c r="M275">
        <v>19</v>
      </c>
      <c r="N275">
        <v>13</v>
      </c>
      <c r="O275">
        <v>19</v>
      </c>
      <c r="P275">
        <v>64</v>
      </c>
      <c r="Q275">
        <v>2</v>
      </c>
      <c r="R275">
        <v>1</v>
      </c>
      <c r="T275">
        <f t="shared" si="36"/>
        <v>2.7823333333333329</v>
      </c>
      <c r="V275">
        <f t="shared" si="37"/>
        <v>5.5646666666666658</v>
      </c>
      <c r="AB275">
        <f t="shared" si="38"/>
        <v>4</v>
      </c>
      <c r="AC275">
        <f t="shared" si="39"/>
        <v>215</v>
      </c>
      <c r="AD275" s="2">
        <f t="shared" si="40"/>
        <v>0.29767441860465116</v>
      </c>
      <c r="AE275" s="2">
        <f t="shared" si="41"/>
        <v>0.14883720930232558</v>
      </c>
      <c r="AF275" s="3">
        <f t="shared" si="42"/>
        <v>85.116279069767444</v>
      </c>
      <c r="AG275">
        <f t="shared" si="43"/>
        <v>108.99999999999999</v>
      </c>
      <c r="AH275">
        <f t="shared" si="44"/>
        <v>27.823333333333327</v>
      </c>
    </row>
    <row r="276" spans="1:34" x14ac:dyDescent="0.25">
      <c r="A276" t="s">
        <v>301</v>
      </c>
      <c r="B276" t="s">
        <v>19</v>
      </c>
      <c r="C276">
        <v>30</v>
      </c>
      <c r="D276">
        <v>0</v>
      </c>
      <c r="E276">
        <v>0</v>
      </c>
      <c r="F276">
        <v>0</v>
      </c>
      <c r="G276">
        <v>1</v>
      </c>
      <c r="H276">
        <v>0</v>
      </c>
      <c r="I276">
        <v>0</v>
      </c>
      <c r="J276">
        <v>0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T276">
        <f t="shared" si="36"/>
        <v>1.6666666666666666E-2</v>
      </c>
      <c r="V276">
        <f t="shared" si="37"/>
        <v>3.3333333333333333E-2</v>
      </c>
      <c r="AB276">
        <f t="shared" si="38"/>
        <v>10</v>
      </c>
      <c r="AC276">
        <f t="shared" si="39"/>
        <v>1</v>
      </c>
      <c r="AD276" s="2">
        <f t="shared" si="40"/>
        <v>0</v>
      </c>
      <c r="AE276" s="2">
        <f t="shared" si="41"/>
        <v>0</v>
      </c>
      <c r="AF276" s="3">
        <f t="shared" si="42"/>
        <v>100</v>
      </c>
      <c r="AG276">
        <f t="shared" si="43"/>
        <v>0</v>
      </c>
      <c r="AH276">
        <f t="shared" si="44"/>
        <v>0.16666666666666666</v>
      </c>
    </row>
    <row r="277" spans="1:34" x14ac:dyDescent="0.25">
      <c r="A277" t="s">
        <v>302</v>
      </c>
      <c r="B277" t="s">
        <v>19</v>
      </c>
      <c r="C277">
        <v>30</v>
      </c>
      <c r="D277">
        <v>0.187</v>
      </c>
      <c r="E277">
        <v>0.27700000000000002</v>
      </c>
      <c r="F277">
        <v>0.33300000000000002</v>
      </c>
      <c r="G277">
        <v>123</v>
      </c>
      <c r="H277">
        <v>23</v>
      </c>
      <c r="I277">
        <v>5</v>
      </c>
      <c r="J277">
        <v>2</v>
      </c>
      <c r="K277">
        <v>3</v>
      </c>
      <c r="L277">
        <v>14</v>
      </c>
      <c r="M277">
        <v>19</v>
      </c>
      <c r="N277">
        <v>1</v>
      </c>
      <c r="O277">
        <v>15</v>
      </c>
      <c r="P277">
        <v>39</v>
      </c>
      <c r="Q277">
        <v>0</v>
      </c>
      <c r="R277">
        <v>0</v>
      </c>
      <c r="T277">
        <f t="shared" si="36"/>
        <v>5.315666666666667</v>
      </c>
      <c r="V277">
        <f t="shared" si="37"/>
        <v>10.631333333333334</v>
      </c>
      <c r="AB277">
        <f t="shared" si="38"/>
        <v>10</v>
      </c>
      <c r="AC277">
        <f t="shared" si="39"/>
        <v>139</v>
      </c>
      <c r="AD277" s="2">
        <f t="shared" si="40"/>
        <v>0.2805755395683453</v>
      </c>
      <c r="AE277" s="2">
        <f t="shared" si="41"/>
        <v>0.11510791366906475</v>
      </c>
      <c r="AF277" s="3">
        <f t="shared" si="42"/>
        <v>83.453237410071949</v>
      </c>
      <c r="AG277">
        <f t="shared" si="43"/>
        <v>146.00000000000003</v>
      </c>
      <c r="AH277">
        <f t="shared" si="44"/>
        <v>53.156666666666673</v>
      </c>
    </row>
    <row r="278" spans="1:34" x14ac:dyDescent="0.25">
      <c r="A278" t="s">
        <v>303</v>
      </c>
      <c r="B278" t="s">
        <v>26</v>
      </c>
      <c r="C278">
        <v>30</v>
      </c>
      <c r="D278">
        <v>0.22</v>
      </c>
      <c r="E278">
        <v>0.29099999999999998</v>
      </c>
      <c r="F278">
        <v>0.38</v>
      </c>
      <c r="G278">
        <v>50</v>
      </c>
      <c r="H278">
        <v>11</v>
      </c>
      <c r="I278">
        <v>2</v>
      </c>
      <c r="J278">
        <v>0</v>
      </c>
      <c r="K278">
        <v>2</v>
      </c>
      <c r="L278">
        <v>9</v>
      </c>
      <c r="M278">
        <v>7</v>
      </c>
      <c r="N278">
        <v>1</v>
      </c>
      <c r="O278">
        <v>4</v>
      </c>
      <c r="P278">
        <v>18</v>
      </c>
      <c r="Q278">
        <v>0</v>
      </c>
      <c r="R278">
        <v>1</v>
      </c>
      <c r="T278">
        <f t="shared" si="36"/>
        <v>2.166666666666667</v>
      </c>
      <c r="V278">
        <f t="shared" si="37"/>
        <v>4.3333333333333339</v>
      </c>
      <c r="AB278">
        <f t="shared" si="38"/>
        <v>10</v>
      </c>
      <c r="AC278">
        <f t="shared" si="39"/>
        <v>55</v>
      </c>
      <c r="AD278" s="2">
        <f t="shared" si="40"/>
        <v>0.32727272727272727</v>
      </c>
      <c r="AE278" s="2">
        <f t="shared" si="41"/>
        <v>9.0909090909090912E-2</v>
      </c>
      <c r="AF278" s="3">
        <f t="shared" si="42"/>
        <v>76.36363636363636</v>
      </c>
      <c r="AG278">
        <f t="shared" si="43"/>
        <v>160</v>
      </c>
      <c r="AH278">
        <f t="shared" si="44"/>
        <v>21.666666666666671</v>
      </c>
    </row>
    <row r="279" spans="1:34" x14ac:dyDescent="0.25">
      <c r="A279" t="s">
        <v>304</v>
      </c>
      <c r="B279" t="s">
        <v>29</v>
      </c>
      <c r="C279">
        <v>30</v>
      </c>
      <c r="D279">
        <v>9.0999999999999998E-2</v>
      </c>
      <c r="E279">
        <v>9.0999999999999998E-2</v>
      </c>
      <c r="F279">
        <v>9.0999999999999998E-2</v>
      </c>
      <c r="G279">
        <v>11</v>
      </c>
      <c r="H279">
        <v>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2</v>
      </c>
      <c r="Q279">
        <v>0</v>
      </c>
      <c r="R279">
        <v>0</v>
      </c>
      <c r="T279">
        <f t="shared" si="36"/>
        <v>0.03</v>
      </c>
      <c r="V279">
        <f t="shared" si="37"/>
        <v>0.06</v>
      </c>
      <c r="AB279">
        <f t="shared" si="38"/>
        <v>2</v>
      </c>
      <c r="AC279">
        <f t="shared" si="39"/>
        <v>11</v>
      </c>
      <c r="AD279" s="2">
        <f t="shared" si="40"/>
        <v>0.18181818181818182</v>
      </c>
      <c r="AE279" s="2">
        <f t="shared" si="41"/>
        <v>0</v>
      </c>
      <c r="AF279" s="3">
        <f t="shared" si="42"/>
        <v>81.818181818181813</v>
      </c>
      <c r="AG279">
        <f t="shared" si="43"/>
        <v>0</v>
      </c>
      <c r="AH279">
        <f t="shared" si="44"/>
        <v>0.3</v>
      </c>
    </row>
    <row r="280" spans="1:34" x14ac:dyDescent="0.25">
      <c r="A280" t="s">
        <v>305</v>
      </c>
      <c r="B280" t="s">
        <v>60</v>
      </c>
      <c r="C280">
        <v>30</v>
      </c>
      <c r="D280">
        <v>0.26200000000000001</v>
      </c>
      <c r="E280">
        <v>0.313</v>
      </c>
      <c r="F280">
        <v>0.36699999999999999</v>
      </c>
      <c r="G280">
        <v>267</v>
      </c>
      <c r="H280">
        <v>70</v>
      </c>
      <c r="I280">
        <v>14</v>
      </c>
      <c r="J280">
        <v>1</v>
      </c>
      <c r="K280">
        <v>4</v>
      </c>
      <c r="L280">
        <v>51</v>
      </c>
      <c r="M280">
        <v>32</v>
      </c>
      <c r="N280">
        <v>1</v>
      </c>
      <c r="O280">
        <v>19</v>
      </c>
      <c r="P280">
        <v>50</v>
      </c>
      <c r="Q280">
        <v>12</v>
      </c>
      <c r="R280">
        <v>1</v>
      </c>
      <c r="T280">
        <f t="shared" si="36"/>
        <v>7.4446666666666674</v>
      </c>
      <c r="V280">
        <f t="shared" si="37"/>
        <v>14.889333333333335</v>
      </c>
      <c r="AB280">
        <f t="shared" si="38"/>
        <v>8</v>
      </c>
      <c r="AC280">
        <f t="shared" si="39"/>
        <v>287</v>
      </c>
      <c r="AD280" s="2">
        <f t="shared" si="40"/>
        <v>0.17421602787456447</v>
      </c>
      <c r="AE280" s="2">
        <f t="shared" si="41"/>
        <v>6.968641114982578E-2</v>
      </c>
      <c r="AF280" s="3">
        <f t="shared" si="42"/>
        <v>89.547038327526138</v>
      </c>
      <c r="AG280">
        <f t="shared" si="43"/>
        <v>104.99999999999999</v>
      </c>
      <c r="AH280">
        <f t="shared" si="44"/>
        <v>74.446666666666673</v>
      </c>
    </row>
    <row r="281" spans="1:34" x14ac:dyDescent="0.25">
      <c r="A281" t="s">
        <v>306</v>
      </c>
      <c r="B281" t="s">
        <v>19</v>
      </c>
      <c r="C281">
        <v>30</v>
      </c>
      <c r="D281">
        <v>0.218</v>
      </c>
      <c r="E281">
        <v>0.34899999999999998</v>
      </c>
      <c r="F281">
        <v>0.28799999999999998</v>
      </c>
      <c r="G281">
        <v>156</v>
      </c>
      <c r="H281">
        <v>34</v>
      </c>
      <c r="I281">
        <v>6</v>
      </c>
      <c r="J281">
        <v>1</v>
      </c>
      <c r="K281">
        <v>1</v>
      </c>
      <c r="L281">
        <v>16</v>
      </c>
      <c r="M281">
        <v>16</v>
      </c>
      <c r="N281">
        <v>3</v>
      </c>
      <c r="O281">
        <v>29</v>
      </c>
      <c r="P281">
        <v>46</v>
      </c>
      <c r="Q281">
        <v>1</v>
      </c>
      <c r="R281">
        <v>1</v>
      </c>
      <c r="T281">
        <f t="shared" si="36"/>
        <v>5.0933333333333319</v>
      </c>
      <c r="V281">
        <f t="shared" si="37"/>
        <v>10.186666666666664</v>
      </c>
      <c r="AB281">
        <f t="shared" si="38"/>
        <v>10</v>
      </c>
      <c r="AC281">
        <f t="shared" si="39"/>
        <v>188</v>
      </c>
      <c r="AD281" s="2">
        <f t="shared" si="40"/>
        <v>0.24468085106382978</v>
      </c>
      <c r="AE281" s="2">
        <f t="shared" si="41"/>
        <v>0.1702127659574468</v>
      </c>
      <c r="AF281" s="3">
        <f t="shared" si="42"/>
        <v>92.553191489361708</v>
      </c>
      <c r="AG281">
        <f t="shared" si="43"/>
        <v>69.999999999999986</v>
      </c>
      <c r="AH281">
        <f t="shared" si="44"/>
        <v>50.933333333333323</v>
      </c>
    </row>
    <row r="282" spans="1:34" x14ac:dyDescent="0.25">
      <c r="A282" t="s">
        <v>307</v>
      </c>
      <c r="B282" t="s">
        <v>19</v>
      </c>
      <c r="C282">
        <v>30</v>
      </c>
      <c r="D282">
        <v>0.14299999999999999</v>
      </c>
      <c r="E282">
        <v>0.182</v>
      </c>
      <c r="F282">
        <v>0.33300000000000002</v>
      </c>
      <c r="G282">
        <v>21</v>
      </c>
      <c r="H282">
        <v>3</v>
      </c>
      <c r="I282">
        <v>1</v>
      </c>
      <c r="J282">
        <v>0</v>
      </c>
      <c r="K282">
        <v>1</v>
      </c>
      <c r="L282">
        <v>2</v>
      </c>
      <c r="M282">
        <v>1</v>
      </c>
      <c r="N282">
        <v>0</v>
      </c>
      <c r="O282">
        <v>1</v>
      </c>
      <c r="P282">
        <v>6</v>
      </c>
      <c r="Q282">
        <v>0</v>
      </c>
      <c r="R282">
        <v>0</v>
      </c>
      <c r="T282">
        <f t="shared" si="36"/>
        <v>0.9800000000000002</v>
      </c>
      <c r="V282">
        <f t="shared" si="37"/>
        <v>1.9600000000000004</v>
      </c>
      <c r="AB282">
        <f t="shared" si="38"/>
        <v>10</v>
      </c>
      <c r="AC282">
        <f t="shared" si="39"/>
        <v>22</v>
      </c>
      <c r="AD282" s="2">
        <f t="shared" si="40"/>
        <v>0.27272727272727271</v>
      </c>
      <c r="AE282" s="2">
        <f t="shared" si="41"/>
        <v>4.5454545454545456E-2</v>
      </c>
      <c r="AF282" s="3">
        <f t="shared" si="42"/>
        <v>77.27272727272728</v>
      </c>
      <c r="AG282">
        <f t="shared" si="43"/>
        <v>190.00000000000003</v>
      </c>
      <c r="AH282">
        <f t="shared" si="44"/>
        <v>9.8000000000000025</v>
      </c>
    </row>
    <row r="283" spans="1:34" x14ac:dyDescent="0.25">
      <c r="A283" t="s">
        <v>308</v>
      </c>
      <c r="B283" t="s">
        <v>60</v>
      </c>
      <c r="C283">
        <v>30</v>
      </c>
      <c r="D283">
        <v>0.20599999999999999</v>
      </c>
      <c r="E283">
        <v>0.309</v>
      </c>
      <c r="F283">
        <v>0.252</v>
      </c>
      <c r="G283">
        <v>107</v>
      </c>
      <c r="H283">
        <v>22</v>
      </c>
      <c r="I283">
        <v>1</v>
      </c>
      <c r="J283">
        <v>2</v>
      </c>
      <c r="K283">
        <v>0</v>
      </c>
      <c r="L283">
        <v>13</v>
      </c>
      <c r="M283">
        <v>9</v>
      </c>
      <c r="N283">
        <v>1</v>
      </c>
      <c r="O283">
        <v>15</v>
      </c>
      <c r="P283">
        <v>31</v>
      </c>
      <c r="Q283">
        <v>1</v>
      </c>
      <c r="R283">
        <v>2</v>
      </c>
      <c r="T283">
        <f t="shared" si="36"/>
        <v>2.1944000000000004</v>
      </c>
      <c r="V283">
        <f t="shared" si="37"/>
        <v>4.3888000000000007</v>
      </c>
      <c r="AB283">
        <f t="shared" si="38"/>
        <v>8</v>
      </c>
      <c r="AC283">
        <f t="shared" si="39"/>
        <v>123</v>
      </c>
      <c r="AD283" s="2">
        <f t="shared" si="40"/>
        <v>0.25203252032520324</v>
      </c>
      <c r="AE283" s="2">
        <f t="shared" si="41"/>
        <v>0.13008130081300814</v>
      </c>
      <c r="AF283" s="3">
        <f t="shared" si="42"/>
        <v>87.804878048780495</v>
      </c>
      <c r="AG283">
        <f t="shared" si="43"/>
        <v>46.000000000000014</v>
      </c>
      <c r="AH283">
        <f t="shared" si="44"/>
        <v>21.944000000000003</v>
      </c>
    </row>
    <row r="284" spans="1:34" x14ac:dyDescent="0.25">
      <c r="A284" t="s">
        <v>309</v>
      </c>
      <c r="B284" t="s">
        <v>48</v>
      </c>
      <c r="C284">
        <v>30</v>
      </c>
      <c r="D284">
        <v>0.19800000000000001</v>
      </c>
      <c r="E284">
        <v>0.28199999999999997</v>
      </c>
      <c r="F284">
        <v>0.36899999999999999</v>
      </c>
      <c r="G284">
        <v>111</v>
      </c>
      <c r="H284">
        <v>22</v>
      </c>
      <c r="I284">
        <v>4</v>
      </c>
      <c r="J284">
        <v>0</v>
      </c>
      <c r="K284">
        <v>5</v>
      </c>
      <c r="L284">
        <v>15</v>
      </c>
      <c r="M284">
        <v>17</v>
      </c>
      <c r="N284">
        <v>1</v>
      </c>
      <c r="O284">
        <v>12</v>
      </c>
      <c r="P284">
        <v>34</v>
      </c>
      <c r="Q284">
        <v>2</v>
      </c>
      <c r="R284">
        <v>3</v>
      </c>
      <c r="T284">
        <f t="shared" si="36"/>
        <v>1.0501333333333331</v>
      </c>
      <c r="V284">
        <f t="shared" si="37"/>
        <v>2.1002666666666663</v>
      </c>
      <c r="AB284">
        <f t="shared" si="38"/>
        <v>2</v>
      </c>
      <c r="AC284">
        <f t="shared" si="39"/>
        <v>124</v>
      </c>
      <c r="AD284" s="2">
        <f t="shared" si="40"/>
        <v>0.27419354838709675</v>
      </c>
      <c r="AE284" s="2">
        <f t="shared" si="41"/>
        <v>0.10483870967741936</v>
      </c>
      <c r="AF284" s="3">
        <f t="shared" si="42"/>
        <v>83.064516129032256</v>
      </c>
      <c r="AG284">
        <f t="shared" si="43"/>
        <v>170.99999999999997</v>
      </c>
      <c r="AH284">
        <f t="shared" si="44"/>
        <v>10.501333333333331</v>
      </c>
    </row>
    <row r="285" spans="1:34" x14ac:dyDescent="0.25">
      <c r="A285" t="s">
        <v>310</v>
      </c>
      <c r="B285" t="s">
        <v>33</v>
      </c>
      <c r="C285">
        <v>31</v>
      </c>
      <c r="D285">
        <v>0.112</v>
      </c>
      <c r="E285">
        <v>0.19800000000000001</v>
      </c>
      <c r="F285">
        <v>0.21299999999999999</v>
      </c>
      <c r="G285">
        <v>80</v>
      </c>
      <c r="H285">
        <v>9</v>
      </c>
      <c r="I285">
        <v>2</v>
      </c>
      <c r="J285">
        <v>0</v>
      </c>
      <c r="K285">
        <v>2</v>
      </c>
      <c r="L285">
        <v>3</v>
      </c>
      <c r="M285">
        <v>10</v>
      </c>
      <c r="N285">
        <v>0</v>
      </c>
      <c r="O285">
        <v>9</v>
      </c>
      <c r="P285">
        <v>29</v>
      </c>
      <c r="Q285">
        <v>0</v>
      </c>
      <c r="R285">
        <v>1</v>
      </c>
      <c r="T285">
        <f t="shared" si="36"/>
        <v>1.5376451612903224</v>
      </c>
      <c r="V285">
        <f t="shared" si="37"/>
        <v>3.0752903225806447</v>
      </c>
      <c r="AB285">
        <f t="shared" si="38"/>
        <v>6</v>
      </c>
      <c r="AC285">
        <f t="shared" si="39"/>
        <v>89</v>
      </c>
      <c r="AD285" s="2">
        <f t="shared" si="40"/>
        <v>0.3258426966292135</v>
      </c>
      <c r="AE285" s="2">
        <f t="shared" si="41"/>
        <v>0.10112359550561797</v>
      </c>
      <c r="AF285" s="3">
        <f t="shared" si="42"/>
        <v>77.528089887640448</v>
      </c>
      <c r="AG285">
        <f t="shared" si="43"/>
        <v>100.99999999999999</v>
      </c>
      <c r="AH285">
        <f t="shared" si="44"/>
        <v>15.376451612903224</v>
      </c>
    </row>
    <row r="286" spans="1:34" x14ac:dyDescent="0.25">
      <c r="A286" t="s">
        <v>311</v>
      </c>
      <c r="B286" t="s">
        <v>33</v>
      </c>
      <c r="C286">
        <v>31</v>
      </c>
      <c r="D286">
        <v>0.22800000000000001</v>
      </c>
      <c r="E286">
        <v>0.26900000000000002</v>
      </c>
      <c r="F286">
        <v>0.373</v>
      </c>
      <c r="G286">
        <v>193</v>
      </c>
      <c r="H286">
        <v>44</v>
      </c>
      <c r="I286">
        <v>10</v>
      </c>
      <c r="J286">
        <v>0</v>
      </c>
      <c r="K286">
        <v>6</v>
      </c>
      <c r="L286">
        <v>18</v>
      </c>
      <c r="M286">
        <v>23</v>
      </c>
      <c r="N286">
        <v>1</v>
      </c>
      <c r="O286">
        <v>11</v>
      </c>
      <c r="P286">
        <v>70</v>
      </c>
      <c r="Q286">
        <v>4</v>
      </c>
      <c r="R286">
        <v>0</v>
      </c>
      <c r="T286">
        <f t="shared" si="36"/>
        <v>4.2991935483870964</v>
      </c>
      <c r="V286">
        <f t="shared" si="37"/>
        <v>8.5983870967741929</v>
      </c>
      <c r="AB286">
        <f t="shared" si="38"/>
        <v>6</v>
      </c>
      <c r="AC286">
        <f t="shared" si="39"/>
        <v>205</v>
      </c>
      <c r="AD286" s="2">
        <f t="shared" si="40"/>
        <v>0.34146341463414637</v>
      </c>
      <c r="AE286" s="2">
        <f t="shared" si="41"/>
        <v>5.8536585365853662E-2</v>
      </c>
      <c r="AF286" s="3">
        <f t="shared" si="42"/>
        <v>71.707317073170728</v>
      </c>
      <c r="AG286">
        <f t="shared" si="43"/>
        <v>145</v>
      </c>
      <c r="AH286">
        <f t="shared" si="44"/>
        <v>42.991935483870961</v>
      </c>
    </row>
    <row r="287" spans="1:34" x14ac:dyDescent="0.25">
      <c r="A287" t="s">
        <v>312</v>
      </c>
      <c r="B287" t="s">
        <v>26</v>
      </c>
      <c r="C287">
        <v>31</v>
      </c>
      <c r="D287">
        <v>0.19600000000000001</v>
      </c>
      <c r="E287">
        <v>0.30199999999999999</v>
      </c>
      <c r="F287">
        <v>0.45700000000000002</v>
      </c>
      <c r="G287">
        <v>46</v>
      </c>
      <c r="H287">
        <v>9</v>
      </c>
      <c r="I287">
        <v>0</v>
      </c>
      <c r="J287">
        <v>0</v>
      </c>
      <c r="K287">
        <v>4</v>
      </c>
      <c r="L287">
        <v>10</v>
      </c>
      <c r="M287">
        <v>9</v>
      </c>
      <c r="N287">
        <v>0</v>
      </c>
      <c r="O287">
        <v>7</v>
      </c>
      <c r="P287">
        <v>8</v>
      </c>
      <c r="Q287">
        <v>1</v>
      </c>
      <c r="R287">
        <v>0</v>
      </c>
      <c r="T287">
        <f t="shared" si="36"/>
        <v>3.0698387096774198</v>
      </c>
      <c r="V287">
        <f t="shared" si="37"/>
        <v>6.1396774193548396</v>
      </c>
      <c r="AB287">
        <f t="shared" si="38"/>
        <v>10</v>
      </c>
      <c r="AC287">
        <f t="shared" si="39"/>
        <v>53</v>
      </c>
      <c r="AD287" s="2">
        <f t="shared" si="40"/>
        <v>0.15094339622641509</v>
      </c>
      <c r="AE287" s="2">
        <f t="shared" si="41"/>
        <v>0.13207547169811321</v>
      </c>
      <c r="AF287" s="3">
        <f t="shared" si="42"/>
        <v>98.113207547169807</v>
      </c>
      <c r="AG287">
        <f t="shared" si="43"/>
        <v>261</v>
      </c>
      <c r="AH287">
        <f t="shared" si="44"/>
        <v>30.698387096774198</v>
      </c>
    </row>
    <row r="288" spans="1:34" x14ac:dyDescent="0.25">
      <c r="A288" t="s">
        <v>313</v>
      </c>
      <c r="B288" t="s">
        <v>48</v>
      </c>
      <c r="C288">
        <v>31</v>
      </c>
      <c r="D288">
        <v>0.253</v>
      </c>
      <c r="E288">
        <v>0.32800000000000001</v>
      </c>
      <c r="F288">
        <v>0.37</v>
      </c>
      <c r="G288">
        <v>162</v>
      </c>
      <c r="H288">
        <v>41</v>
      </c>
      <c r="I288">
        <v>7</v>
      </c>
      <c r="J288">
        <v>3</v>
      </c>
      <c r="K288">
        <v>2</v>
      </c>
      <c r="L288">
        <v>31</v>
      </c>
      <c r="M288">
        <v>13</v>
      </c>
      <c r="N288">
        <v>2</v>
      </c>
      <c r="O288">
        <v>16</v>
      </c>
      <c r="P288">
        <v>37</v>
      </c>
      <c r="Q288">
        <v>12</v>
      </c>
      <c r="R288">
        <v>4</v>
      </c>
      <c r="T288">
        <f t="shared" si="36"/>
        <v>1.1987096774193549</v>
      </c>
      <c r="V288">
        <f t="shared" si="37"/>
        <v>2.3974193548387097</v>
      </c>
      <c r="AB288">
        <f t="shared" si="38"/>
        <v>2</v>
      </c>
      <c r="AC288">
        <f t="shared" si="39"/>
        <v>180</v>
      </c>
      <c r="AD288" s="2">
        <f t="shared" si="40"/>
        <v>0.20555555555555555</v>
      </c>
      <c r="AE288" s="2">
        <f t="shared" si="41"/>
        <v>0.1</v>
      </c>
      <c r="AF288" s="3">
        <f t="shared" si="42"/>
        <v>89.444444444444443</v>
      </c>
      <c r="AG288">
        <f t="shared" si="43"/>
        <v>117</v>
      </c>
      <c r="AH288">
        <f t="shared" si="44"/>
        <v>11.987096774193549</v>
      </c>
    </row>
    <row r="289" spans="1:34" x14ac:dyDescent="0.25">
      <c r="A289" t="s">
        <v>314</v>
      </c>
      <c r="B289" t="s">
        <v>48</v>
      </c>
      <c r="C289">
        <v>31</v>
      </c>
      <c r="D289">
        <v>0.19600000000000001</v>
      </c>
      <c r="E289">
        <v>0.32800000000000001</v>
      </c>
      <c r="F289">
        <v>0.41199999999999998</v>
      </c>
      <c r="G289">
        <v>51</v>
      </c>
      <c r="H289">
        <v>10</v>
      </c>
      <c r="I289">
        <v>3</v>
      </c>
      <c r="J289">
        <v>1</v>
      </c>
      <c r="K289">
        <v>2</v>
      </c>
      <c r="L289">
        <v>8</v>
      </c>
      <c r="M289">
        <v>3</v>
      </c>
      <c r="N289">
        <v>0</v>
      </c>
      <c r="O289">
        <v>10</v>
      </c>
      <c r="P289">
        <v>23</v>
      </c>
      <c r="Q289">
        <v>2</v>
      </c>
      <c r="R289">
        <v>1</v>
      </c>
      <c r="T289">
        <f t="shared" si="36"/>
        <v>0.57987096774193547</v>
      </c>
      <c r="V289">
        <f t="shared" si="37"/>
        <v>1.1597419354838709</v>
      </c>
      <c r="AB289">
        <f t="shared" si="38"/>
        <v>2</v>
      </c>
      <c r="AC289">
        <f t="shared" si="39"/>
        <v>61</v>
      </c>
      <c r="AD289" s="2">
        <f t="shared" si="40"/>
        <v>0.37704918032786883</v>
      </c>
      <c r="AE289" s="2">
        <f t="shared" si="41"/>
        <v>0.16393442622950818</v>
      </c>
      <c r="AF289" s="3">
        <f t="shared" si="42"/>
        <v>78.688524590163937</v>
      </c>
      <c r="AG289">
        <f t="shared" si="43"/>
        <v>215.99999999999997</v>
      </c>
      <c r="AH289">
        <f t="shared" si="44"/>
        <v>5.7987096774193549</v>
      </c>
    </row>
    <row r="290" spans="1:34" x14ac:dyDescent="0.25">
      <c r="A290" t="s">
        <v>315</v>
      </c>
      <c r="B290" t="s">
        <v>31</v>
      </c>
      <c r="C290">
        <v>31</v>
      </c>
      <c r="D290">
        <v>0.14799999999999999</v>
      </c>
      <c r="E290">
        <v>0.20699999999999999</v>
      </c>
      <c r="F290">
        <v>0.185</v>
      </c>
      <c r="G290">
        <v>27</v>
      </c>
      <c r="H290">
        <v>4</v>
      </c>
      <c r="I290">
        <v>1</v>
      </c>
      <c r="J290">
        <v>0</v>
      </c>
      <c r="K290">
        <v>0</v>
      </c>
      <c r="L290">
        <v>3</v>
      </c>
      <c r="M290">
        <v>0</v>
      </c>
      <c r="N290">
        <v>0</v>
      </c>
      <c r="O290">
        <v>2</v>
      </c>
      <c r="P290">
        <v>11</v>
      </c>
      <c r="Q290">
        <v>1</v>
      </c>
      <c r="R290">
        <v>1</v>
      </c>
      <c r="T290">
        <f t="shared" si="36"/>
        <v>0.39651612903225814</v>
      </c>
      <c r="V290">
        <f t="shared" si="37"/>
        <v>0.79303225806451627</v>
      </c>
      <c r="AB290">
        <f t="shared" si="38"/>
        <v>8</v>
      </c>
      <c r="AC290">
        <f t="shared" si="39"/>
        <v>29</v>
      </c>
      <c r="AD290" s="2">
        <f t="shared" si="40"/>
        <v>0.37931034482758619</v>
      </c>
      <c r="AE290" s="2">
        <f t="shared" si="41"/>
        <v>6.8965517241379309E-2</v>
      </c>
      <c r="AF290" s="3">
        <f t="shared" si="42"/>
        <v>68.965517241379317</v>
      </c>
      <c r="AG290">
        <f t="shared" si="43"/>
        <v>37.000000000000007</v>
      </c>
      <c r="AH290">
        <f t="shared" si="44"/>
        <v>3.9651612903225812</v>
      </c>
    </row>
    <row r="291" spans="1:34" x14ac:dyDescent="0.25">
      <c r="A291" t="s">
        <v>316</v>
      </c>
      <c r="B291" t="s">
        <v>33</v>
      </c>
      <c r="C291">
        <v>31</v>
      </c>
      <c r="D291">
        <v>9.0999999999999998E-2</v>
      </c>
      <c r="E291">
        <v>0.16700000000000001</v>
      </c>
      <c r="F291">
        <v>0.36399999999999999</v>
      </c>
      <c r="G291">
        <v>11</v>
      </c>
      <c r="H291">
        <v>1</v>
      </c>
      <c r="I291">
        <v>0</v>
      </c>
      <c r="J291">
        <v>0</v>
      </c>
      <c r="K291">
        <v>1</v>
      </c>
      <c r="L291">
        <v>1</v>
      </c>
      <c r="M291">
        <v>1</v>
      </c>
      <c r="N291">
        <v>0</v>
      </c>
      <c r="O291">
        <v>1</v>
      </c>
      <c r="P291">
        <v>2</v>
      </c>
      <c r="Q291">
        <v>0</v>
      </c>
      <c r="R291">
        <v>0</v>
      </c>
      <c r="T291">
        <f t="shared" si="36"/>
        <v>0.42348387096774198</v>
      </c>
      <c r="V291">
        <f t="shared" si="37"/>
        <v>0.84696774193548396</v>
      </c>
      <c r="AB291">
        <f t="shared" si="38"/>
        <v>6</v>
      </c>
      <c r="AC291">
        <f t="shared" si="39"/>
        <v>12</v>
      </c>
      <c r="AD291" s="2">
        <f t="shared" si="40"/>
        <v>0.16666666666666666</v>
      </c>
      <c r="AE291" s="2">
        <f t="shared" si="41"/>
        <v>8.3333333333333329E-2</v>
      </c>
      <c r="AF291" s="3">
        <f t="shared" si="42"/>
        <v>91.666666666666671</v>
      </c>
      <c r="AG291">
        <f t="shared" si="43"/>
        <v>273</v>
      </c>
      <c r="AH291">
        <f t="shared" si="44"/>
        <v>4.2348387096774198</v>
      </c>
    </row>
    <row r="292" spans="1:34" x14ac:dyDescent="0.25">
      <c r="A292" t="s">
        <v>317</v>
      </c>
      <c r="B292" t="s">
        <v>33</v>
      </c>
      <c r="C292">
        <v>31</v>
      </c>
      <c r="D292">
        <v>0.20200000000000001</v>
      </c>
      <c r="E292">
        <v>0.20899999999999999</v>
      </c>
      <c r="F292">
        <v>0.27200000000000002</v>
      </c>
      <c r="G292">
        <v>114</v>
      </c>
      <c r="H292">
        <v>23</v>
      </c>
      <c r="I292">
        <v>2</v>
      </c>
      <c r="J292">
        <v>0</v>
      </c>
      <c r="K292">
        <v>2</v>
      </c>
      <c r="L292">
        <v>13</v>
      </c>
      <c r="M292">
        <v>11</v>
      </c>
      <c r="N292">
        <v>0</v>
      </c>
      <c r="O292">
        <v>1</v>
      </c>
      <c r="P292">
        <v>23</v>
      </c>
      <c r="Q292">
        <v>1</v>
      </c>
      <c r="R292">
        <v>0</v>
      </c>
      <c r="T292">
        <f t="shared" si="36"/>
        <v>1.6790322580645161</v>
      </c>
      <c r="V292">
        <f t="shared" si="37"/>
        <v>3.3580645161290321</v>
      </c>
      <c r="AB292">
        <f t="shared" si="38"/>
        <v>6</v>
      </c>
      <c r="AC292">
        <f t="shared" si="39"/>
        <v>115</v>
      </c>
      <c r="AD292" s="2">
        <f t="shared" si="40"/>
        <v>0.2</v>
      </c>
      <c r="AE292" s="2">
        <f t="shared" si="41"/>
        <v>8.6956521739130436E-3</v>
      </c>
      <c r="AF292" s="3">
        <f t="shared" si="42"/>
        <v>80.869565217391312</v>
      </c>
      <c r="AG292">
        <f t="shared" si="43"/>
        <v>70</v>
      </c>
      <c r="AH292">
        <f t="shared" si="44"/>
        <v>16.79032258064516</v>
      </c>
    </row>
    <row r="293" spans="1:34" x14ac:dyDescent="0.25">
      <c r="A293" t="s">
        <v>318</v>
      </c>
      <c r="B293" t="s">
        <v>19</v>
      </c>
      <c r="C293">
        <v>31</v>
      </c>
      <c r="D293">
        <v>0.34300000000000003</v>
      </c>
      <c r="E293">
        <v>0.36099999999999999</v>
      </c>
      <c r="F293">
        <v>0.34300000000000003</v>
      </c>
      <c r="G293">
        <v>35</v>
      </c>
      <c r="H293">
        <v>12</v>
      </c>
      <c r="I293">
        <v>0</v>
      </c>
      <c r="J293">
        <v>0</v>
      </c>
      <c r="K293">
        <v>0</v>
      </c>
      <c r="L293">
        <v>4</v>
      </c>
      <c r="M293">
        <v>2</v>
      </c>
      <c r="N293">
        <v>1</v>
      </c>
      <c r="O293">
        <v>0</v>
      </c>
      <c r="P293">
        <v>10</v>
      </c>
      <c r="Q293">
        <v>0</v>
      </c>
      <c r="R293">
        <v>0</v>
      </c>
      <c r="T293">
        <f t="shared" si="36"/>
        <v>0.43548387096774188</v>
      </c>
      <c r="V293">
        <f t="shared" si="37"/>
        <v>0.87096774193548376</v>
      </c>
      <c r="AB293">
        <f t="shared" si="38"/>
        <v>10</v>
      </c>
      <c r="AC293">
        <f t="shared" si="39"/>
        <v>36</v>
      </c>
      <c r="AD293" s="2">
        <f t="shared" si="40"/>
        <v>0.27777777777777779</v>
      </c>
      <c r="AE293" s="2">
        <f t="shared" si="41"/>
        <v>2.7777777777777776E-2</v>
      </c>
      <c r="AF293" s="3">
        <f t="shared" si="42"/>
        <v>75</v>
      </c>
      <c r="AG293">
        <f t="shared" si="43"/>
        <v>0</v>
      </c>
      <c r="AH293">
        <f t="shared" si="44"/>
        <v>4.354838709677419</v>
      </c>
    </row>
    <row r="294" spans="1:34" x14ac:dyDescent="0.25">
      <c r="A294" t="s">
        <v>319</v>
      </c>
      <c r="B294" t="s">
        <v>21</v>
      </c>
      <c r="C294">
        <v>31</v>
      </c>
      <c r="D294">
        <v>0.26500000000000001</v>
      </c>
      <c r="E294">
        <v>0.32600000000000001</v>
      </c>
      <c r="F294">
        <v>0.495</v>
      </c>
      <c r="G294">
        <v>471</v>
      </c>
      <c r="H294">
        <v>125</v>
      </c>
      <c r="I294">
        <v>30</v>
      </c>
      <c r="J294">
        <v>0</v>
      </c>
      <c r="K294">
        <v>26</v>
      </c>
      <c r="L294">
        <v>64</v>
      </c>
      <c r="M294">
        <v>78</v>
      </c>
      <c r="N294">
        <v>3</v>
      </c>
      <c r="O294">
        <v>42</v>
      </c>
      <c r="P294">
        <v>82</v>
      </c>
      <c r="Q294">
        <v>6</v>
      </c>
      <c r="R294">
        <v>3</v>
      </c>
      <c r="T294">
        <f t="shared" si="36"/>
        <v>2.6867741935483869</v>
      </c>
      <c r="V294">
        <f t="shared" si="37"/>
        <v>5.3735483870967737</v>
      </c>
      <c r="AB294">
        <f t="shared" si="38"/>
        <v>1</v>
      </c>
      <c r="AC294">
        <f t="shared" si="39"/>
        <v>516</v>
      </c>
      <c r="AD294" s="2">
        <f t="shared" si="40"/>
        <v>0.15891472868217055</v>
      </c>
      <c r="AE294" s="2">
        <f t="shared" si="41"/>
        <v>8.7209302325581398E-2</v>
      </c>
      <c r="AF294" s="3">
        <f t="shared" si="42"/>
        <v>92.829457364341081</v>
      </c>
      <c r="AG294">
        <f t="shared" si="43"/>
        <v>229.99999999999997</v>
      </c>
      <c r="AH294">
        <f t="shared" si="44"/>
        <v>26.86774193548387</v>
      </c>
    </row>
    <row r="295" spans="1:34" x14ac:dyDescent="0.25">
      <c r="A295" t="s">
        <v>320</v>
      </c>
      <c r="B295" t="s">
        <v>31</v>
      </c>
      <c r="C295">
        <v>31</v>
      </c>
      <c r="D295">
        <v>0.19400000000000001</v>
      </c>
      <c r="E295">
        <v>0.24199999999999999</v>
      </c>
      <c r="F295">
        <v>0.22600000000000001</v>
      </c>
      <c r="G295">
        <v>31</v>
      </c>
      <c r="H295">
        <v>6</v>
      </c>
      <c r="I295">
        <v>1</v>
      </c>
      <c r="J295">
        <v>0</v>
      </c>
      <c r="K295">
        <v>0</v>
      </c>
      <c r="L295">
        <v>4</v>
      </c>
      <c r="M295">
        <v>2</v>
      </c>
      <c r="N295">
        <v>0</v>
      </c>
      <c r="O295">
        <v>2</v>
      </c>
      <c r="P295">
        <v>10</v>
      </c>
      <c r="Q295">
        <v>1</v>
      </c>
      <c r="R295">
        <v>0</v>
      </c>
      <c r="T295">
        <f t="shared" si="36"/>
        <v>0.45883870967741941</v>
      </c>
      <c r="V295">
        <f t="shared" si="37"/>
        <v>0.91767741935483882</v>
      </c>
      <c r="AB295">
        <f t="shared" si="38"/>
        <v>8</v>
      </c>
      <c r="AC295">
        <f t="shared" si="39"/>
        <v>33</v>
      </c>
      <c r="AD295" s="2">
        <f t="shared" si="40"/>
        <v>0.30303030303030304</v>
      </c>
      <c r="AE295" s="2">
        <f t="shared" si="41"/>
        <v>6.0606060606060608E-2</v>
      </c>
      <c r="AF295" s="3">
        <f t="shared" si="42"/>
        <v>75.757575757575751</v>
      </c>
      <c r="AG295">
        <f t="shared" si="43"/>
        <v>32</v>
      </c>
      <c r="AH295">
        <f t="shared" si="44"/>
        <v>4.588387096774194</v>
      </c>
    </row>
    <row r="296" spans="1:34" x14ac:dyDescent="0.25">
      <c r="A296" t="s">
        <v>321</v>
      </c>
      <c r="B296" t="s">
        <v>33</v>
      </c>
      <c r="C296">
        <v>31</v>
      </c>
      <c r="D296">
        <v>0.18</v>
      </c>
      <c r="E296">
        <v>0.252</v>
      </c>
      <c r="F296">
        <v>0.25900000000000001</v>
      </c>
      <c r="G296">
        <v>189</v>
      </c>
      <c r="H296">
        <v>34</v>
      </c>
      <c r="I296">
        <v>9</v>
      </c>
      <c r="J296">
        <v>0</v>
      </c>
      <c r="K296">
        <v>2</v>
      </c>
      <c r="L296">
        <v>14</v>
      </c>
      <c r="M296">
        <v>11</v>
      </c>
      <c r="N296">
        <v>0</v>
      </c>
      <c r="O296">
        <v>19</v>
      </c>
      <c r="P296">
        <v>48</v>
      </c>
      <c r="Q296">
        <v>4</v>
      </c>
      <c r="R296">
        <v>1</v>
      </c>
      <c r="T296">
        <f t="shared" si="36"/>
        <v>3.322451612903226</v>
      </c>
      <c r="V296">
        <f t="shared" si="37"/>
        <v>6.644903225806452</v>
      </c>
      <c r="AB296">
        <f t="shared" si="38"/>
        <v>6</v>
      </c>
      <c r="AC296">
        <f t="shared" si="39"/>
        <v>208</v>
      </c>
      <c r="AD296" s="2">
        <f t="shared" si="40"/>
        <v>0.23076923076923078</v>
      </c>
      <c r="AE296" s="2">
        <f t="shared" si="41"/>
        <v>9.1346153846153841E-2</v>
      </c>
      <c r="AF296" s="3">
        <f t="shared" si="42"/>
        <v>86.057692307692307</v>
      </c>
      <c r="AG296">
        <f t="shared" si="43"/>
        <v>79.000000000000014</v>
      </c>
      <c r="AH296">
        <f t="shared" si="44"/>
        <v>33.22451612903226</v>
      </c>
    </row>
    <row r="297" spans="1:34" x14ac:dyDescent="0.25">
      <c r="A297" t="s">
        <v>322</v>
      </c>
      <c r="B297" t="s">
        <v>19</v>
      </c>
      <c r="C297">
        <v>31</v>
      </c>
      <c r="D297">
        <v>0.16700000000000001</v>
      </c>
      <c r="E297">
        <v>0.33300000000000002</v>
      </c>
      <c r="F297">
        <v>0.16700000000000001</v>
      </c>
      <c r="G297">
        <v>6</v>
      </c>
      <c r="H297">
        <v>1</v>
      </c>
      <c r="I297">
        <v>0</v>
      </c>
      <c r="J297">
        <v>0</v>
      </c>
      <c r="K297">
        <v>0</v>
      </c>
      <c r="L297">
        <v>1</v>
      </c>
      <c r="M297">
        <v>2</v>
      </c>
      <c r="N297">
        <v>1</v>
      </c>
      <c r="O297">
        <v>1</v>
      </c>
      <c r="P297">
        <v>3</v>
      </c>
      <c r="Q297">
        <v>0</v>
      </c>
      <c r="R297">
        <v>0</v>
      </c>
      <c r="T297">
        <f t="shared" si="36"/>
        <v>0.11290322580645162</v>
      </c>
      <c r="V297">
        <f t="shared" si="37"/>
        <v>0.22580645161290325</v>
      </c>
      <c r="AB297">
        <f t="shared" si="38"/>
        <v>10</v>
      </c>
      <c r="AC297">
        <f t="shared" si="39"/>
        <v>8</v>
      </c>
      <c r="AD297" s="2">
        <f t="shared" si="40"/>
        <v>0.375</v>
      </c>
      <c r="AE297" s="2">
        <f t="shared" si="41"/>
        <v>0.25</v>
      </c>
      <c r="AF297" s="3">
        <f t="shared" si="42"/>
        <v>87.5</v>
      </c>
      <c r="AG297">
        <f t="shared" si="43"/>
        <v>0</v>
      </c>
      <c r="AH297">
        <f t="shared" si="44"/>
        <v>1.1290322580645162</v>
      </c>
    </row>
    <row r="298" spans="1:34" x14ac:dyDescent="0.25">
      <c r="A298" t="s">
        <v>323</v>
      </c>
      <c r="B298" t="s">
        <v>60</v>
      </c>
      <c r="C298">
        <v>31</v>
      </c>
      <c r="D298">
        <v>0.223</v>
      </c>
      <c r="E298">
        <v>0.27900000000000003</v>
      </c>
      <c r="F298">
        <v>0.31900000000000001</v>
      </c>
      <c r="G298">
        <v>310</v>
      </c>
      <c r="H298">
        <v>69</v>
      </c>
      <c r="I298">
        <v>18</v>
      </c>
      <c r="J298">
        <v>3</v>
      </c>
      <c r="K298">
        <v>2</v>
      </c>
      <c r="L298">
        <v>34</v>
      </c>
      <c r="M298">
        <v>27</v>
      </c>
      <c r="N298">
        <v>9</v>
      </c>
      <c r="O298">
        <v>16</v>
      </c>
      <c r="P298">
        <v>76</v>
      </c>
      <c r="Q298">
        <v>12</v>
      </c>
      <c r="R298">
        <v>2</v>
      </c>
      <c r="T298">
        <f t="shared" si="36"/>
        <v>7.814193548387097</v>
      </c>
      <c r="V298">
        <f t="shared" si="37"/>
        <v>15.628387096774194</v>
      </c>
      <c r="AB298">
        <f t="shared" si="38"/>
        <v>8</v>
      </c>
      <c r="AC298">
        <f t="shared" si="39"/>
        <v>335</v>
      </c>
      <c r="AD298" s="2">
        <f t="shared" si="40"/>
        <v>0.22686567164179106</v>
      </c>
      <c r="AE298" s="2">
        <f t="shared" si="41"/>
        <v>7.4626865671641784E-2</v>
      </c>
      <c r="AF298" s="3">
        <f t="shared" si="42"/>
        <v>84.776119402985074</v>
      </c>
      <c r="AG298">
        <f t="shared" si="43"/>
        <v>96</v>
      </c>
      <c r="AH298">
        <f t="shared" si="44"/>
        <v>78.141935483870967</v>
      </c>
    </row>
    <row r="299" spans="1:34" x14ac:dyDescent="0.25">
      <c r="A299" t="s">
        <v>324</v>
      </c>
      <c r="B299" t="s">
        <v>29</v>
      </c>
      <c r="C299">
        <v>31</v>
      </c>
      <c r="D299">
        <v>0.16700000000000001</v>
      </c>
      <c r="E299">
        <v>0.27100000000000002</v>
      </c>
      <c r="F299">
        <v>0.254</v>
      </c>
      <c r="G299">
        <v>209</v>
      </c>
      <c r="H299">
        <v>35</v>
      </c>
      <c r="I299">
        <v>8</v>
      </c>
      <c r="J299">
        <v>2</v>
      </c>
      <c r="K299">
        <v>2</v>
      </c>
      <c r="L299">
        <v>19</v>
      </c>
      <c r="M299">
        <v>18</v>
      </c>
      <c r="N299">
        <v>3</v>
      </c>
      <c r="O299">
        <v>27</v>
      </c>
      <c r="P299">
        <v>58</v>
      </c>
      <c r="Q299">
        <v>1</v>
      </c>
      <c r="R299">
        <v>0</v>
      </c>
      <c r="T299">
        <f t="shared" si="36"/>
        <v>1.3513870967741937</v>
      </c>
      <c r="V299">
        <f t="shared" si="37"/>
        <v>2.7027741935483873</v>
      </c>
      <c r="AB299">
        <f t="shared" si="38"/>
        <v>2</v>
      </c>
      <c r="AC299">
        <f t="shared" si="39"/>
        <v>239</v>
      </c>
      <c r="AD299" s="2">
        <f t="shared" si="40"/>
        <v>0.24267782426778242</v>
      </c>
      <c r="AE299" s="2">
        <f t="shared" si="41"/>
        <v>0.12552301255230125</v>
      </c>
      <c r="AF299" s="3">
        <f t="shared" si="42"/>
        <v>88.28451882845188</v>
      </c>
      <c r="AG299">
        <f t="shared" si="43"/>
        <v>87</v>
      </c>
      <c r="AH299">
        <f t="shared" si="44"/>
        <v>13.513870967741937</v>
      </c>
    </row>
    <row r="300" spans="1:34" x14ac:dyDescent="0.25">
      <c r="A300" t="s">
        <v>325</v>
      </c>
      <c r="B300" t="s">
        <v>31</v>
      </c>
      <c r="C300">
        <v>31</v>
      </c>
      <c r="D300">
        <v>0.125</v>
      </c>
      <c r="E300">
        <v>0.125</v>
      </c>
      <c r="F300">
        <v>0.125</v>
      </c>
      <c r="G300">
        <v>8</v>
      </c>
      <c r="H300">
        <v>1</v>
      </c>
      <c r="I300">
        <v>0</v>
      </c>
      <c r="J300">
        <v>0</v>
      </c>
      <c r="K300">
        <v>0</v>
      </c>
      <c r="L300">
        <v>1</v>
      </c>
      <c r="M300">
        <v>1</v>
      </c>
      <c r="N300">
        <v>0</v>
      </c>
      <c r="O300">
        <v>0</v>
      </c>
      <c r="P300">
        <v>1</v>
      </c>
      <c r="Q300">
        <v>0</v>
      </c>
      <c r="R300">
        <v>0</v>
      </c>
      <c r="T300">
        <f t="shared" si="36"/>
        <v>9.0322580645161285E-2</v>
      </c>
      <c r="V300">
        <f t="shared" si="37"/>
        <v>0.18064516129032257</v>
      </c>
      <c r="AB300">
        <f t="shared" si="38"/>
        <v>8</v>
      </c>
      <c r="AC300">
        <f t="shared" si="39"/>
        <v>8</v>
      </c>
      <c r="AD300" s="2">
        <f t="shared" si="40"/>
        <v>0.125</v>
      </c>
      <c r="AE300" s="2">
        <f t="shared" si="41"/>
        <v>0</v>
      </c>
      <c r="AF300" s="3">
        <f t="shared" si="42"/>
        <v>87.5</v>
      </c>
      <c r="AG300">
        <f t="shared" si="43"/>
        <v>0</v>
      </c>
      <c r="AH300">
        <f t="shared" si="44"/>
        <v>0.90322580645161288</v>
      </c>
    </row>
    <row r="301" spans="1:34" x14ac:dyDescent="0.25">
      <c r="A301" t="s">
        <v>326</v>
      </c>
      <c r="B301" t="s">
        <v>21</v>
      </c>
      <c r="C301">
        <v>31</v>
      </c>
      <c r="D301">
        <v>0.22900000000000001</v>
      </c>
      <c r="E301">
        <v>0.309</v>
      </c>
      <c r="F301">
        <v>0.4</v>
      </c>
      <c r="G301">
        <v>70</v>
      </c>
      <c r="H301">
        <v>16</v>
      </c>
      <c r="I301">
        <v>5</v>
      </c>
      <c r="J301">
        <v>2</v>
      </c>
      <c r="K301">
        <v>1</v>
      </c>
      <c r="L301">
        <v>8</v>
      </c>
      <c r="M301">
        <v>10</v>
      </c>
      <c r="N301">
        <v>0</v>
      </c>
      <c r="O301">
        <v>9</v>
      </c>
      <c r="P301">
        <v>21</v>
      </c>
      <c r="Q301">
        <v>1</v>
      </c>
      <c r="R301">
        <v>0</v>
      </c>
      <c r="T301">
        <f t="shared" si="36"/>
        <v>0.32595161290322583</v>
      </c>
      <c r="V301">
        <f t="shared" si="37"/>
        <v>0.65190322580645166</v>
      </c>
      <c r="AB301">
        <f t="shared" si="38"/>
        <v>1</v>
      </c>
      <c r="AC301">
        <f t="shared" si="39"/>
        <v>79</v>
      </c>
      <c r="AD301" s="2">
        <f t="shared" si="40"/>
        <v>0.26582278481012656</v>
      </c>
      <c r="AE301" s="2">
        <f t="shared" si="41"/>
        <v>0.11392405063291139</v>
      </c>
      <c r="AF301" s="3">
        <f t="shared" si="42"/>
        <v>84.810126582278485</v>
      </c>
      <c r="AG301">
        <f t="shared" si="43"/>
        <v>171</v>
      </c>
      <c r="AH301">
        <f t="shared" si="44"/>
        <v>3.2595161290322583</v>
      </c>
    </row>
    <row r="302" spans="1:34" x14ac:dyDescent="0.25">
      <c r="A302" t="s">
        <v>327</v>
      </c>
      <c r="B302" t="s">
        <v>19</v>
      </c>
      <c r="C302">
        <v>32</v>
      </c>
      <c r="D302">
        <v>0.25600000000000001</v>
      </c>
      <c r="E302">
        <v>0.25600000000000001</v>
      </c>
      <c r="F302">
        <v>0.308</v>
      </c>
      <c r="G302">
        <v>39</v>
      </c>
      <c r="H302">
        <v>10</v>
      </c>
      <c r="I302">
        <v>2</v>
      </c>
      <c r="J302">
        <v>0</v>
      </c>
      <c r="K302">
        <v>0</v>
      </c>
      <c r="L302">
        <v>3</v>
      </c>
      <c r="M302">
        <v>3</v>
      </c>
      <c r="N302">
        <v>0</v>
      </c>
      <c r="O302">
        <v>0</v>
      </c>
      <c r="P302">
        <v>14</v>
      </c>
      <c r="Q302">
        <v>1</v>
      </c>
      <c r="R302">
        <v>0</v>
      </c>
      <c r="T302">
        <f t="shared" si="36"/>
        <v>0.70749999999999991</v>
      </c>
      <c r="V302">
        <f t="shared" si="37"/>
        <v>1.4149999999999998</v>
      </c>
      <c r="AB302">
        <f t="shared" si="38"/>
        <v>10</v>
      </c>
      <c r="AC302">
        <f t="shared" si="39"/>
        <v>39</v>
      </c>
      <c r="AD302" s="2">
        <f t="shared" si="40"/>
        <v>0.35897435897435898</v>
      </c>
      <c r="AE302" s="2">
        <f t="shared" si="41"/>
        <v>0</v>
      </c>
      <c r="AF302" s="3">
        <f t="shared" si="42"/>
        <v>64.102564102564102</v>
      </c>
      <c r="AG302">
        <f t="shared" si="43"/>
        <v>51.999999999999993</v>
      </c>
      <c r="AH302">
        <f t="shared" si="44"/>
        <v>7.0749999999999993</v>
      </c>
    </row>
    <row r="303" spans="1:34" x14ac:dyDescent="0.25">
      <c r="A303" t="s">
        <v>328</v>
      </c>
      <c r="B303" t="s">
        <v>60</v>
      </c>
      <c r="C303">
        <v>32</v>
      </c>
      <c r="D303">
        <v>0</v>
      </c>
      <c r="E303">
        <v>0</v>
      </c>
      <c r="F303">
        <v>0</v>
      </c>
      <c r="G303">
        <v>14</v>
      </c>
      <c r="H303">
        <v>0</v>
      </c>
      <c r="I303">
        <v>0</v>
      </c>
      <c r="J303">
        <v>0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5</v>
      </c>
      <c r="Q303">
        <v>0</v>
      </c>
      <c r="R303">
        <v>1</v>
      </c>
      <c r="T303">
        <f t="shared" si="36"/>
        <v>0.1125</v>
      </c>
      <c r="V303">
        <f t="shared" si="37"/>
        <v>0.22500000000000001</v>
      </c>
      <c r="AB303">
        <f t="shared" si="38"/>
        <v>8</v>
      </c>
      <c r="AC303">
        <f t="shared" si="39"/>
        <v>14</v>
      </c>
      <c r="AD303" s="2">
        <f t="shared" si="40"/>
        <v>0.35714285714285715</v>
      </c>
      <c r="AE303" s="2">
        <f t="shared" si="41"/>
        <v>0</v>
      </c>
      <c r="AF303" s="3">
        <f t="shared" si="42"/>
        <v>64.285714285714278</v>
      </c>
      <c r="AG303">
        <f t="shared" si="43"/>
        <v>0</v>
      </c>
      <c r="AH303">
        <f t="shared" si="44"/>
        <v>1.125</v>
      </c>
    </row>
    <row r="304" spans="1:34" x14ac:dyDescent="0.25">
      <c r="A304" t="s">
        <v>329</v>
      </c>
      <c r="B304" t="s">
        <v>31</v>
      </c>
      <c r="C304">
        <v>32</v>
      </c>
      <c r="D304">
        <v>0.20499999999999999</v>
      </c>
      <c r="E304">
        <v>0.25800000000000001</v>
      </c>
      <c r="F304">
        <v>0.24099999999999999</v>
      </c>
      <c r="G304">
        <v>83</v>
      </c>
      <c r="H304">
        <v>17</v>
      </c>
      <c r="I304">
        <v>3</v>
      </c>
      <c r="J304">
        <v>0</v>
      </c>
      <c r="K304">
        <v>0</v>
      </c>
      <c r="L304">
        <v>8</v>
      </c>
      <c r="M304">
        <v>3</v>
      </c>
      <c r="N304">
        <v>3</v>
      </c>
      <c r="O304">
        <v>3</v>
      </c>
      <c r="P304">
        <v>29</v>
      </c>
      <c r="Q304">
        <v>1</v>
      </c>
      <c r="R304">
        <v>1</v>
      </c>
      <c r="T304">
        <f t="shared" si="36"/>
        <v>1.2254999999999998</v>
      </c>
      <c r="V304">
        <f t="shared" si="37"/>
        <v>2.4509999999999996</v>
      </c>
      <c r="AB304">
        <f t="shared" si="38"/>
        <v>8</v>
      </c>
      <c r="AC304">
        <f t="shared" si="39"/>
        <v>89</v>
      </c>
      <c r="AD304" s="2">
        <f t="shared" si="40"/>
        <v>0.3258426966292135</v>
      </c>
      <c r="AE304" s="2">
        <f t="shared" si="41"/>
        <v>6.741573033707865E-2</v>
      </c>
      <c r="AF304" s="3">
        <f t="shared" si="42"/>
        <v>74.157303370786508</v>
      </c>
      <c r="AG304">
        <f t="shared" si="43"/>
        <v>36.000000000000007</v>
      </c>
      <c r="AH304">
        <f t="shared" si="44"/>
        <v>12.254999999999999</v>
      </c>
    </row>
    <row r="305" spans="1:34" x14ac:dyDescent="0.25">
      <c r="A305" t="s">
        <v>330</v>
      </c>
      <c r="B305" t="s">
        <v>60</v>
      </c>
      <c r="C305">
        <v>32</v>
      </c>
      <c r="D305">
        <v>0.16700000000000001</v>
      </c>
      <c r="E305">
        <v>0.16700000000000001</v>
      </c>
      <c r="F305">
        <v>0.33300000000000002</v>
      </c>
      <c r="G305">
        <v>6</v>
      </c>
      <c r="H305">
        <v>1</v>
      </c>
      <c r="I305">
        <v>1</v>
      </c>
      <c r="J305">
        <v>0</v>
      </c>
      <c r="K305">
        <v>0</v>
      </c>
      <c r="L305">
        <v>2</v>
      </c>
      <c r="M305">
        <v>1</v>
      </c>
      <c r="N305">
        <v>0</v>
      </c>
      <c r="O305">
        <v>0</v>
      </c>
      <c r="P305">
        <v>2</v>
      </c>
      <c r="Q305">
        <v>3</v>
      </c>
      <c r="R305">
        <v>2</v>
      </c>
      <c r="T305">
        <f t="shared" si="36"/>
        <v>0.17450000000000002</v>
      </c>
      <c r="V305">
        <f t="shared" si="37"/>
        <v>0.34900000000000003</v>
      </c>
      <c r="AB305">
        <f t="shared" si="38"/>
        <v>8</v>
      </c>
      <c r="AC305">
        <f t="shared" si="39"/>
        <v>6</v>
      </c>
      <c r="AD305" s="2">
        <f t="shared" si="40"/>
        <v>0.33333333333333331</v>
      </c>
      <c r="AE305" s="2">
        <f t="shared" si="41"/>
        <v>0</v>
      </c>
      <c r="AF305" s="3">
        <f t="shared" si="42"/>
        <v>66.666666666666671</v>
      </c>
      <c r="AG305">
        <f t="shared" si="43"/>
        <v>166</v>
      </c>
      <c r="AH305">
        <f t="shared" si="44"/>
        <v>1.7450000000000001</v>
      </c>
    </row>
    <row r="306" spans="1:34" x14ac:dyDescent="0.25">
      <c r="A306" t="s">
        <v>331</v>
      </c>
      <c r="B306" t="s">
        <v>48</v>
      </c>
      <c r="C306">
        <v>32</v>
      </c>
      <c r="D306">
        <v>0.185</v>
      </c>
      <c r="E306">
        <v>0.30299999999999999</v>
      </c>
      <c r="F306">
        <v>0.26200000000000001</v>
      </c>
      <c r="G306">
        <v>65</v>
      </c>
      <c r="H306">
        <v>12</v>
      </c>
      <c r="I306">
        <v>2</v>
      </c>
      <c r="J306">
        <v>0</v>
      </c>
      <c r="K306">
        <v>1</v>
      </c>
      <c r="L306">
        <v>6</v>
      </c>
      <c r="M306">
        <v>3</v>
      </c>
      <c r="N306">
        <v>2</v>
      </c>
      <c r="O306">
        <v>9</v>
      </c>
      <c r="P306">
        <v>23</v>
      </c>
      <c r="Q306">
        <v>1</v>
      </c>
      <c r="R306">
        <v>0</v>
      </c>
      <c r="T306">
        <f t="shared" si="36"/>
        <v>0.38287500000000002</v>
      </c>
      <c r="V306">
        <f t="shared" si="37"/>
        <v>0.76575000000000004</v>
      </c>
      <c r="AB306">
        <f t="shared" si="38"/>
        <v>2</v>
      </c>
      <c r="AC306">
        <f t="shared" si="39"/>
        <v>76</v>
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     <v>84.21052631578948</v>
      </c>
      <c r="AG306">
        <f t="shared" si="43"/>
        <v>77.000000000000014</v>
      </c>
      <c r="AH306">
        <f t="shared" si="44"/>
        <v>3.8287500000000003</v>
      </c>
    </row>
    <row r="307" spans="1:34" x14ac:dyDescent="0.25">
      <c r="A307" t="s">
        <v>332</v>
      </c>
      <c r="B307" t="s">
        <v>29</v>
      </c>
      <c r="C307">
        <v>32</v>
      </c>
      <c r="D307">
        <v>0.111</v>
      </c>
      <c r="E307">
        <v>0.111</v>
      </c>
      <c r="F307">
        <v>0.111</v>
      </c>
      <c r="G307">
        <v>9</v>
      </c>
      <c r="H307">
        <v>1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3</v>
      </c>
      <c r="Q307">
        <v>0</v>
      </c>
      <c r="R307">
        <v>0</v>
      </c>
      <c r="T307">
        <f t="shared" si="36"/>
        <v>1.8749999999999999E-2</v>
      </c>
      <c r="V307">
        <f t="shared" si="37"/>
        <v>3.7499999999999999E-2</v>
      </c>
      <c r="AB307">
        <f t="shared" si="38"/>
        <v>2</v>
      </c>
      <c r="AC307">
        <f t="shared" si="39"/>
        <v>9</v>
      </c>
      <c r="AD307" s="2">
        <f t="shared" si="40"/>
        <v>0.33333333333333331</v>
      </c>
      <c r="AE307" s="2">
        <f t="shared" si="41"/>
        <v>0</v>
      </c>
      <c r="AF307" s="3">
        <f t="shared" si="42"/>
        <v>66.666666666666671</v>
      </c>
      <c r="AG307">
        <f t="shared" si="43"/>
        <v>0</v>
      </c>
      <c r="AH307">
        <f t="shared" si="44"/>
        <v>0.1875</v>
      </c>
    </row>
    <row r="308" spans="1:34" x14ac:dyDescent="0.25">
      <c r="A308" t="s">
        <v>333</v>
      </c>
      <c r="B308" t="s">
        <v>19</v>
      </c>
      <c r="C308">
        <v>32</v>
      </c>
      <c r="D308">
        <v>0</v>
      </c>
      <c r="E308">
        <v>0</v>
      </c>
      <c r="F308">
        <v>0</v>
      </c>
      <c r="G308">
        <v>4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3</v>
      </c>
      <c r="Q308">
        <v>0</v>
      </c>
      <c r="R308">
        <v>0</v>
      </c>
      <c r="T308">
        <f t="shared" si="36"/>
        <v>1.5625E-2</v>
      </c>
      <c r="V308">
        <f t="shared" si="37"/>
        <v>3.125E-2</v>
      </c>
      <c r="AB308">
        <f t="shared" si="38"/>
        <v>10</v>
      </c>
      <c r="AC308">
        <f t="shared" si="39"/>
        <v>4</v>
      </c>
      <c r="AD308" s="2">
        <f t="shared" si="40"/>
        <v>0.75</v>
      </c>
      <c r="AE308" s="2">
        <f t="shared" si="41"/>
        <v>0</v>
      </c>
      <c r="AF308" s="3">
        <f t="shared" si="42"/>
        <v>25</v>
      </c>
      <c r="AG308">
        <f t="shared" si="43"/>
        <v>0</v>
      </c>
      <c r="AH308">
        <f t="shared" si="44"/>
        <v>0.15625</v>
      </c>
    </row>
    <row r="309" spans="1:34" x14ac:dyDescent="0.25">
      <c r="A309" t="s">
        <v>334</v>
      </c>
      <c r="B309" t="s">
        <v>19</v>
      </c>
      <c r="C309">
        <v>32</v>
      </c>
      <c r="D309">
        <v>0.22900000000000001</v>
      </c>
      <c r="E309">
        <v>0.28899999999999998</v>
      </c>
      <c r="F309">
        <v>0.35699999999999998</v>
      </c>
      <c r="G309">
        <v>70</v>
      </c>
      <c r="H309">
        <v>16</v>
      </c>
      <c r="I309">
        <v>3</v>
      </c>
      <c r="J309">
        <v>0</v>
      </c>
      <c r="K309">
        <v>2</v>
      </c>
      <c r="L309">
        <v>11</v>
      </c>
      <c r="M309">
        <v>9</v>
      </c>
      <c r="N309">
        <v>2</v>
      </c>
      <c r="O309">
        <v>4</v>
      </c>
      <c r="P309">
        <v>31</v>
      </c>
      <c r="Q309">
        <v>0</v>
      </c>
      <c r="R309">
        <v>0</v>
      </c>
      <c r="T309">
        <f t="shared" si="36"/>
        <v>2.3168749999999996</v>
      </c>
      <c r="V309">
        <f t="shared" si="37"/>
        <v>4.6337499999999991</v>
      </c>
      <c r="AB309">
        <f t="shared" si="38"/>
        <v>10</v>
      </c>
      <c r="AC309">
        <f t="shared" si="39"/>
        <v>76</v>
      </c>
      <c r="AD309" s="2">
        <f t="shared" si="40"/>
        <v>0.40789473684210525</v>
      </c>
      <c r="AE309" s="2">
        <f t="shared" si="41"/>
        <v>7.8947368421052627E-2</v>
      </c>
      <c r="AF309" s="3">
        <f t="shared" si="42"/>
        <v>67.10526315789474</v>
      </c>
      <c r="AG309">
        <f t="shared" si="43"/>
        <v>127.99999999999997</v>
      </c>
      <c r="AH309">
        <f t="shared" si="44"/>
        <v>23.168749999999996</v>
      </c>
    </row>
    <row r="310" spans="1:34" x14ac:dyDescent="0.25">
      <c r="A310" t="s">
        <v>335</v>
      </c>
      <c r="B310" t="s">
        <v>23</v>
      </c>
      <c r="C310">
        <v>32</v>
      </c>
      <c r="D310">
        <v>0.186</v>
      </c>
      <c r="E310">
        <v>0.26200000000000001</v>
      </c>
      <c r="F310">
        <v>0.24299999999999999</v>
      </c>
      <c r="G310">
        <v>70</v>
      </c>
      <c r="H310">
        <v>13</v>
      </c>
      <c r="I310">
        <v>4</v>
      </c>
      <c r="J310">
        <v>0</v>
      </c>
      <c r="K310">
        <v>0</v>
      </c>
      <c r="L310">
        <v>2</v>
      </c>
      <c r="M310">
        <v>4</v>
      </c>
      <c r="N310">
        <v>1</v>
      </c>
      <c r="O310">
        <v>7</v>
      </c>
      <c r="P310">
        <v>20</v>
      </c>
      <c r="Q310">
        <v>2</v>
      </c>
      <c r="R310">
        <v>2</v>
      </c>
      <c r="T310">
        <f t="shared" si="36"/>
        <v>0.69037500000000007</v>
      </c>
      <c r="V310">
        <f t="shared" si="37"/>
        <v>1.3807500000000001</v>
      </c>
      <c r="AB310">
        <f t="shared" si="38"/>
        <v>4</v>
      </c>
      <c r="AC310">
        <f t="shared" si="39"/>
        <v>78</v>
      </c>
      <c r="AD310" s="2">
        <f t="shared" si="40"/>
        <v>0.25641025641025639</v>
      </c>
      <c r="AE310" s="2">
        <f t="shared" si="41"/>
        <v>0.10256410256410256</v>
      </c>
      <c r="AF310" s="3">
        <f t="shared" si="42"/>
        <v>84.615384615384613</v>
      </c>
      <c r="AG310">
        <f t="shared" si="43"/>
        <v>56.999999999999993</v>
      </c>
      <c r="AH310">
        <f t="shared" si="44"/>
        <v>6.9037500000000005</v>
      </c>
    </row>
    <row r="311" spans="1:34" x14ac:dyDescent="0.25">
      <c r="A311" t="s">
        <v>336</v>
      </c>
      <c r="B311" t="s">
        <v>31</v>
      </c>
      <c r="C311">
        <v>32</v>
      </c>
      <c r="D311">
        <v>0.20100000000000001</v>
      </c>
      <c r="E311">
        <v>0.26700000000000002</v>
      </c>
      <c r="F311">
        <v>0.374</v>
      </c>
      <c r="G311">
        <v>219</v>
      </c>
      <c r="H311">
        <v>44</v>
      </c>
      <c r="I311">
        <v>5</v>
      </c>
      <c r="J311">
        <v>0</v>
      </c>
      <c r="K311">
        <v>11</v>
      </c>
      <c r="L311">
        <v>35</v>
      </c>
      <c r="M311">
        <v>25</v>
      </c>
      <c r="N311">
        <v>1</v>
      </c>
      <c r="O311">
        <v>20</v>
      </c>
      <c r="P311">
        <v>82</v>
      </c>
      <c r="Q311">
        <v>14</v>
      </c>
      <c r="R311">
        <v>5</v>
      </c>
      <c r="T311">
        <f t="shared" si="36"/>
        <v>7.4275000000000002</v>
      </c>
      <c r="V311">
        <f t="shared" si="37"/>
        <v>14.855</v>
      </c>
      <c r="AB311">
        <f t="shared" si="38"/>
        <v>8</v>
      </c>
      <c r="AC311">
        <f t="shared" si="39"/>
        <v>240</v>
      </c>
      <c r="AD311" s="2">
        <f t="shared" si="40"/>
        <v>0.34166666666666667</v>
      </c>
      <c r="AE311" s="2">
        <f t="shared" si="41"/>
        <v>8.7499999999999994E-2</v>
      </c>
      <c r="AF311" s="3">
        <f t="shared" si="42"/>
        <v>74.583333333333343</v>
      </c>
      <c r="AG311">
        <f t="shared" si="43"/>
        <v>173</v>
      </c>
      <c r="AH311">
        <f t="shared" si="44"/>
        <v>74.275000000000006</v>
      </c>
    </row>
    <row r="312" spans="1:34" x14ac:dyDescent="0.25">
      <c r="A312" t="s">
        <v>337</v>
      </c>
      <c r="B312" t="s">
        <v>19</v>
      </c>
      <c r="C312">
        <v>32</v>
      </c>
      <c r="D312">
        <v>0.23100000000000001</v>
      </c>
      <c r="E312">
        <v>0.29699999999999999</v>
      </c>
      <c r="F312">
        <v>0.41799999999999998</v>
      </c>
      <c r="G312">
        <v>91</v>
      </c>
      <c r="H312">
        <v>21</v>
      </c>
      <c r="I312">
        <v>2</v>
      </c>
      <c r="J312">
        <v>0</v>
      </c>
      <c r="K312">
        <v>5</v>
      </c>
      <c r="L312">
        <v>13</v>
      </c>
      <c r="M312">
        <v>24</v>
      </c>
      <c r="N312">
        <v>5</v>
      </c>
      <c r="O312">
        <v>4</v>
      </c>
      <c r="P312">
        <v>27</v>
      </c>
      <c r="Q312">
        <v>0</v>
      </c>
      <c r="R312">
        <v>0</v>
      </c>
      <c r="T312">
        <f t="shared" si="36"/>
        <v>4.203125</v>
      </c>
      <c r="V312">
        <f t="shared" si="37"/>
        <v>8.40625</v>
      </c>
      <c r="AB312">
        <f t="shared" si="38"/>
        <v>10</v>
      </c>
      <c r="AC312">
        <f t="shared" si="39"/>
        <v>100</v>
      </c>
      <c r="AD312" s="2">
        <f t="shared" si="40"/>
        <v>0.27</v>
      </c>
      <c r="AE312" s="2">
        <f t="shared" si="41"/>
        <v>0.09</v>
      </c>
      <c r="AF312" s="3">
        <f t="shared" si="42"/>
        <v>82</v>
      </c>
      <c r="AG312">
        <f t="shared" si="43"/>
        <v>186.99999999999997</v>
      </c>
      <c r="AH312">
        <f t="shared" si="44"/>
        <v>42.03125</v>
      </c>
    </row>
    <row r="313" spans="1:34" x14ac:dyDescent="0.25">
      <c r="A313" t="s">
        <v>338</v>
      </c>
      <c r="B313" t="s">
        <v>23</v>
      </c>
      <c r="C313">
        <v>32</v>
      </c>
      <c r="D313">
        <v>0.216</v>
      </c>
      <c r="E313">
        <v>0.27</v>
      </c>
      <c r="F313">
        <v>0.372</v>
      </c>
      <c r="G313">
        <v>148</v>
      </c>
      <c r="H313">
        <v>32</v>
      </c>
      <c r="I313">
        <v>6</v>
      </c>
      <c r="J313">
        <v>1</v>
      </c>
      <c r="K313">
        <v>5</v>
      </c>
      <c r="L313">
        <v>22</v>
      </c>
      <c r="M313">
        <v>13</v>
      </c>
      <c r="N313">
        <v>0</v>
      </c>
      <c r="O313">
        <v>11</v>
      </c>
      <c r="P313">
        <v>51</v>
      </c>
      <c r="Q313">
        <v>1</v>
      </c>
      <c r="R313">
        <v>0</v>
      </c>
      <c r="T313">
        <f t="shared" si="36"/>
        <v>2.294</v>
      </c>
      <c r="V313">
        <f t="shared" si="37"/>
        <v>4.5880000000000001</v>
      </c>
      <c r="AB313">
        <f t="shared" si="38"/>
        <v>4</v>
      </c>
      <c r="AC313">
        <f t="shared" si="39"/>
        <v>159</v>
      </c>
      <c r="AD313" s="2">
        <f t="shared" si="40"/>
        <v>0.32075471698113206</v>
      </c>
      <c r="AE313" s="2">
        <f t="shared" si="41"/>
        <v>6.9182389937106917E-2</v>
      </c>
      <c r="AF313" s="3">
        <f t="shared" si="42"/>
        <v>74.842767295597483</v>
      </c>
      <c r="AG313">
        <f t="shared" si="43"/>
        <v>156</v>
      </c>
      <c r="AH313">
        <f t="shared" si="44"/>
        <v>22.94</v>
      </c>
    </row>
    <row r="314" spans="1:34" x14ac:dyDescent="0.25">
      <c r="A314" t="s">
        <v>339</v>
      </c>
      <c r="B314" t="s">
        <v>19</v>
      </c>
      <c r="C314">
        <v>32</v>
      </c>
      <c r="D314">
        <v>0</v>
      </c>
      <c r="E314">
        <v>0</v>
      </c>
      <c r="F314">
        <v>0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2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T314">
        <f t="shared" si="36"/>
        <v>1.5625E-2</v>
      </c>
      <c r="V314">
        <f t="shared" si="37"/>
        <v>3.125E-2</v>
      </c>
      <c r="AB314">
        <f t="shared" si="38"/>
        <v>10</v>
      </c>
      <c r="AC314">
        <f t="shared" si="39"/>
        <v>1</v>
      </c>
      <c r="AD314" s="2">
        <f t="shared" si="40"/>
        <v>0</v>
      </c>
      <c r="AE314" s="2">
        <f t="shared" si="41"/>
        <v>0</v>
      </c>
      <c r="AF314" s="3">
        <f t="shared" si="42"/>
        <v>100</v>
      </c>
      <c r="AG314">
        <f t="shared" si="43"/>
        <v>0</v>
      </c>
      <c r="AH314">
        <f t="shared" si="44"/>
        <v>0.15625</v>
      </c>
    </row>
    <row r="315" spans="1:34" x14ac:dyDescent="0.25">
      <c r="A315" t="s">
        <v>340</v>
      </c>
      <c r="B315" t="s">
        <v>21</v>
      </c>
      <c r="C315">
        <v>33</v>
      </c>
      <c r="D315">
        <v>0.154</v>
      </c>
      <c r="E315">
        <v>0.19500000000000001</v>
      </c>
      <c r="F315">
        <v>0.20499999999999999</v>
      </c>
      <c r="G315">
        <v>39</v>
      </c>
      <c r="H315">
        <v>6</v>
      </c>
      <c r="I315">
        <v>2</v>
      </c>
      <c r="J315">
        <v>0</v>
      </c>
      <c r="K315">
        <v>0</v>
      </c>
      <c r="L315">
        <v>2</v>
      </c>
      <c r="M315">
        <v>1</v>
      </c>
      <c r="N315">
        <v>0</v>
      </c>
      <c r="O315">
        <v>2</v>
      </c>
      <c r="P315">
        <v>13</v>
      </c>
      <c r="Q315">
        <v>0</v>
      </c>
      <c r="R315">
        <v>0</v>
      </c>
      <c r="T315">
        <f t="shared" si="36"/>
        <v>7.7136363636363628E-2</v>
      </c>
      <c r="V315">
        <f t="shared" si="37"/>
        <v>0.15427272727272726</v>
      </c>
      <c r="AB315">
        <f t="shared" si="38"/>
        <v>1</v>
      </c>
      <c r="AC315">
        <f t="shared" si="39"/>
        <v>41</v>
      </c>
      <c r="AD315" s="2">
        <f t="shared" si="40"/>
        <v>0.31707317073170732</v>
      </c>
      <c r="AE315" s="2">
        <f t="shared" si="41"/>
        <v>4.878048780487805E-2</v>
      </c>
      <c r="AF315" s="3">
        <f t="shared" si="42"/>
        <v>73.170731707317074</v>
      </c>
      <c r="AG315">
        <f t="shared" si="43"/>
        <v>50.999999999999993</v>
      </c>
      <c r="AH315">
        <f t="shared" si="44"/>
        <v>0.77136363636363625</v>
      </c>
    </row>
    <row r="316" spans="1:34" x14ac:dyDescent="0.25">
      <c r="A316" t="s">
        <v>341</v>
      </c>
      <c r="B316" t="s">
        <v>21</v>
      </c>
      <c r="C316">
        <v>33</v>
      </c>
      <c r="D316">
        <v>0.24099999999999999</v>
      </c>
      <c r="E316">
        <v>0.307</v>
      </c>
      <c r="F316">
        <v>0.379</v>
      </c>
      <c r="G316">
        <v>419</v>
      </c>
      <c r="H316">
        <v>101</v>
      </c>
      <c r="I316">
        <v>10</v>
      </c>
      <c r="J316">
        <v>0</v>
      </c>
      <c r="K316">
        <v>16</v>
      </c>
      <c r="L316">
        <v>44</v>
      </c>
      <c r="M316">
        <v>71</v>
      </c>
      <c r="N316">
        <v>7</v>
      </c>
      <c r="O316">
        <v>34</v>
      </c>
      <c r="P316">
        <v>88</v>
      </c>
      <c r="Q316">
        <v>1</v>
      </c>
      <c r="R316">
        <v>0</v>
      </c>
      <c r="T316">
        <f t="shared" si="36"/>
        <v>1.5875757575757574</v>
      </c>
      <c r="V316">
        <f t="shared" si="37"/>
        <v>3.1751515151515148</v>
      </c>
      <c r="AB316">
        <f t="shared" si="38"/>
        <v>1</v>
      </c>
      <c r="AC316">
        <f t="shared" si="39"/>
        <v>460</v>
      </c>
      <c r="AD316" s="2">
        <f t="shared" si="40"/>
        <v>0.19130434782608696</v>
      </c>
      <c r="AE316" s="2">
        <f t="shared" si="41"/>
        <v>8.9130434782608695E-2</v>
      </c>
      <c r="AF316" s="3">
        <f t="shared" si="42"/>
        <v>89.782608695652172</v>
      </c>
      <c r="AG316">
        <f t="shared" si="43"/>
        <v>138</v>
      </c>
      <c r="AH316">
        <f t="shared" si="44"/>
        <v>15.875757575757575</v>
      </c>
    </row>
    <row r="317" spans="1:34" x14ac:dyDescent="0.25">
      <c r="A317" t="s">
        <v>342</v>
      </c>
      <c r="B317" t="s">
        <v>31</v>
      </c>
      <c r="C317">
        <v>33</v>
      </c>
      <c r="D317">
        <v>0.26700000000000002</v>
      </c>
      <c r="E317">
        <v>0.31900000000000001</v>
      </c>
      <c r="F317">
        <v>0.36499999999999999</v>
      </c>
      <c r="G317">
        <v>419</v>
      </c>
      <c r="H317">
        <v>112</v>
      </c>
      <c r="I317">
        <v>20</v>
      </c>
      <c r="J317">
        <v>0</v>
      </c>
      <c r="K317">
        <v>7</v>
      </c>
      <c r="L317">
        <v>43</v>
      </c>
      <c r="M317">
        <v>44</v>
      </c>
      <c r="N317">
        <v>8</v>
      </c>
      <c r="O317">
        <v>26</v>
      </c>
      <c r="P317">
        <v>81</v>
      </c>
      <c r="Q317">
        <v>8</v>
      </c>
      <c r="R317">
        <v>6</v>
      </c>
      <c r="T317">
        <f t="shared" si="36"/>
        <v>10.30230303030303</v>
      </c>
      <c r="V317">
        <f t="shared" si="37"/>
        <v>20.604606060606059</v>
      </c>
      <c r="AB317">
        <f t="shared" si="38"/>
        <v>8</v>
      </c>
      <c r="AC317">
        <f t="shared" si="39"/>
        <v>453</v>
      </c>
      <c r="AD317" s="2">
        <f t="shared" si="40"/>
        <v>0.17880794701986755</v>
      </c>
      <c r="AE317" s="2">
        <f t="shared" si="41"/>
        <v>7.505518763796909E-2</v>
      </c>
      <c r="AF317" s="3">
        <f t="shared" si="42"/>
        <v>89.624724061810156</v>
      </c>
      <c r="AG317">
        <f t="shared" si="43"/>
        <v>97.999999999999972</v>
      </c>
      <c r="AH317">
        <f t="shared" si="44"/>
        <v>103.0230303030303</v>
      </c>
    </row>
    <row r="318" spans="1:34" x14ac:dyDescent="0.25">
      <c r="A318" t="s">
        <v>343</v>
      </c>
      <c r="B318" t="s">
        <v>33</v>
      </c>
      <c r="C318">
        <v>33</v>
      </c>
      <c r="D318">
        <v>0.20300000000000001</v>
      </c>
      <c r="E318">
        <v>0.255</v>
      </c>
      <c r="F318">
        <v>0.36599999999999999</v>
      </c>
      <c r="G318">
        <v>232</v>
      </c>
      <c r="H318">
        <v>47</v>
      </c>
      <c r="I318">
        <v>8</v>
      </c>
      <c r="J318">
        <v>0</v>
      </c>
      <c r="K318">
        <v>10</v>
      </c>
      <c r="L318">
        <v>30</v>
      </c>
      <c r="M318">
        <v>35</v>
      </c>
      <c r="N318">
        <v>0</v>
      </c>
      <c r="O318">
        <v>18</v>
      </c>
      <c r="P318">
        <v>68</v>
      </c>
      <c r="Q318">
        <v>0</v>
      </c>
      <c r="R318">
        <v>0</v>
      </c>
      <c r="T318">
        <f t="shared" si="36"/>
        <v>5.5227272727272716</v>
      </c>
      <c r="V318">
        <f t="shared" si="37"/>
        <v>11.045454545454543</v>
      </c>
      <c r="AB318">
        <f t="shared" si="38"/>
        <v>6</v>
      </c>
      <c r="AC318">
        <f t="shared" si="39"/>
        <v>250</v>
      </c>
      <c r="AD318" s="2">
        <f t="shared" si="40"/>
        <v>0.27200000000000002</v>
      </c>
      <c r="AE318" s="2">
        <f t="shared" si="41"/>
        <v>7.1999999999999995E-2</v>
      </c>
      <c r="AF318" s="3">
        <f t="shared" si="42"/>
        <v>80</v>
      </c>
      <c r="AG318">
        <f t="shared" si="43"/>
        <v>162.99999999999997</v>
      </c>
      <c r="AH318">
        <f t="shared" si="44"/>
        <v>55.227272727272712</v>
      </c>
    </row>
    <row r="319" spans="1:34" x14ac:dyDescent="0.25">
      <c r="A319" t="s">
        <v>344</v>
      </c>
      <c r="B319" t="s">
        <v>19</v>
      </c>
      <c r="C319">
        <v>33</v>
      </c>
      <c r="D319">
        <v>0.28599999999999998</v>
      </c>
      <c r="E319">
        <v>0.4</v>
      </c>
      <c r="F319">
        <v>0.28599999999999998</v>
      </c>
      <c r="G319">
        <v>7</v>
      </c>
      <c r="H319">
        <v>2</v>
      </c>
      <c r="I319">
        <v>0</v>
      </c>
      <c r="J319">
        <v>0</v>
      </c>
      <c r="K319">
        <v>0</v>
      </c>
      <c r="L319">
        <v>1</v>
      </c>
      <c r="M319">
        <v>3</v>
      </c>
      <c r="N319">
        <v>0</v>
      </c>
      <c r="O319">
        <v>2</v>
      </c>
      <c r="P319">
        <v>1</v>
      </c>
      <c r="Q319">
        <v>0</v>
      </c>
      <c r="R319">
        <v>0</v>
      </c>
      <c r="T319">
        <f t="shared" si="36"/>
        <v>0.15151515151515152</v>
      </c>
      <c r="V319">
        <f t="shared" si="37"/>
        <v>0.30303030303030304</v>
      </c>
      <c r="AB319">
        <f t="shared" si="38"/>
        <v>10</v>
      </c>
      <c r="AC319">
        <f t="shared" si="39"/>
        <v>9</v>
      </c>
      <c r="AD319" s="2">
        <f t="shared" si="40"/>
        <v>0.1111111111111111</v>
      </c>
      <c r="AE319" s="2">
        <f t="shared" si="41"/>
        <v>0.22222222222222221</v>
      </c>
      <c r="AF319" s="3">
        <f t="shared" si="42"/>
        <v>111.11111111111111</v>
      </c>
      <c r="AG319">
        <f t="shared" si="43"/>
        <v>0</v>
      </c>
      <c r="AH319">
        <f t="shared" si="44"/>
        <v>1.5151515151515151</v>
      </c>
    </row>
    <row r="320" spans="1:34" x14ac:dyDescent="0.25">
      <c r="A320" t="s">
        <v>345</v>
      </c>
      <c r="B320" t="s">
        <v>23</v>
      </c>
      <c r="C320">
        <v>33</v>
      </c>
      <c r="D320">
        <v>0.182</v>
      </c>
      <c r="E320">
        <v>0.24099999999999999</v>
      </c>
      <c r="F320">
        <v>0.24199999999999999</v>
      </c>
      <c r="G320">
        <v>99</v>
      </c>
      <c r="H320">
        <v>18</v>
      </c>
      <c r="I320">
        <v>6</v>
      </c>
      <c r="J320">
        <v>0</v>
      </c>
      <c r="K320">
        <v>0</v>
      </c>
      <c r="L320">
        <v>5</v>
      </c>
      <c r="M320">
        <v>4</v>
      </c>
      <c r="N320">
        <v>0</v>
      </c>
      <c r="O320">
        <v>8</v>
      </c>
      <c r="P320">
        <v>21</v>
      </c>
      <c r="Q320">
        <v>0</v>
      </c>
      <c r="R320">
        <v>0</v>
      </c>
      <c r="T320">
        <f t="shared" si="36"/>
        <v>0.95878787878787897</v>
      </c>
      <c r="V320">
        <f t="shared" si="37"/>
        <v>1.9175757575757579</v>
      </c>
      <c r="AB320">
        <f t="shared" si="38"/>
        <v>4</v>
      </c>
      <c r="AC320">
        <f t="shared" si="39"/>
        <v>107</v>
      </c>
      <c r="AD320" s="2">
        <f t="shared" si="40"/>
        <v>0.19626168224299065</v>
      </c>
      <c r="AE320" s="2">
        <f t="shared" si="41"/>
        <v>7.476635514018691E-2</v>
      </c>
      <c r="AF320" s="3">
        <f t="shared" si="42"/>
        <v>87.850467289719631</v>
      </c>
      <c r="AG320">
        <f t="shared" si="43"/>
        <v>60</v>
      </c>
      <c r="AH320">
        <f t="shared" si="44"/>
        <v>9.5878787878787897</v>
      </c>
    </row>
    <row r="321" spans="1:34" x14ac:dyDescent="0.25">
      <c r="A321" t="s">
        <v>346</v>
      </c>
      <c r="B321" t="s">
        <v>23</v>
      </c>
      <c r="C321">
        <v>33</v>
      </c>
      <c r="D321">
        <v>0.125</v>
      </c>
      <c r="E321">
        <v>0.125</v>
      </c>
      <c r="F321">
        <v>0.125</v>
      </c>
      <c r="G321">
        <v>8</v>
      </c>
      <c r="H321">
        <v>1</v>
      </c>
      <c r="I321">
        <v>0</v>
      </c>
      <c r="J321">
        <v>0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2</v>
      </c>
      <c r="Q321">
        <v>0</v>
      </c>
      <c r="R321">
        <v>0</v>
      </c>
      <c r="T321">
        <f t="shared" si="36"/>
        <v>3.6363636363636362E-2</v>
      </c>
      <c r="V321">
        <f t="shared" si="37"/>
        <v>7.2727272727272724E-2</v>
      </c>
      <c r="AB321">
        <f t="shared" si="38"/>
        <v>4</v>
      </c>
      <c r="AC321">
        <f t="shared" si="39"/>
        <v>8</v>
      </c>
      <c r="AD321" s="2">
        <f t="shared" si="40"/>
        <v>0.25</v>
      </c>
      <c r="AE321" s="2">
        <f t="shared" si="41"/>
        <v>0</v>
      </c>
      <c r="AF321" s="3">
        <f t="shared" si="42"/>
        <v>75</v>
      </c>
      <c r="AG321">
        <f t="shared" si="43"/>
        <v>0</v>
      </c>
      <c r="AH321">
        <f t="shared" si="44"/>
        <v>0.36363636363636365</v>
      </c>
    </row>
    <row r="322" spans="1:34" x14ac:dyDescent="0.25">
      <c r="A322" t="s">
        <v>347</v>
      </c>
      <c r="B322" t="s">
        <v>21</v>
      </c>
      <c r="C322">
        <v>33</v>
      </c>
      <c r="D322">
        <v>0.111</v>
      </c>
      <c r="E322">
        <v>0.111</v>
      </c>
      <c r="F322">
        <v>0.111</v>
      </c>
      <c r="G322">
        <v>9</v>
      </c>
      <c r="H322">
        <v>1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T322">
        <f t="shared" si="36"/>
        <v>1.2121212121212119E-2</v>
      </c>
      <c r="V322">
        <f t="shared" si="37"/>
        <v>2.4242424242424239E-2</v>
      </c>
      <c r="AB322">
        <f t="shared" si="38"/>
        <v>1</v>
      </c>
      <c r="AC322">
        <f t="shared" si="39"/>
        <v>9</v>
      </c>
      <c r="AD322" s="2">
        <f t="shared" si="40"/>
        <v>0.1111111111111111</v>
      </c>
      <c r="AE322" s="2">
        <f t="shared" si="41"/>
        <v>0</v>
      </c>
      <c r="AF322" s="3">
        <f t="shared" si="42"/>
        <v>88.888888888888886</v>
      </c>
      <c r="AG322">
        <f t="shared" si="43"/>
        <v>0</v>
      </c>
      <c r="AH322">
        <f t="shared" si="44"/>
        <v>0.1212121212121212</v>
      </c>
    </row>
    <row r="323" spans="1:34" x14ac:dyDescent="0.25">
      <c r="A323" t="s">
        <v>348</v>
      </c>
      <c r="B323" t="s">
        <v>33</v>
      </c>
      <c r="C323">
        <v>33</v>
      </c>
      <c r="D323">
        <v>0.23799999999999999</v>
      </c>
      <c r="E323">
        <v>0.28699999999999998</v>
      </c>
      <c r="F323">
        <v>0.32600000000000001</v>
      </c>
      <c r="G323">
        <v>181</v>
      </c>
      <c r="H323">
        <v>43</v>
      </c>
      <c r="I323">
        <v>14</v>
      </c>
      <c r="J323">
        <v>1</v>
      </c>
      <c r="K323">
        <v>0</v>
      </c>
      <c r="L323">
        <v>10</v>
      </c>
      <c r="M323">
        <v>20</v>
      </c>
      <c r="N323">
        <v>0</v>
      </c>
      <c r="O323">
        <v>13</v>
      </c>
      <c r="P323">
        <v>40</v>
      </c>
      <c r="Q323">
        <v>0</v>
      </c>
      <c r="R323">
        <v>1</v>
      </c>
      <c r="T323">
        <f t="shared" ref="T323:T350" si="45">AH323/10</f>
        <v>3.0701818181818181</v>
      </c>
      <c r="V323">
        <f t="shared" ref="V323:V386" si="46">(T323*2)+U323</f>
        <v>6.1403636363636362</v>
      </c>
      <c r="AB323">
        <f t="shared" ref="AB323:AB350" si="47">_xlfn.IFS(B323="c", 10, B323="ss", 10, B323="cf", 8,  B323="2b", 8, B323="3b", 6, B323="rf", 4, B323="lf", 2, B323="1b", 2, B323 ="dh", 1)</f>
        <v>6</v>
      </c>
      <c r="AC323">
        <f t="shared" ref="AC323:AC350" si="48">(G323+N323+O323)</f>
        <v>194</v>
      </c>
      <c r="AD323" s="2">
        <f t="shared" ref="AD323:AD350" si="49">P323/AC323</f>
        <v>0.20618556701030927</v>
      </c>
      <c r="AE323" s="2">
        <f t="shared" ref="AE323:AE350" si="50">(N323+O323)/AC323</f>
        <v>6.7010309278350513E-2</v>
      </c>
      <c r="AF323" s="3">
        <f t="shared" ref="AF323:AF350" si="51">100-((AD323-AE323)*100)</f>
        <v>86.082474226804123</v>
      </c>
      <c r="AG323">
        <f t="shared" ref="AG323:AG350" si="52">(F323-D323)*1000</f>
        <v>88.000000000000028</v>
      </c>
      <c r="AH323">
        <f t="shared" si="44"/>
        <v>30.701818181818183</v>
      </c>
    </row>
    <row r="324" spans="1:34" x14ac:dyDescent="0.25">
      <c r="A324" t="s">
        <v>349</v>
      </c>
      <c r="B324" t="s">
        <v>31</v>
      </c>
      <c r="C324">
        <v>33</v>
      </c>
      <c r="D324">
        <v>0.27</v>
      </c>
      <c r="E324">
        <v>0.29199999999999998</v>
      </c>
      <c r="F324">
        <v>0.38300000000000001</v>
      </c>
      <c r="G324">
        <v>115</v>
      </c>
      <c r="H324">
        <v>31</v>
      </c>
      <c r="I324">
        <v>2</v>
      </c>
      <c r="J324">
        <v>1</v>
      </c>
      <c r="K324">
        <v>3</v>
      </c>
      <c r="L324">
        <v>12</v>
      </c>
      <c r="M324">
        <v>19</v>
      </c>
      <c r="N324">
        <v>2</v>
      </c>
      <c r="O324">
        <v>2</v>
      </c>
      <c r="P324">
        <v>15</v>
      </c>
      <c r="Q324">
        <v>0</v>
      </c>
      <c r="R324">
        <v>0</v>
      </c>
      <c r="T324">
        <f t="shared" si="45"/>
        <v>2.9390303030303029</v>
      </c>
      <c r="V324">
        <f t="shared" si="46"/>
        <v>5.8780606060606058</v>
      </c>
      <c r="AB324">
        <f t="shared" si="47"/>
        <v>8</v>
      </c>
      <c r="AC324">
        <f t="shared" si="48"/>
        <v>119</v>
      </c>
      <c r="AD324" s="2">
        <f t="shared" si="49"/>
        <v>0.12605042016806722</v>
      </c>
      <c r="AE324" s="2">
        <f t="shared" si="50"/>
        <v>3.3613445378151259E-2</v>
      </c>
      <c r="AF324" s="3">
        <f t="shared" si="51"/>
        <v>90.756302521008408</v>
      </c>
      <c r="AG324">
        <f t="shared" si="52"/>
        <v>112.99999999999999</v>
      </c>
      <c r="AH324">
        <f t="shared" ref="AH324:AH350" si="53">(((AF324+AG324)/2)*(AC324/100)*AB324)/C324</f>
        <v>29.390303030303027</v>
      </c>
    </row>
    <row r="325" spans="1:34" x14ac:dyDescent="0.25">
      <c r="A325" t="s">
        <v>350</v>
      </c>
      <c r="B325" t="s">
        <v>19</v>
      </c>
      <c r="C325">
        <v>34</v>
      </c>
      <c r="D325">
        <v>0.23100000000000001</v>
      </c>
      <c r="E325">
        <v>0.33300000000000002</v>
      </c>
      <c r="F325">
        <v>0.23100000000000001</v>
      </c>
      <c r="G325">
        <v>13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4</v>
      </c>
      <c r="Q325">
        <v>0</v>
      </c>
      <c r="R325">
        <v>0</v>
      </c>
      <c r="T325">
        <f t="shared" si="45"/>
        <v>0.19117647058823531</v>
      </c>
      <c r="V325">
        <f t="shared" si="46"/>
        <v>0.38235294117647062</v>
      </c>
      <c r="AB325">
        <f t="shared" si="47"/>
        <v>10</v>
      </c>
      <c r="AC325">
        <f t="shared" si="48"/>
        <v>15</v>
      </c>
      <c r="AD325" s="2">
        <f t="shared" si="49"/>
        <v>0.26666666666666666</v>
      </c>
      <c r="AE325" s="2">
        <f t="shared" si="50"/>
        <v>0.13333333333333333</v>
      </c>
      <c r="AF325" s="3">
        <f t="shared" si="51"/>
        <v>86.666666666666671</v>
      </c>
      <c r="AG325">
        <f t="shared" si="52"/>
        <v>0</v>
      </c>
      <c r="AH325">
        <f t="shared" si="53"/>
        <v>1.911764705882353</v>
      </c>
    </row>
    <row r="326" spans="1:34" x14ac:dyDescent="0.25">
      <c r="A326" t="s">
        <v>351</v>
      </c>
      <c r="B326" t="s">
        <v>31</v>
      </c>
      <c r="C326">
        <v>34</v>
      </c>
      <c r="D326">
        <v>0.22700000000000001</v>
      </c>
      <c r="E326">
        <v>0.28000000000000003</v>
      </c>
      <c r="F326">
        <v>0.36499999999999999</v>
      </c>
      <c r="G326">
        <v>277</v>
      </c>
      <c r="H326">
        <v>63</v>
      </c>
      <c r="I326">
        <v>14</v>
      </c>
      <c r="J326">
        <v>0</v>
      </c>
      <c r="K326">
        <v>8</v>
      </c>
      <c r="L326">
        <v>24</v>
      </c>
      <c r="M326">
        <v>31</v>
      </c>
      <c r="N326">
        <v>4</v>
      </c>
      <c r="O326">
        <v>17</v>
      </c>
      <c r="P326">
        <v>66</v>
      </c>
      <c r="Q326">
        <v>0</v>
      </c>
      <c r="R326">
        <v>1</v>
      </c>
      <c r="T326">
        <f t="shared" si="45"/>
        <v>7.8145882352941154</v>
      </c>
      <c r="V326">
        <f t="shared" si="46"/>
        <v>15.629176470588231</v>
      </c>
      <c r="AB326">
        <f t="shared" si="47"/>
        <v>8</v>
      </c>
      <c r="AC326">
        <f t="shared" si="48"/>
        <v>298</v>
      </c>
      <c r="AD326" s="2">
        <f t="shared" si="49"/>
        <v>0.22147651006711411</v>
      </c>
      <c r="AE326" s="2">
        <f t="shared" si="50"/>
        <v>7.0469798657718116E-2</v>
      </c>
      <c r="AF326" s="3">
        <f t="shared" si="51"/>
        <v>84.899328859060404</v>
      </c>
      <c r="AG326">
        <f t="shared" si="52"/>
        <v>137.99999999999997</v>
      </c>
      <c r="AH326">
        <f t="shared" si="53"/>
        <v>78.145882352941157</v>
      </c>
    </row>
    <row r="327" spans="1:34" x14ac:dyDescent="0.25">
      <c r="A327" t="s">
        <v>352</v>
      </c>
      <c r="B327" t="s">
        <v>19</v>
      </c>
      <c r="C327">
        <v>34</v>
      </c>
      <c r="D327">
        <v>0.28899999999999998</v>
      </c>
      <c r="E327">
        <v>0.36099999999999999</v>
      </c>
      <c r="F327">
        <v>0.41599999999999998</v>
      </c>
      <c r="G327">
        <v>149</v>
      </c>
      <c r="H327">
        <v>43</v>
      </c>
      <c r="I327">
        <v>8</v>
      </c>
      <c r="J327">
        <v>1</v>
      </c>
      <c r="K327">
        <v>3</v>
      </c>
      <c r="L327">
        <v>25</v>
      </c>
      <c r="M327">
        <v>20</v>
      </c>
      <c r="N327">
        <v>6</v>
      </c>
      <c r="O327">
        <v>12</v>
      </c>
      <c r="P327">
        <v>31</v>
      </c>
      <c r="Q327">
        <v>2</v>
      </c>
      <c r="R327">
        <v>0</v>
      </c>
      <c r="T327">
        <f t="shared" si="45"/>
        <v>5.3836764705882363</v>
      </c>
      <c r="V327">
        <f t="shared" si="46"/>
        <v>10.767352941176473</v>
      </c>
      <c r="AB327">
        <f t="shared" si="47"/>
        <v>10</v>
      </c>
      <c r="AC327">
        <f t="shared" si="48"/>
        <v>167</v>
      </c>
      <c r="AD327" s="2">
        <f t="shared" si="49"/>
        <v>0.18562874251497005</v>
      </c>
      <c r="AE327" s="2">
        <f t="shared" si="50"/>
        <v>0.10778443113772455</v>
      </c>
      <c r="AF327" s="3">
        <f t="shared" si="51"/>
        <v>92.215568862275447</v>
      </c>
      <c r="AG327">
        <f t="shared" si="52"/>
        <v>127</v>
      </c>
      <c r="AH327">
        <f t="shared" si="53"/>
        <v>53.836764705882359</v>
      </c>
    </row>
    <row r="328" spans="1:34" x14ac:dyDescent="0.25">
      <c r="A328" t="s">
        <v>353</v>
      </c>
      <c r="B328" t="s">
        <v>23</v>
      </c>
      <c r="C328">
        <v>34</v>
      </c>
      <c r="D328">
        <v>0.24399999999999999</v>
      </c>
      <c r="E328">
        <v>0.28599999999999998</v>
      </c>
      <c r="F328">
        <v>0.28899999999999998</v>
      </c>
      <c r="G328">
        <v>45</v>
      </c>
      <c r="H328">
        <v>11</v>
      </c>
      <c r="I328">
        <v>2</v>
      </c>
      <c r="J328">
        <v>0</v>
      </c>
      <c r="K328">
        <v>0</v>
      </c>
      <c r="L328">
        <v>8</v>
      </c>
      <c r="M328">
        <v>2</v>
      </c>
      <c r="N328">
        <v>0</v>
      </c>
      <c r="O328">
        <v>3</v>
      </c>
      <c r="P328">
        <v>12</v>
      </c>
      <c r="Q328">
        <v>2</v>
      </c>
      <c r="R328">
        <v>0</v>
      </c>
      <c r="T328">
        <f t="shared" si="45"/>
        <v>0.35647058823529409</v>
      </c>
      <c r="V328">
        <f t="shared" si="46"/>
        <v>0.71294117647058819</v>
      </c>
      <c r="AB328">
        <f t="shared" si="47"/>
        <v>4</v>
      </c>
      <c r="AC328">
        <f t="shared" si="48"/>
        <v>48</v>
      </c>
      <c r="AD328" s="2">
        <f t="shared" si="49"/>
        <v>0.25</v>
      </c>
      <c r="AE328" s="2">
        <f t="shared" si="50"/>
        <v>6.25E-2</v>
      </c>
      <c r="AF328" s="3">
        <f t="shared" si="51"/>
        <v>81.25</v>
      </c>
      <c r="AG328">
        <f t="shared" si="52"/>
        <v>44.999999999999986</v>
      </c>
      <c r="AH328">
        <f t="shared" si="53"/>
        <v>3.5647058823529409</v>
      </c>
    </row>
    <row r="329" spans="1:34" x14ac:dyDescent="0.25">
      <c r="A329" t="s">
        <v>354</v>
      </c>
      <c r="B329" t="s">
        <v>19</v>
      </c>
      <c r="C329">
        <v>34</v>
      </c>
      <c r="D329">
        <v>0.24399999999999999</v>
      </c>
      <c r="E329">
        <v>0.34599999999999997</v>
      </c>
      <c r="F329">
        <v>0.35599999999999998</v>
      </c>
      <c r="G329">
        <v>45</v>
      </c>
      <c r="H329">
        <v>11</v>
      </c>
      <c r="I329">
        <v>2</v>
      </c>
      <c r="J329">
        <v>0</v>
      </c>
      <c r="K329">
        <v>1</v>
      </c>
      <c r="L329">
        <v>6</v>
      </c>
      <c r="M329">
        <v>6</v>
      </c>
      <c r="N329">
        <v>0</v>
      </c>
      <c r="O329">
        <v>7</v>
      </c>
      <c r="P329">
        <v>16</v>
      </c>
      <c r="Q329">
        <v>1</v>
      </c>
      <c r="R329">
        <v>0</v>
      </c>
      <c r="T329">
        <f t="shared" si="45"/>
        <v>1.4888235294117647</v>
      </c>
      <c r="V329">
        <f t="shared" si="46"/>
        <v>2.9776470588235293</v>
      </c>
      <c r="AB329">
        <f t="shared" si="47"/>
        <v>10</v>
      </c>
      <c r="AC329">
        <f t="shared" si="48"/>
        <v>52</v>
      </c>
      <c r="AD329" s="2">
        <f t="shared" si="49"/>
        <v>0.30769230769230771</v>
      </c>
      <c r="AE329" s="2">
        <f t="shared" si="50"/>
        <v>0.13461538461538461</v>
      </c>
      <c r="AF329" s="3">
        <f t="shared" si="51"/>
        <v>82.692307692307693</v>
      </c>
      <c r="AG329">
        <f t="shared" si="52"/>
        <v>111.99999999999999</v>
      </c>
      <c r="AH329">
        <f t="shared" si="53"/>
        <v>14.888235294117647</v>
      </c>
    </row>
    <row r="330" spans="1:34" x14ac:dyDescent="0.25">
      <c r="A330" t="s">
        <v>355</v>
      </c>
      <c r="B330" t="s">
        <v>23</v>
      </c>
      <c r="C330">
        <v>34</v>
      </c>
      <c r="D330">
        <v>0.186</v>
      </c>
      <c r="E330">
        <v>0.25600000000000001</v>
      </c>
      <c r="F330">
        <v>0.30099999999999999</v>
      </c>
      <c r="G330">
        <v>113</v>
      </c>
      <c r="H330">
        <v>21</v>
      </c>
      <c r="I330">
        <v>7</v>
      </c>
      <c r="J330">
        <v>0</v>
      </c>
      <c r="K330">
        <v>2</v>
      </c>
      <c r="L330">
        <v>15</v>
      </c>
      <c r="M330">
        <v>12</v>
      </c>
      <c r="N330">
        <v>6</v>
      </c>
      <c r="O330">
        <v>5</v>
      </c>
      <c r="P330">
        <v>42</v>
      </c>
      <c r="Q330">
        <v>2</v>
      </c>
      <c r="R330">
        <v>2</v>
      </c>
      <c r="T330">
        <f t="shared" si="45"/>
        <v>1.3858823529411766</v>
      </c>
      <c r="V330">
        <f t="shared" si="46"/>
        <v>2.7717647058823531</v>
      </c>
      <c r="AB330">
        <f t="shared" si="47"/>
        <v>4</v>
      </c>
      <c r="AC330">
        <f t="shared" si="48"/>
        <v>124</v>
      </c>
      <c r="AD330" s="2">
        <f t="shared" si="49"/>
        <v>0.33870967741935482</v>
      </c>
      <c r="AE330" s="2">
        <f t="shared" si="50"/>
        <v>8.8709677419354843E-2</v>
      </c>
      <c r="AF330" s="3">
        <f t="shared" si="51"/>
        <v>75</v>
      </c>
      <c r="AG330">
        <f t="shared" si="52"/>
        <v>114.99999999999999</v>
      </c>
      <c r="AH330">
        <f t="shared" si="53"/>
        <v>13.858823529411765</v>
      </c>
    </row>
    <row r="331" spans="1:34" x14ac:dyDescent="0.25">
      <c r="A331" t="s">
        <v>356</v>
      </c>
      <c r="B331" t="s">
        <v>19</v>
      </c>
      <c r="C331">
        <v>34</v>
      </c>
      <c r="D331">
        <v>0.189</v>
      </c>
      <c r="E331">
        <v>0.27100000000000002</v>
      </c>
      <c r="F331">
        <v>0.27400000000000002</v>
      </c>
      <c r="G331">
        <v>190</v>
      </c>
      <c r="H331">
        <v>36</v>
      </c>
      <c r="I331">
        <v>7</v>
      </c>
      <c r="J331">
        <v>0</v>
      </c>
      <c r="K331">
        <v>3</v>
      </c>
      <c r="L331">
        <v>14</v>
      </c>
      <c r="M331">
        <v>14</v>
      </c>
      <c r="N331">
        <v>4</v>
      </c>
      <c r="O331">
        <v>18</v>
      </c>
      <c r="P331">
        <v>35</v>
      </c>
      <c r="Q331">
        <v>1</v>
      </c>
      <c r="R331">
        <v>1</v>
      </c>
      <c r="T331">
        <f t="shared" si="45"/>
        <v>5.5764705882352947</v>
      </c>
      <c r="V331">
        <f t="shared" si="46"/>
        <v>11.152941176470589</v>
      </c>
      <c r="AB331">
        <f t="shared" si="47"/>
        <v>10</v>
      </c>
      <c r="AC331">
        <f t="shared" si="48"/>
        <v>212</v>
      </c>
      <c r="AD331" s="2">
        <f t="shared" si="49"/>
        <v>0.1650943396226415</v>
      </c>
      <c r="AE331" s="2">
        <f t="shared" si="50"/>
        <v>0.10377358490566038</v>
      </c>
      <c r="AF331" s="3">
        <f t="shared" si="51"/>
        <v>93.867924528301884</v>
      </c>
      <c r="AG331">
        <f t="shared" si="52"/>
        <v>85.000000000000014</v>
      </c>
      <c r="AH331">
        <f t="shared" si="53"/>
        <v>55.764705882352949</v>
      </c>
    </row>
    <row r="332" spans="1:34" x14ac:dyDescent="0.25">
      <c r="A332" t="s">
        <v>357</v>
      </c>
      <c r="B332" t="s">
        <v>19</v>
      </c>
      <c r="C332">
        <v>34</v>
      </c>
      <c r="D332">
        <v>0.29099999999999998</v>
      </c>
      <c r="E332">
        <v>0.32100000000000001</v>
      </c>
      <c r="F332">
        <v>0.54400000000000004</v>
      </c>
      <c r="G332">
        <v>103</v>
      </c>
      <c r="H332">
        <v>30</v>
      </c>
      <c r="I332">
        <v>8</v>
      </c>
      <c r="J332">
        <v>0</v>
      </c>
      <c r="K332">
        <v>6</v>
      </c>
      <c r="L332">
        <v>13</v>
      </c>
      <c r="M332">
        <v>21</v>
      </c>
      <c r="N332">
        <v>0</v>
      </c>
      <c r="O332">
        <v>5</v>
      </c>
      <c r="P332">
        <v>32</v>
      </c>
      <c r="Q332">
        <v>0</v>
      </c>
      <c r="R332">
        <v>0</v>
      </c>
      <c r="T332">
        <f t="shared" si="45"/>
        <v>5.2094117647058829</v>
      </c>
      <c r="V332">
        <f t="shared" si="46"/>
        <v>10.418823529411766</v>
      </c>
      <c r="AB332">
        <f t="shared" si="47"/>
        <v>10</v>
      </c>
      <c r="AC332">
        <f t="shared" si="48"/>
        <v>108</v>
      </c>
      <c r="AD332" s="2">
        <f t="shared" si="49"/>
        <v>0.29629629629629628</v>
      </c>
      <c r="AE332" s="2">
        <f t="shared" si="50"/>
        <v>4.6296296296296294E-2</v>
      </c>
      <c r="AF332" s="3">
        <f t="shared" si="51"/>
        <v>75</v>
      </c>
      <c r="AG332">
        <f t="shared" si="52"/>
        <v>253.00000000000006</v>
      </c>
      <c r="AH332">
        <f t="shared" si="53"/>
        <v>52.09411764705883</v>
      </c>
    </row>
    <row r="333" spans="1:34" x14ac:dyDescent="0.25">
      <c r="A333" t="s">
        <v>358</v>
      </c>
      <c r="B333" t="s">
        <v>26</v>
      </c>
      <c r="C333">
        <v>35</v>
      </c>
      <c r="D333">
        <v>0</v>
      </c>
      <c r="E333">
        <v>0.1</v>
      </c>
      <c r="F333">
        <v>0</v>
      </c>
      <c r="G333">
        <v>9</v>
      </c>
      <c r="H333">
        <v>0</v>
      </c>
      <c r="I333">
        <v>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1</v>
      </c>
      <c r="P333">
        <v>3</v>
      </c>
      <c r="Q333">
        <v>1</v>
      </c>
      <c r="R333">
        <v>0</v>
      </c>
      <c r="T333">
        <f t="shared" si="45"/>
        <v>0.11428571428571428</v>
      </c>
      <c r="V333">
        <f t="shared" si="46"/>
        <v>0.22857142857142856</v>
      </c>
      <c r="AB333">
        <f t="shared" si="47"/>
        <v>10</v>
      </c>
      <c r="AC333">
        <f t="shared" si="48"/>
        <v>10</v>
      </c>
      <c r="AD333" s="2">
        <f t="shared" si="49"/>
        <v>0.3</v>
      </c>
      <c r="AE333" s="2">
        <f t="shared" si="50"/>
        <v>0.1</v>
      </c>
      <c r="AF333" s="3">
        <f t="shared" si="51"/>
        <v>80</v>
      </c>
      <c r="AG333">
        <f t="shared" si="52"/>
        <v>0</v>
      </c>
      <c r="AH333">
        <f t="shared" si="53"/>
        <v>1.1428571428571428</v>
      </c>
    </row>
    <row r="334" spans="1:34" x14ac:dyDescent="0.25">
      <c r="A334" t="s">
        <v>359</v>
      </c>
      <c r="B334" t="s">
        <v>19</v>
      </c>
      <c r="C334">
        <v>35</v>
      </c>
      <c r="D334">
        <v>0.214</v>
      </c>
      <c r="E334">
        <v>0.23300000000000001</v>
      </c>
      <c r="F334">
        <v>0.28599999999999998</v>
      </c>
      <c r="G334">
        <v>42</v>
      </c>
      <c r="H334">
        <v>9</v>
      </c>
      <c r="I334">
        <v>3</v>
      </c>
      <c r="J334">
        <v>0</v>
      </c>
      <c r="K334">
        <v>0</v>
      </c>
      <c r="L334">
        <v>4</v>
      </c>
      <c r="M334">
        <v>2</v>
      </c>
      <c r="N334">
        <v>0</v>
      </c>
      <c r="O334">
        <v>1</v>
      </c>
      <c r="P334">
        <v>14</v>
      </c>
      <c r="Q334">
        <v>0</v>
      </c>
      <c r="R334">
        <v>0</v>
      </c>
      <c r="T334">
        <f t="shared" si="45"/>
        <v>0.87085714285714277</v>
      </c>
      <c r="V334">
        <f t="shared" si="46"/>
        <v>1.7417142857142855</v>
      </c>
      <c r="AB334">
        <f t="shared" si="47"/>
        <v>10</v>
      </c>
      <c r="AC334">
        <f t="shared" si="48"/>
        <v>43</v>
      </c>
      <c r="AD334" s="2">
        <f t="shared" si="49"/>
        <v>0.32558139534883723</v>
      </c>
      <c r="AE334" s="2">
        <f t="shared" si="50"/>
        <v>2.3255813953488372E-2</v>
      </c>
      <c r="AF334" s="3">
        <f t="shared" si="51"/>
        <v>69.767441860465112</v>
      </c>
      <c r="AG334">
        <f t="shared" si="52"/>
        <v>71.999999999999986</v>
      </c>
      <c r="AH334">
        <f t="shared" si="53"/>
        <v>8.7085714285714282</v>
      </c>
    </row>
    <row r="335" spans="1:34" x14ac:dyDescent="0.25">
      <c r="A335" t="s">
        <v>360</v>
      </c>
      <c r="B335" t="s">
        <v>33</v>
      </c>
      <c r="C335">
        <v>35</v>
      </c>
      <c r="D335">
        <v>0.21</v>
      </c>
      <c r="E335">
        <v>0.26200000000000001</v>
      </c>
      <c r="F335">
        <v>0.23</v>
      </c>
      <c r="G335">
        <v>100</v>
      </c>
      <c r="H335">
        <v>21</v>
      </c>
      <c r="I335">
        <v>2</v>
      </c>
      <c r="J335">
        <v>0</v>
      </c>
      <c r="K335">
        <v>0</v>
      </c>
      <c r="L335">
        <v>12</v>
      </c>
      <c r="M335">
        <v>2</v>
      </c>
      <c r="N335">
        <v>2</v>
      </c>
      <c r="O335">
        <v>5</v>
      </c>
      <c r="P335">
        <v>22</v>
      </c>
      <c r="Q335">
        <v>11</v>
      </c>
      <c r="R335">
        <v>3</v>
      </c>
      <c r="T335">
        <f t="shared" si="45"/>
        <v>0.97200000000000009</v>
      </c>
      <c r="V335">
        <f t="shared" si="46"/>
        <v>1.9440000000000002</v>
      </c>
      <c r="AB335">
        <f t="shared" si="47"/>
        <v>6</v>
      </c>
      <c r="AC335">
        <f t="shared" si="48"/>
        <v>107</v>
      </c>
      <c r="AD335" s="2">
        <f t="shared" si="49"/>
        <v>0.20560747663551401</v>
      </c>
      <c r="AE335" s="2">
        <f t="shared" si="50"/>
        <v>6.5420560747663545E-2</v>
      </c>
      <c r="AF335" s="3">
        <f t="shared" si="51"/>
        <v>85.981308411214954</v>
      </c>
      <c r="AG335">
        <f t="shared" si="52"/>
        <v>20.000000000000018</v>
      </c>
      <c r="AH335">
        <f t="shared" si="53"/>
        <v>9.7200000000000006</v>
      </c>
    </row>
    <row r="336" spans="1:34" x14ac:dyDescent="0.25">
      <c r="A336" t="s">
        <v>361</v>
      </c>
      <c r="B336" t="s">
        <v>19</v>
      </c>
      <c r="C336">
        <v>35</v>
      </c>
      <c r="D336">
        <v>0.42899999999999999</v>
      </c>
      <c r="E336">
        <v>0.42899999999999999</v>
      </c>
      <c r="F336">
        <v>0.42899999999999999</v>
      </c>
      <c r="G336">
        <v>7</v>
      </c>
      <c r="H336">
        <v>3</v>
      </c>
      <c r="I336">
        <v>0</v>
      </c>
      <c r="J336">
        <v>0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1</v>
      </c>
      <c r="Q336">
        <v>0</v>
      </c>
      <c r="R336">
        <v>0</v>
      </c>
      <c r="T336">
        <f t="shared" si="45"/>
        <v>8.5714285714285715E-2</v>
      </c>
      <c r="V336">
        <f t="shared" si="46"/>
        <v>0.17142857142857143</v>
      </c>
      <c r="AB336">
        <f t="shared" si="47"/>
        <v>10</v>
      </c>
      <c r="AC336">
        <f t="shared" si="48"/>
        <v>7</v>
      </c>
      <c r="AD336" s="2">
        <f t="shared" si="49"/>
        <v>0.14285714285714285</v>
      </c>
      <c r="AE336" s="2">
        <f t="shared" si="50"/>
        <v>0</v>
      </c>
      <c r="AF336" s="3">
        <f t="shared" si="51"/>
        <v>85.714285714285722</v>
      </c>
      <c r="AG336">
        <f t="shared" si="52"/>
        <v>0</v>
      </c>
      <c r="AH336">
        <f t="shared" si="53"/>
        <v>0.85714285714285721</v>
      </c>
    </row>
    <row r="337" spans="1:34" x14ac:dyDescent="0.25">
      <c r="A337" t="s">
        <v>362</v>
      </c>
      <c r="B337" t="s">
        <v>48</v>
      </c>
      <c r="C337">
        <v>35</v>
      </c>
      <c r="D337">
        <v>0.17599999999999999</v>
      </c>
      <c r="E337">
        <v>0.223</v>
      </c>
      <c r="F337">
        <v>0.27100000000000002</v>
      </c>
      <c r="G337">
        <v>85</v>
      </c>
      <c r="H337">
        <v>15</v>
      </c>
      <c r="I337">
        <v>2</v>
      </c>
      <c r="J337">
        <v>0</v>
      </c>
      <c r="K337">
        <v>2</v>
      </c>
      <c r="L337">
        <v>9</v>
      </c>
      <c r="M337">
        <v>12</v>
      </c>
      <c r="N337">
        <v>0</v>
      </c>
      <c r="O337">
        <v>6</v>
      </c>
      <c r="P337">
        <v>20</v>
      </c>
      <c r="Q337">
        <v>0</v>
      </c>
      <c r="R337">
        <v>1</v>
      </c>
      <c r="T337">
        <f t="shared" si="45"/>
        <v>0.46700000000000008</v>
      </c>
      <c r="V337">
        <f t="shared" si="46"/>
        <v>0.93400000000000016</v>
      </c>
      <c r="AB337">
        <f t="shared" si="47"/>
        <v>2</v>
      </c>
      <c r="AC337">
        <f t="shared" si="48"/>
        <v>91</v>
      </c>
      <c r="AD337" s="2">
        <f t="shared" si="49"/>
        <v>0.21978021978021978</v>
      </c>
      <c r="AE337" s="2">
        <f t="shared" si="50"/>
        <v>6.5934065934065936E-2</v>
      </c>
      <c r="AF337" s="3">
        <f t="shared" si="51"/>
        <v>84.615384615384613</v>
      </c>
      <c r="AG337">
        <f t="shared" si="52"/>
        <v>95.000000000000028</v>
      </c>
      <c r="AH337">
        <f t="shared" si="53"/>
        <v>4.6700000000000008</v>
      </c>
    </row>
    <row r="338" spans="1:34" x14ac:dyDescent="0.25">
      <c r="A338" t="s">
        <v>363</v>
      </c>
      <c r="B338" t="s">
        <v>31</v>
      </c>
      <c r="C338">
        <v>35</v>
      </c>
      <c r="D338">
        <v>0.22900000000000001</v>
      </c>
      <c r="E338">
        <v>0.29799999999999999</v>
      </c>
      <c r="F338">
        <v>0.29399999999999998</v>
      </c>
      <c r="G338">
        <v>306</v>
      </c>
      <c r="H338">
        <v>70</v>
      </c>
      <c r="I338">
        <v>11</v>
      </c>
      <c r="J338">
        <v>0</v>
      </c>
      <c r="K338">
        <v>3</v>
      </c>
      <c r="L338">
        <v>29</v>
      </c>
      <c r="M338">
        <v>36</v>
      </c>
      <c r="N338">
        <v>7</v>
      </c>
      <c r="O338">
        <v>24</v>
      </c>
      <c r="P338">
        <v>56</v>
      </c>
      <c r="Q338">
        <v>5</v>
      </c>
      <c r="R338">
        <v>1</v>
      </c>
      <c r="T338">
        <f t="shared" si="45"/>
        <v>6.0691428571428565</v>
      </c>
      <c r="V338">
        <f t="shared" si="46"/>
        <v>12.138285714285713</v>
      </c>
      <c r="AB338">
        <f t="shared" si="47"/>
        <v>8</v>
      </c>
      <c r="AC338">
        <f t="shared" si="48"/>
        <v>337</v>
      </c>
      <c r="AD338" s="2">
        <f t="shared" si="49"/>
        <v>0.16617210682492581</v>
      </c>
      <c r="AE338" s="2">
        <f t="shared" si="50"/>
        <v>9.1988130563798218E-2</v>
      </c>
      <c r="AF338" s="3">
        <f t="shared" si="51"/>
        <v>92.581602373887236</v>
      </c>
      <c r="AG338">
        <f t="shared" si="52"/>
        <v>64.999999999999972</v>
      </c>
      <c r="AH338">
        <f t="shared" si="53"/>
        <v>60.691428571428567</v>
      </c>
    </row>
    <row r="339" spans="1:34" x14ac:dyDescent="0.25">
      <c r="A339" t="s">
        <v>364</v>
      </c>
      <c r="B339" t="s">
        <v>21</v>
      </c>
      <c r="C339">
        <v>35</v>
      </c>
      <c r="D339">
        <v>0.22500000000000001</v>
      </c>
      <c r="E339">
        <v>0.28799999999999998</v>
      </c>
      <c r="F339">
        <v>0.29399999999999998</v>
      </c>
      <c r="G339">
        <v>102</v>
      </c>
      <c r="H339">
        <v>23</v>
      </c>
      <c r="I339">
        <v>4</v>
      </c>
      <c r="J339">
        <v>0</v>
      </c>
      <c r="K339">
        <v>1</v>
      </c>
      <c r="L339">
        <v>9</v>
      </c>
      <c r="M339">
        <v>4</v>
      </c>
      <c r="N339">
        <v>0</v>
      </c>
      <c r="O339">
        <v>9</v>
      </c>
      <c r="P339">
        <v>18</v>
      </c>
      <c r="Q339">
        <v>0</v>
      </c>
      <c r="R339">
        <v>0</v>
      </c>
      <c r="T339">
        <f t="shared" si="45"/>
        <v>0.25512857142857143</v>
      </c>
      <c r="V339">
        <f t="shared" si="46"/>
        <v>0.51025714285714285</v>
      </c>
      <c r="AB339">
        <f t="shared" si="47"/>
        <v>1</v>
      </c>
      <c r="AC339">
        <f t="shared" si="48"/>
        <v>111</v>
      </c>
      <c r="AD339" s="2">
        <f t="shared" si="49"/>
        <v>0.16216216216216217</v>
      </c>
      <c r="AE339" s="2">
        <f t="shared" si="50"/>
        <v>8.1081081081081086E-2</v>
      </c>
      <c r="AF339" s="3">
        <f t="shared" si="51"/>
        <v>91.891891891891888</v>
      </c>
      <c r="AG339">
        <f t="shared" si="52"/>
        <v>68.999999999999972</v>
      </c>
      <c r="AH339">
        <f t="shared" si="53"/>
        <v>2.5512857142857142</v>
      </c>
    </row>
    <row r="340" spans="1:34" x14ac:dyDescent="0.25">
      <c r="A340" t="s">
        <v>365</v>
      </c>
      <c r="B340" t="s">
        <v>19</v>
      </c>
      <c r="C340">
        <v>35</v>
      </c>
      <c r="D340">
        <v>0.26</v>
      </c>
      <c r="E340">
        <v>0.32400000000000001</v>
      </c>
      <c r="F340">
        <v>0.43099999999999999</v>
      </c>
      <c r="G340">
        <v>123</v>
      </c>
      <c r="H340">
        <v>32</v>
      </c>
      <c r="I340">
        <v>6</v>
      </c>
      <c r="J340">
        <v>0</v>
      </c>
      <c r="K340">
        <v>5</v>
      </c>
      <c r="L340">
        <v>18</v>
      </c>
      <c r="M340">
        <v>17</v>
      </c>
      <c r="N340">
        <v>4</v>
      </c>
      <c r="O340">
        <v>8</v>
      </c>
      <c r="P340">
        <v>33</v>
      </c>
      <c r="Q340">
        <v>0</v>
      </c>
      <c r="R340">
        <v>0</v>
      </c>
      <c r="T340">
        <f t="shared" si="45"/>
        <v>4.9264285714285707</v>
      </c>
      <c r="V340">
        <f t="shared" si="46"/>
        <v>9.8528571428571414</v>
      </c>
      <c r="AB340">
        <f t="shared" si="47"/>
        <v>10</v>
      </c>
      <c r="AC340">
        <f t="shared" si="48"/>
        <v>135</v>
      </c>
      <c r="AD340" s="2">
        <f t="shared" si="49"/>
        <v>0.24444444444444444</v>
      </c>
      <c r="AE340" s="2">
        <f t="shared" si="50"/>
        <v>8.8888888888888892E-2</v>
      </c>
      <c r="AF340" s="3">
        <f t="shared" si="51"/>
        <v>84.444444444444443</v>
      </c>
      <c r="AG340">
        <f t="shared" si="52"/>
        <v>170.99999999999997</v>
      </c>
      <c r="AH340">
        <f t="shared" si="53"/>
        <v>49.264285714285705</v>
      </c>
    </row>
    <row r="341" spans="1:34" x14ac:dyDescent="0.25">
      <c r="A341" t="s">
        <v>366</v>
      </c>
      <c r="B341" t="s">
        <v>19</v>
      </c>
      <c r="C341">
        <v>35</v>
      </c>
      <c r="D341">
        <v>0.184</v>
      </c>
      <c r="E341">
        <v>0.22500000000000001</v>
      </c>
      <c r="F341">
        <v>0.21099999999999999</v>
      </c>
      <c r="G341">
        <v>38</v>
      </c>
      <c r="H341">
        <v>7</v>
      </c>
      <c r="I341">
        <v>1</v>
      </c>
      <c r="J341">
        <v>0</v>
      </c>
      <c r="K341">
        <v>0</v>
      </c>
      <c r="L341">
        <v>2</v>
      </c>
      <c r="M341">
        <v>1</v>
      </c>
      <c r="N341">
        <v>0</v>
      </c>
      <c r="O341">
        <v>2</v>
      </c>
      <c r="P341">
        <v>5</v>
      </c>
      <c r="Q341">
        <v>0</v>
      </c>
      <c r="R341">
        <v>0</v>
      </c>
      <c r="T341">
        <f t="shared" si="45"/>
        <v>0.68285714285714294</v>
      </c>
      <c r="V341">
        <f t="shared" si="46"/>
        <v>1.3657142857142859</v>
      </c>
      <c r="AB341">
        <f t="shared" si="47"/>
        <v>10</v>
      </c>
      <c r="AC341">
        <f t="shared" si="48"/>
        <v>40</v>
      </c>
      <c r="AD341" s="2">
        <f t="shared" si="49"/>
        <v>0.125</v>
      </c>
      <c r="AE341" s="2">
        <f t="shared" si="50"/>
        <v>0.05</v>
      </c>
      <c r="AF341" s="3">
        <f t="shared" si="51"/>
        <v>92.5</v>
      </c>
      <c r="AG341">
        <f t="shared" si="52"/>
        <v>26.999999999999996</v>
      </c>
      <c r="AH341">
        <f t="shared" si="53"/>
        <v>6.8285714285714292</v>
      </c>
    </row>
    <row r="342" spans="1:34" x14ac:dyDescent="0.25">
      <c r="A342" t="s">
        <v>367</v>
      </c>
      <c r="B342" t="s">
        <v>19</v>
      </c>
      <c r="C342">
        <v>35</v>
      </c>
      <c r="D342">
        <v>0.13400000000000001</v>
      </c>
      <c r="E342">
        <v>0.19500000000000001</v>
      </c>
      <c r="F342">
        <v>0.16800000000000001</v>
      </c>
      <c r="G342">
        <v>119</v>
      </c>
      <c r="H342">
        <v>16</v>
      </c>
      <c r="I342">
        <v>4</v>
      </c>
      <c r="J342">
        <v>0</v>
      </c>
      <c r="K342">
        <v>0</v>
      </c>
      <c r="L342">
        <v>5</v>
      </c>
      <c r="M342">
        <v>9</v>
      </c>
      <c r="N342">
        <v>3</v>
      </c>
      <c r="O342">
        <v>6</v>
      </c>
      <c r="P342">
        <v>40</v>
      </c>
      <c r="Q342">
        <v>0</v>
      </c>
      <c r="R342">
        <v>0</v>
      </c>
      <c r="T342">
        <f t="shared" si="45"/>
        <v>2.0074285714285716</v>
      </c>
      <c r="V342">
        <f t="shared" si="46"/>
        <v>4.0148571428571431</v>
      </c>
      <c r="AB342">
        <f t="shared" si="47"/>
        <v>10</v>
      </c>
      <c r="AC342">
        <f t="shared" si="48"/>
        <v>128</v>
      </c>
      <c r="AD342" s="2">
        <f t="shared" si="49"/>
        <v>0.3125</v>
      </c>
      <c r="AE342" s="2">
        <f t="shared" si="50"/>
        <v>7.03125E-2</v>
      </c>
      <c r="AF342" s="3">
        <f t="shared" si="51"/>
        <v>75.78125</v>
      </c>
      <c r="AG342">
        <f t="shared" si="52"/>
        <v>34</v>
      </c>
      <c r="AH342">
        <f t="shared" si="53"/>
        <v>20.074285714285715</v>
      </c>
    </row>
    <row r="343" spans="1:34" x14ac:dyDescent="0.25">
      <c r="A343" t="s">
        <v>368</v>
      </c>
      <c r="B343" t="s">
        <v>48</v>
      </c>
      <c r="C343">
        <v>36</v>
      </c>
      <c r="D343">
        <v>0.21199999999999999</v>
      </c>
      <c r="E343">
        <v>0.27200000000000002</v>
      </c>
      <c r="F343">
        <v>0.26500000000000001</v>
      </c>
      <c r="G343">
        <v>113</v>
      </c>
      <c r="H343">
        <v>24</v>
      </c>
      <c r="I343">
        <v>3</v>
      </c>
      <c r="J343">
        <v>0</v>
      </c>
      <c r="K343">
        <v>1</v>
      </c>
      <c r="L343">
        <v>9</v>
      </c>
      <c r="M343">
        <v>6</v>
      </c>
      <c r="N343">
        <v>3</v>
      </c>
      <c r="O343">
        <v>7</v>
      </c>
      <c r="P343">
        <v>24</v>
      </c>
      <c r="Q343">
        <v>0</v>
      </c>
      <c r="R343">
        <v>1</v>
      </c>
      <c r="T343">
        <f t="shared" si="45"/>
        <v>0.48386111111111124</v>
      </c>
      <c r="V343">
        <f t="shared" si="46"/>
        <v>0.96772222222222248</v>
      </c>
      <c r="AB343">
        <f t="shared" si="47"/>
        <v>2</v>
      </c>
      <c r="AC343">
        <f t="shared" si="48"/>
        <v>123</v>
      </c>
      <c r="AD343" s="2">
        <f t="shared" si="49"/>
        <v>0.1951219512195122</v>
      </c>
      <c r="AE343" s="2">
        <f t="shared" si="50"/>
        <v>8.1300813008130079E-2</v>
      </c>
      <c r="AF343" s="3">
        <f t="shared" si="51"/>
        <v>88.617886178861795</v>
      </c>
      <c r="AG343">
        <f t="shared" si="52"/>
        <v>53.000000000000021</v>
      </c>
      <c r="AH343">
        <f t="shared" si="53"/>
        <v>4.8386111111111125</v>
      </c>
    </row>
    <row r="344" spans="1:34" x14ac:dyDescent="0.25">
      <c r="A344" t="s">
        <v>369</v>
      </c>
      <c r="B344" t="s">
        <v>19</v>
      </c>
      <c r="C344">
        <v>36</v>
      </c>
      <c r="D344">
        <v>0.19700000000000001</v>
      </c>
      <c r="E344">
        <v>0.255</v>
      </c>
      <c r="F344">
        <v>0.34300000000000003</v>
      </c>
      <c r="G344">
        <v>213</v>
      </c>
      <c r="H344">
        <v>42</v>
      </c>
      <c r="I344">
        <v>13</v>
      </c>
      <c r="J344">
        <v>0</v>
      </c>
      <c r="K344">
        <v>6</v>
      </c>
      <c r="L344">
        <v>16</v>
      </c>
      <c r="M344">
        <v>21</v>
      </c>
      <c r="N344">
        <v>4</v>
      </c>
      <c r="O344">
        <v>13</v>
      </c>
      <c r="P344">
        <v>74</v>
      </c>
      <c r="Q344">
        <v>0</v>
      </c>
      <c r="R344">
        <v>0</v>
      </c>
      <c r="T344">
        <f t="shared" si="45"/>
        <v>7.0666666666666682</v>
      </c>
      <c r="V344">
        <f t="shared" si="46"/>
        <v>14.133333333333336</v>
      </c>
      <c r="AB344">
        <f t="shared" si="47"/>
        <v>10</v>
      </c>
      <c r="AC344">
        <f t="shared" si="48"/>
        <v>230</v>
      </c>
      <c r="AD344" s="2">
        <f t="shared" si="49"/>
        <v>0.32173913043478258</v>
      </c>
      <c r="AE344" s="2">
        <f t="shared" si="50"/>
        <v>7.3913043478260873E-2</v>
      </c>
      <c r="AF344" s="3">
        <f t="shared" si="51"/>
        <v>75.217391304347828</v>
      </c>
      <c r="AG344">
        <f t="shared" si="52"/>
        <v>146.00000000000003</v>
      </c>
      <c r="AH344">
        <f t="shared" si="53"/>
        <v>70.666666666666686</v>
      </c>
    </row>
    <row r="345" spans="1:34" x14ac:dyDescent="0.25">
      <c r="A345" t="s">
        <v>370</v>
      </c>
      <c r="B345" t="s">
        <v>31</v>
      </c>
      <c r="C345">
        <v>36</v>
      </c>
      <c r="D345">
        <v>0.26600000000000001</v>
      </c>
      <c r="E345">
        <v>0.33800000000000002</v>
      </c>
      <c r="F345">
        <v>0.33600000000000002</v>
      </c>
      <c r="G345">
        <v>128</v>
      </c>
      <c r="H345">
        <v>34</v>
      </c>
      <c r="I345">
        <v>3</v>
      </c>
      <c r="J345">
        <v>0</v>
      </c>
      <c r="K345">
        <v>2</v>
      </c>
      <c r="L345">
        <v>13</v>
      </c>
      <c r="M345">
        <v>12</v>
      </c>
      <c r="N345">
        <v>0</v>
      </c>
      <c r="O345">
        <v>14</v>
      </c>
      <c r="P345">
        <v>35</v>
      </c>
      <c r="Q345">
        <v>0</v>
      </c>
      <c r="R345">
        <v>0</v>
      </c>
      <c r="T345">
        <f t="shared" si="45"/>
        <v>2.4488888888888889</v>
      </c>
      <c r="V345">
        <f t="shared" si="46"/>
        <v>4.8977777777777778</v>
      </c>
      <c r="AB345">
        <f t="shared" si="47"/>
        <v>8</v>
      </c>
      <c r="AC345">
        <f t="shared" si="48"/>
        <v>142</v>
      </c>
      <c r="AD345" s="2">
        <f t="shared" si="49"/>
        <v>0.24647887323943662</v>
      </c>
      <c r="AE345" s="2">
        <f t="shared" si="50"/>
        <v>9.8591549295774641E-2</v>
      </c>
      <c r="AF345" s="3">
        <f t="shared" si="51"/>
        <v>85.211267605633793</v>
      </c>
      <c r="AG345">
        <f t="shared" si="52"/>
        <v>70</v>
      </c>
      <c r="AH345">
        <f t="shared" si="53"/>
        <v>24.488888888888887</v>
      </c>
    </row>
    <row r="346" spans="1:34" x14ac:dyDescent="0.25">
      <c r="A346" t="s">
        <v>371</v>
      </c>
      <c r="B346" t="s">
        <v>19</v>
      </c>
      <c r="C346">
        <v>36</v>
      </c>
      <c r="D346">
        <v>8.3000000000000004E-2</v>
      </c>
      <c r="E346">
        <v>8.3000000000000004E-2</v>
      </c>
      <c r="F346">
        <v>0.33300000000000002</v>
      </c>
      <c r="G346">
        <v>12</v>
      </c>
      <c r="H346">
        <v>1</v>
      </c>
      <c r="I346">
        <v>0</v>
      </c>
      <c r="J346">
        <v>0</v>
      </c>
      <c r="K346">
        <v>1</v>
      </c>
      <c r="L346">
        <v>1</v>
      </c>
      <c r="M346">
        <v>3</v>
      </c>
      <c r="N346">
        <v>0</v>
      </c>
      <c r="O346">
        <v>0</v>
      </c>
      <c r="P346">
        <v>4</v>
      </c>
      <c r="Q346">
        <v>0</v>
      </c>
      <c r="R346">
        <v>0</v>
      </c>
      <c r="T346">
        <f t="shared" si="45"/>
        <v>0.52777777777777779</v>
      </c>
      <c r="V346">
        <f t="shared" si="46"/>
        <v>1.0555555555555556</v>
      </c>
      <c r="AB346">
        <f t="shared" si="47"/>
        <v>10</v>
      </c>
      <c r="AC346">
        <f t="shared" si="48"/>
        <v>12</v>
      </c>
      <c r="AD346" s="2">
        <f t="shared" si="49"/>
        <v>0.33333333333333331</v>
      </c>
      <c r="AE346" s="2">
        <f t="shared" si="50"/>
        <v>0</v>
      </c>
      <c r="AF346" s="3">
        <f t="shared" si="51"/>
        <v>66.666666666666671</v>
      </c>
      <c r="AG346">
        <f t="shared" si="52"/>
        <v>250</v>
      </c>
      <c r="AH346">
        <f t="shared" si="53"/>
        <v>5.2777777777777777</v>
      </c>
    </row>
    <row r="347" spans="1:34" x14ac:dyDescent="0.25">
      <c r="A347" t="s">
        <v>372</v>
      </c>
      <c r="B347" t="s">
        <v>60</v>
      </c>
      <c r="C347">
        <v>36</v>
      </c>
      <c r="D347">
        <v>0.20899999999999999</v>
      </c>
      <c r="E347">
        <v>0.20899999999999999</v>
      </c>
      <c r="F347">
        <v>0.25600000000000001</v>
      </c>
      <c r="G347">
        <v>43</v>
      </c>
      <c r="H347">
        <v>9</v>
      </c>
      <c r="I347">
        <v>2</v>
      </c>
      <c r="J347">
        <v>0</v>
      </c>
      <c r="K347">
        <v>0</v>
      </c>
      <c r="L347">
        <v>6</v>
      </c>
      <c r="M347">
        <v>1</v>
      </c>
      <c r="N347">
        <v>0</v>
      </c>
      <c r="O347">
        <v>0</v>
      </c>
      <c r="P347">
        <v>8</v>
      </c>
      <c r="Q347">
        <v>3</v>
      </c>
      <c r="R347">
        <v>0</v>
      </c>
      <c r="T347">
        <f t="shared" si="45"/>
        <v>0.61344444444444446</v>
      </c>
      <c r="V347">
        <f t="shared" si="46"/>
        <v>1.2268888888888889</v>
      </c>
      <c r="AB347">
        <f t="shared" si="47"/>
        <v>8</v>
      </c>
      <c r="AC347">
        <f t="shared" si="48"/>
        <v>43</v>
      </c>
      <c r="AD347" s="2">
        <f t="shared" si="49"/>
        <v>0.18604651162790697</v>
      </c>
      <c r="AE347" s="2">
        <f t="shared" si="50"/>
        <v>0</v>
      </c>
      <c r="AF347" s="3">
        <f t="shared" si="51"/>
        <v>81.395348837209298</v>
      </c>
      <c r="AG347">
        <f t="shared" si="52"/>
        <v>47.000000000000014</v>
      </c>
      <c r="AH347">
        <f t="shared" si="53"/>
        <v>6.134444444444445</v>
      </c>
    </row>
    <row r="348" spans="1:34" x14ac:dyDescent="0.25">
      <c r="A348" t="s">
        <v>373</v>
      </c>
      <c r="B348" t="s">
        <v>29</v>
      </c>
      <c r="C348">
        <v>37</v>
      </c>
      <c r="D348">
        <v>0.247</v>
      </c>
      <c r="E348">
        <v>0.29099999999999998</v>
      </c>
      <c r="F348">
        <v>0.33700000000000002</v>
      </c>
      <c r="G348">
        <v>166</v>
      </c>
      <c r="H348">
        <v>41</v>
      </c>
      <c r="I348">
        <v>4</v>
      </c>
      <c r="J348">
        <v>1</v>
      </c>
      <c r="K348">
        <v>3</v>
      </c>
      <c r="L348">
        <v>10</v>
      </c>
      <c r="M348">
        <v>21</v>
      </c>
      <c r="N348">
        <v>3</v>
      </c>
      <c r="O348">
        <v>8</v>
      </c>
      <c r="P348">
        <v>40</v>
      </c>
      <c r="Q348">
        <v>0</v>
      </c>
      <c r="R348">
        <v>0</v>
      </c>
      <c r="T348">
        <f t="shared" si="45"/>
        <v>0.83054054054054072</v>
      </c>
      <c r="V348">
        <f t="shared" si="46"/>
        <v>1.6610810810810814</v>
      </c>
      <c r="AB348">
        <f t="shared" si="47"/>
        <v>2</v>
      </c>
      <c r="AC348">
        <f t="shared" si="48"/>
        <v>177</v>
      </c>
      <c r="AD348" s="2">
        <f t="shared" si="49"/>
        <v>0.22598870056497175</v>
      </c>
      <c r="AE348" s="2">
        <f t="shared" si="50"/>
        <v>6.2146892655367235E-2</v>
      </c>
      <c r="AF348" s="3">
        <f t="shared" si="51"/>
        <v>83.615819209039557</v>
      </c>
      <c r="AG348">
        <f t="shared" si="52"/>
        <v>90.000000000000028</v>
      </c>
      <c r="AH348">
        <f t="shared" si="53"/>
        <v>8.3054054054054074</v>
      </c>
    </row>
    <row r="349" spans="1:34" x14ac:dyDescent="0.25">
      <c r="A349" t="s">
        <v>374</v>
      </c>
      <c r="B349" t="s">
        <v>19</v>
      </c>
      <c r="C349">
        <v>38</v>
      </c>
      <c r="D349">
        <v>0.20399999999999999</v>
      </c>
      <c r="E349">
        <v>0.245</v>
      </c>
      <c r="F349">
        <v>0.32700000000000001</v>
      </c>
      <c r="G349">
        <v>147</v>
      </c>
      <c r="H349">
        <v>30</v>
      </c>
      <c r="I349">
        <v>6</v>
      </c>
      <c r="J349">
        <v>0</v>
      </c>
      <c r="K349">
        <v>4</v>
      </c>
      <c r="L349">
        <v>11</v>
      </c>
      <c r="M349">
        <v>12</v>
      </c>
      <c r="N349">
        <v>0</v>
      </c>
      <c r="O349">
        <v>8</v>
      </c>
      <c r="P349">
        <v>57</v>
      </c>
      <c r="Q349">
        <v>0</v>
      </c>
      <c r="R349">
        <v>0</v>
      </c>
      <c r="T349">
        <f t="shared" si="45"/>
        <v>3.9032894736842119</v>
      </c>
      <c r="V349">
        <f t="shared" si="46"/>
        <v>7.8065789473684237</v>
      </c>
      <c r="AB349">
        <f t="shared" si="47"/>
        <v>10</v>
      </c>
      <c r="AC349">
        <f t="shared" si="48"/>
        <v>155</v>
      </c>
      <c r="AD349" s="2">
        <f t="shared" si="49"/>
        <v>0.36774193548387096</v>
      </c>
      <c r="AE349" s="2">
        <f t="shared" si="50"/>
        <v>5.1612903225806452E-2</v>
      </c>
      <c r="AF349" s="3">
        <f t="shared" si="51"/>
        <v>68.387096774193552</v>
      </c>
      <c r="AG349">
        <f t="shared" si="52"/>
        <v>123.00000000000003</v>
      </c>
      <c r="AH349">
        <f t="shared" si="53"/>
        <v>39.032894736842117</v>
      </c>
    </row>
    <row r="350" spans="1:34" x14ac:dyDescent="0.25">
      <c r="A350" t="s">
        <v>375</v>
      </c>
      <c r="B350" t="s">
        <v>21</v>
      </c>
      <c r="C350">
        <v>41</v>
      </c>
      <c r="D350">
        <v>0.111</v>
      </c>
      <c r="E350">
        <v>0.2</v>
      </c>
      <c r="F350">
        <v>0.13900000000000001</v>
      </c>
      <c r="G350">
        <v>36</v>
      </c>
      <c r="H350">
        <v>4</v>
      </c>
      <c r="I350">
        <v>1</v>
      </c>
      <c r="J350">
        <v>0</v>
      </c>
      <c r="K350">
        <v>0</v>
      </c>
      <c r="L350">
        <v>2</v>
      </c>
      <c r="M350">
        <v>3</v>
      </c>
      <c r="N350">
        <v>0</v>
      </c>
      <c r="O350">
        <v>4</v>
      </c>
      <c r="P350">
        <v>8</v>
      </c>
      <c r="Q350">
        <v>0</v>
      </c>
      <c r="R350">
        <v>0</v>
      </c>
      <c r="T350">
        <f t="shared" si="45"/>
        <v>5.7560975609756107E-2</v>
      </c>
      <c r="V350">
        <f t="shared" si="46"/>
        <v>0.11512195121951221</v>
      </c>
      <c r="AB350">
        <f t="shared" si="47"/>
        <v>1</v>
      </c>
      <c r="AC350">
        <f t="shared" si="48"/>
        <v>40</v>
      </c>
      <c r="AD350" s="2">
        <f t="shared" si="49"/>
        <v>0.2</v>
      </c>
      <c r="AE350" s="2">
        <f t="shared" si="50"/>
        <v>0.1</v>
      </c>
      <c r="AF350" s="3">
        <f t="shared" si="51"/>
        <v>90</v>
      </c>
      <c r="AG350">
        <f t="shared" si="52"/>
        <v>28.000000000000011</v>
      </c>
      <c r="AH350">
        <f t="shared" si="53"/>
        <v>0.57560975609756104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DBAAC-2115-42D9-B3FA-77CE400B3BFB}">
  <dimension ref="A1:Y538"/>
  <sheetViews>
    <sheetView workbookViewId="0">
      <selection activeCell="U1" sqref="U1:U1048576"/>
    </sheetView>
  </sheetViews>
  <sheetFormatPr defaultRowHeight="15" x14ac:dyDescent="0.25"/>
  <cols>
    <col min="1" max="1" width="23" bestFit="1" customWidth="1"/>
    <col min="2" max="2" width="3.42578125" bestFit="1" customWidth="1"/>
    <col min="3" max="3" width="4.42578125" bestFit="1" customWidth="1"/>
    <col min="4" max="4" width="6" bestFit="1" customWidth="1"/>
    <col min="5" max="8" width="3" bestFit="1" customWidth="1"/>
    <col min="9" max="9" width="3.28515625" bestFit="1" customWidth="1"/>
    <col min="10" max="10" width="3.42578125" bestFit="1" customWidth="1"/>
    <col min="11" max="11" width="4.7109375" bestFit="1" customWidth="1"/>
    <col min="12" max="12" width="6" bestFit="1" customWidth="1"/>
    <col min="13" max="14" width="4" bestFit="1" customWidth="1"/>
    <col min="15" max="15" width="3.140625" bestFit="1" customWidth="1"/>
    <col min="16" max="16" width="3.42578125" bestFit="1" customWidth="1"/>
    <col min="17" max="17" width="4.5703125" bestFit="1" customWidth="1"/>
    <col min="18" max="18" width="3.28515625" bestFit="1" customWidth="1"/>
    <col min="19" max="19" width="3.42578125" bestFit="1" customWidth="1"/>
    <col min="20" max="20" width="4" customWidth="1"/>
    <col min="21" max="21" width="1.7109375" style="1" customWidth="1"/>
  </cols>
  <sheetData>
    <row r="1" spans="1:25" x14ac:dyDescent="0.25">
      <c r="A1" t="s">
        <v>376</v>
      </c>
      <c r="B1" t="s">
        <v>1</v>
      </c>
      <c r="C1" t="s">
        <v>2</v>
      </c>
      <c r="D1" t="s">
        <v>377</v>
      </c>
      <c r="E1" t="s">
        <v>378</v>
      </c>
      <c r="F1" t="s">
        <v>379</v>
      </c>
      <c r="G1" t="s">
        <v>380</v>
      </c>
      <c r="H1" t="s">
        <v>381</v>
      </c>
      <c r="I1" t="s">
        <v>382</v>
      </c>
      <c r="J1" t="s">
        <v>383</v>
      </c>
      <c r="K1" t="s">
        <v>384</v>
      </c>
      <c r="L1" t="s">
        <v>385</v>
      </c>
      <c r="M1" t="s">
        <v>7</v>
      </c>
      <c r="N1" t="s">
        <v>11</v>
      </c>
      <c r="O1" t="s">
        <v>386</v>
      </c>
      <c r="P1" t="s">
        <v>10</v>
      </c>
      <c r="Q1" t="s">
        <v>13</v>
      </c>
      <c r="R1" t="s">
        <v>14</v>
      </c>
      <c r="S1" t="s">
        <v>387</v>
      </c>
      <c r="T1" t="s">
        <v>15</v>
      </c>
      <c r="V1" t="s">
        <v>928</v>
      </c>
      <c r="W1" t="s">
        <v>929</v>
      </c>
      <c r="X1" t="s">
        <v>930</v>
      </c>
      <c r="Y1" t="s">
        <v>931</v>
      </c>
    </row>
    <row r="2" spans="1:25" x14ac:dyDescent="0.25">
      <c r="A2" t="s">
        <v>388</v>
      </c>
      <c r="B2" t="s">
        <v>389</v>
      </c>
      <c r="C2">
        <v>20</v>
      </c>
      <c r="D2">
        <v>13.85</v>
      </c>
      <c r="E2">
        <v>0</v>
      </c>
      <c r="F2">
        <v>3</v>
      </c>
      <c r="G2">
        <v>0</v>
      </c>
      <c r="H2">
        <v>4</v>
      </c>
      <c r="I2">
        <v>4</v>
      </c>
      <c r="J2">
        <v>0</v>
      </c>
      <c r="K2">
        <v>0</v>
      </c>
      <c r="L2">
        <v>13</v>
      </c>
      <c r="M2">
        <v>23</v>
      </c>
      <c r="N2">
        <v>20</v>
      </c>
      <c r="O2">
        <v>20</v>
      </c>
      <c r="P2">
        <v>6</v>
      </c>
      <c r="Q2">
        <v>2</v>
      </c>
      <c r="R2">
        <v>6</v>
      </c>
      <c r="S2">
        <v>0</v>
      </c>
      <c r="T2">
        <v>12</v>
      </c>
      <c r="X2">
        <f>(V2*2)+W2</f>
        <v>0</v>
      </c>
    </row>
    <row r="3" spans="1:25" x14ac:dyDescent="0.25">
      <c r="A3" t="s">
        <v>390</v>
      </c>
      <c r="B3" t="s">
        <v>391</v>
      </c>
      <c r="C3">
        <v>21</v>
      </c>
      <c r="D3">
        <v>1.17</v>
      </c>
      <c r="E3">
        <v>1</v>
      </c>
      <c r="F3">
        <v>0</v>
      </c>
      <c r="G3">
        <v>0</v>
      </c>
      <c r="H3">
        <v>7</v>
      </c>
      <c r="I3">
        <v>0</v>
      </c>
      <c r="J3">
        <v>0</v>
      </c>
      <c r="K3">
        <v>0</v>
      </c>
      <c r="L3">
        <v>7.2</v>
      </c>
      <c r="M3">
        <v>4</v>
      </c>
      <c r="N3">
        <v>1</v>
      </c>
      <c r="O3">
        <v>1</v>
      </c>
      <c r="P3">
        <v>0</v>
      </c>
      <c r="Q3">
        <v>3</v>
      </c>
      <c r="R3">
        <v>3</v>
      </c>
      <c r="S3">
        <v>1</v>
      </c>
      <c r="T3">
        <v>9</v>
      </c>
      <c r="X3">
        <f t="shared" ref="X3:X66" si="0">(V3*2)+W3</f>
        <v>0</v>
      </c>
    </row>
    <row r="4" spans="1:25" x14ac:dyDescent="0.25">
      <c r="A4" t="s">
        <v>392</v>
      </c>
      <c r="B4" t="s">
        <v>389</v>
      </c>
      <c r="C4">
        <v>21</v>
      </c>
      <c r="D4">
        <v>3.21</v>
      </c>
      <c r="E4">
        <v>1</v>
      </c>
      <c r="F4">
        <v>0</v>
      </c>
      <c r="G4">
        <v>0</v>
      </c>
      <c r="H4">
        <v>3</v>
      </c>
      <c r="I4">
        <v>3</v>
      </c>
      <c r="J4">
        <v>0</v>
      </c>
      <c r="K4">
        <v>0</v>
      </c>
      <c r="L4">
        <v>14</v>
      </c>
      <c r="M4">
        <v>13</v>
      </c>
      <c r="N4">
        <v>5</v>
      </c>
      <c r="O4">
        <v>5</v>
      </c>
      <c r="P4">
        <v>0</v>
      </c>
      <c r="Q4">
        <v>0</v>
      </c>
      <c r="R4">
        <v>7</v>
      </c>
      <c r="S4">
        <v>0</v>
      </c>
      <c r="T4">
        <v>16</v>
      </c>
      <c r="X4">
        <f t="shared" si="0"/>
        <v>0</v>
      </c>
    </row>
    <row r="5" spans="1:25" x14ac:dyDescent="0.25">
      <c r="A5" t="s">
        <v>393</v>
      </c>
      <c r="B5" t="s">
        <v>389</v>
      </c>
      <c r="C5">
        <v>22</v>
      </c>
      <c r="D5">
        <v>4.57</v>
      </c>
      <c r="E5">
        <v>0</v>
      </c>
      <c r="F5">
        <v>3</v>
      </c>
      <c r="G5">
        <v>0</v>
      </c>
      <c r="H5">
        <v>13</v>
      </c>
      <c r="I5">
        <v>8</v>
      </c>
      <c r="J5">
        <v>0</v>
      </c>
      <c r="K5">
        <v>0</v>
      </c>
      <c r="L5">
        <v>43.1</v>
      </c>
      <c r="M5">
        <v>41</v>
      </c>
      <c r="N5">
        <v>25</v>
      </c>
      <c r="O5">
        <v>22</v>
      </c>
      <c r="P5">
        <v>5</v>
      </c>
      <c r="Q5">
        <v>0</v>
      </c>
      <c r="R5">
        <v>16</v>
      </c>
      <c r="S5">
        <v>0</v>
      </c>
      <c r="T5">
        <v>67</v>
      </c>
      <c r="X5">
        <f t="shared" si="0"/>
        <v>0</v>
      </c>
    </row>
    <row r="6" spans="1:25" x14ac:dyDescent="0.25">
      <c r="A6" t="s">
        <v>394</v>
      </c>
      <c r="B6" t="s">
        <v>389</v>
      </c>
      <c r="C6">
        <v>22</v>
      </c>
      <c r="D6">
        <v>4.0199999999999996</v>
      </c>
      <c r="E6">
        <v>4</v>
      </c>
      <c r="F6">
        <v>1</v>
      </c>
      <c r="G6">
        <v>1</v>
      </c>
      <c r="H6">
        <v>7</v>
      </c>
      <c r="I6">
        <v>4</v>
      </c>
      <c r="J6">
        <v>0</v>
      </c>
      <c r="K6">
        <v>0</v>
      </c>
      <c r="L6">
        <v>31.1</v>
      </c>
      <c r="M6">
        <v>25</v>
      </c>
      <c r="N6">
        <v>14</v>
      </c>
      <c r="O6">
        <v>14</v>
      </c>
      <c r="P6">
        <v>2</v>
      </c>
      <c r="Q6">
        <v>3</v>
      </c>
      <c r="R6">
        <v>4</v>
      </c>
      <c r="S6">
        <v>0</v>
      </c>
      <c r="T6">
        <v>31</v>
      </c>
      <c r="X6">
        <f t="shared" si="0"/>
        <v>0</v>
      </c>
    </row>
    <row r="7" spans="1:25" x14ac:dyDescent="0.25">
      <c r="A7" t="s">
        <v>395</v>
      </c>
      <c r="B7" t="s">
        <v>391</v>
      </c>
      <c r="C7">
        <v>22</v>
      </c>
      <c r="D7">
        <v>7.06</v>
      </c>
      <c r="E7">
        <v>1</v>
      </c>
      <c r="F7">
        <v>5</v>
      </c>
      <c r="G7">
        <v>0</v>
      </c>
      <c r="H7">
        <v>43</v>
      </c>
      <c r="I7">
        <v>0</v>
      </c>
      <c r="J7">
        <v>0</v>
      </c>
      <c r="K7">
        <v>0</v>
      </c>
      <c r="L7">
        <v>58.2</v>
      </c>
      <c r="M7">
        <v>76</v>
      </c>
      <c r="N7">
        <v>49</v>
      </c>
      <c r="O7">
        <v>46</v>
      </c>
      <c r="P7">
        <v>13</v>
      </c>
      <c r="Q7">
        <v>6</v>
      </c>
      <c r="R7">
        <v>23</v>
      </c>
      <c r="S7">
        <v>1</v>
      </c>
      <c r="T7">
        <v>43</v>
      </c>
      <c r="X7">
        <f t="shared" si="0"/>
        <v>0</v>
      </c>
    </row>
    <row r="8" spans="1:25" x14ac:dyDescent="0.25">
      <c r="A8" t="s">
        <v>396</v>
      </c>
      <c r="B8" t="s">
        <v>391</v>
      </c>
      <c r="C8">
        <v>22</v>
      </c>
      <c r="D8">
        <v>16.2</v>
      </c>
      <c r="E8">
        <v>0</v>
      </c>
      <c r="F8">
        <v>1</v>
      </c>
      <c r="G8">
        <v>0</v>
      </c>
      <c r="H8">
        <v>1</v>
      </c>
      <c r="I8">
        <v>0</v>
      </c>
      <c r="J8">
        <v>0</v>
      </c>
      <c r="K8">
        <v>0</v>
      </c>
      <c r="L8">
        <v>1.2</v>
      </c>
      <c r="M8">
        <v>3</v>
      </c>
      <c r="N8">
        <v>4</v>
      </c>
      <c r="O8">
        <v>3</v>
      </c>
      <c r="P8">
        <v>1</v>
      </c>
      <c r="Q8">
        <v>0</v>
      </c>
      <c r="R8">
        <v>1</v>
      </c>
      <c r="S8">
        <v>0</v>
      </c>
      <c r="T8">
        <v>1</v>
      </c>
      <c r="X8">
        <f t="shared" si="0"/>
        <v>0</v>
      </c>
    </row>
    <row r="9" spans="1:25" x14ac:dyDescent="0.25">
      <c r="A9" t="s">
        <v>397</v>
      </c>
      <c r="B9" t="s">
        <v>391</v>
      </c>
      <c r="C9">
        <v>22</v>
      </c>
      <c r="D9">
        <v>7.36</v>
      </c>
      <c r="E9">
        <v>1</v>
      </c>
      <c r="F9">
        <v>1</v>
      </c>
      <c r="G9">
        <v>1</v>
      </c>
      <c r="H9">
        <v>14</v>
      </c>
      <c r="I9">
        <v>0</v>
      </c>
      <c r="J9">
        <v>0</v>
      </c>
      <c r="K9">
        <v>0</v>
      </c>
      <c r="L9">
        <v>14.2</v>
      </c>
      <c r="M9">
        <v>24</v>
      </c>
      <c r="N9">
        <v>15</v>
      </c>
      <c r="O9">
        <v>12</v>
      </c>
      <c r="P9">
        <v>4</v>
      </c>
      <c r="Q9">
        <v>0</v>
      </c>
      <c r="R9">
        <v>5</v>
      </c>
      <c r="S9">
        <v>1</v>
      </c>
      <c r="T9">
        <v>16</v>
      </c>
      <c r="X9">
        <f t="shared" si="0"/>
        <v>0</v>
      </c>
    </row>
    <row r="10" spans="1:25" x14ac:dyDescent="0.25">
      <c r="A10" t="s">
        <v>398</v>
      </c>
      <c r="B10" t="s">
        <v>391</v>
      </c>
      <c r="C10">
        <v>22</v>
      </c>
      <c r="D10">
        <v>8.7899999999999991</v>
      </c>
      <c r="E10">
        <v>0</v>
      </c>
      <c r="F10">
        <v>0</v>
      </c>
      <c r="G10">
        <v>0</v>
      </c>
      <c r="H10">
        <v>9</v>
      </c>
      <c r="I10">
        <v>0</v>
      </c>
      <c r="J10">
        <v>0</v>
      </c>
      <c r="K10">
        <v>0</v>
      </c>
      <c r="L10">
        <v>14.1</v>
      </c>
      <c r="M10">
        <v>27</v>
      </c>
      <c r="N10">
        <v>15</v>
      </c>
      <c r="O10">
        <v>14</v>
      </c>
      <c r="P10">
        <v>2</v>
      </c>
      <c r="Q10">
        <v>1</v>
      </c>
      <c r="R10">
        <v>8</v>
      </c>
      <c r="S10">
        <v>0</v>
      </c>
      <c r="T10">
        <v>10</v>
      </c>
      <c r="X10">
        <f t="shared" si="0"/>
        <v>0</v>
      </c>
    </row>
    <row r="11" spans="1:25" x14ac:dyDescent="0.25">
      <c r="A11" t="s">
        <v>399</v>
      </c>
      <c r="B11" t="s">
        <v>391</v>
      </c>
      <c r="C11">
        <v>22</v>
      </c>
      <c r="D11">
        <v>1.35</v>
      </c>
      <c r="E11">
        <v>1</v>
      </c>
      <c r="F11">
        <v>0</v>
      </c>
      <c r="G11">
        <v>0</v>
      </c>
      <c r="H11">
        <v>3</v>
      </c>
      <c r="I11">
        <v>0</v>
      </c>
      <c r="J11">
        <v>0</v>
      </c>
      <c r="K11">
        <v>0</v>
      </c>
      <c r="L11">
        <v>6.2</v>
      </c>
      <c r="M11">
        <v>3</v>
      </c>
      <c r="N11">
        <v>1</v>
      </c>
      <c r="O11">
        <v>1</v>
      </c>
      <c r="P11">
        <v>1</v>
      </c>
      <c r="Q11">
        <v>0</v>
      </c>
      <c r="R11">
        <v>3</v>
      </c>
      <c r="S11">
        <v>0</v>
      </c>
      <c r="T11">
        <v>8</v>
      </c>
      <c r="X11">
        <f t="shared" si="0"/>
        <v>0</v>
      </c>
    </row>
    <row r="12" spans="1:25" x14ac:dyDescent="0.25">
      <c r="A12" t="s">
        <v>400</v>
      </c>
      <c r="B12" t="s">
        <v>389</v>
      </c>
      <c r="C12">
        <v>22</v>
      </c>
      <c r="D12">
        <v>3.14</v>
      </c>
      <c r="E12">
        <v>4</v>
      </c>
      <c r="F12">
        <v>3</v>
      </c>
      <c r="G12">
        <v>0</v>
      </c>
      <c r="H12">
        <v>10</v>
      </c>
      <c r="I12">
        <v>9</v>
      </c>
      <c r="J12">
        <v>0</v>
      </c>
      <c r="K12">
        <v>0</v>
      </c>
      <c r="L12">
        <v>48.2</v>
      </c>
      <c r="M12">
        <v>38</v>
      </c>
      <c r="N12">
        <v>18</v>
      </c>
      <c r="O12">
        <v>17</v>
      </c>
      <c r="P12">
        <v>8</v>
      </c>
      <c r="Q12">
        <v>1</v>
      </c>
      <c r="R12">
        <v>18</v>
      </c>
      <c r="S12">
        <v>0</v>
      </c>
      <c r="T12">
        <v>43</v>
      </c>
      <c r="X12">
        <f t="shared" si="0"/>
        <v>0</v>
      </c>
    </row>
    <row r="13" spans="1:25" x14ac:dyDescent="0.25">
      <c r="A13" t="s">
        <v>401</v>
      </c>
      <c r="B13" t="s">
        <v>389</v>
      </c>
      <c r="C13">
        <v>22</v>
      </c>
      <c r="D13">
        <v>19.5</v>
      </c>
      <c r="E13">
        <v>0</v>
      </c>
      <c r="F13">
        <v>3</v>
      </c>
      <c r="G13">
        <v>0</v>
      </c>
      <c r="H13">
        <v>3</v>
      </c>
      <c r="I13">
        <v>2</v>
      </c>
      <c r="J13">
        <v>0</v>
      </c>
      <c r="K13">
        <v>0</v>
      </c>
      <c r="L13">
        <v>6</v>
      </c>
      <c r="M13">
        <v>14</v>
      </c>
      <c r="N13">
        <v>14</v>
      </c>
      <c r="O13">
        <v>13</v>
      </c>
      <c r="P13">
        <v>3</v>
      </c>
      <c r="Q13">
        <v>1</v>
      </c>
      <c r="R13">
        <v>8</v>
      </c>
      <c r="S13">
        <v>0</v>
      </c>
      <c r="T13">
        <v>7</v>
      </c>
      <c r="X13">
        <f t="shared" si="0"/>
        <v>0</v>
      </c>
    </row>
    <row r="14" spans="1:25" x14ac:dyDescent="0.25">
      <c r="A14" t="s">
        <v>402</v>
      </c>
      <c r="B14" t="s">
        <v>391</v>
      </c>
      <c r="C14">
        <v>22</v>
      </c>
      <c r="D14">
        <v>6.06</v>
      </c>
      <c r="E14">
        <v>0</v>
      </c>
      <c r="F14">
        <v>1</v>
      </c>
      <c r="G14">
        <v>0</v>
      </c>
      <c r="H14">
        <v>7</v>
      </c>
      <c r="I14">
        <v>3</v>
      </c>
      <c r="J14">
        <v>0</v>
      </c>
      <c r="K14">
        <v>0</v>
      </c>
      <c r="L14">
        <v>16.100000000000001</v>
      </c>
      <c r="M14">
        <v>18</v>
      </c>
      <c r="N14">
        <v>12</v>
      </c>
      <c r="O14">
        <v>11</v>
      </c>
      <c r="P14">
        <v>5</v>
      </c>
      <c r="Q14">
        <v>0</v>
      </c>
      <c r="R14">
        <v>8</v>
      </c>
      <c r="S14">
        <v>0</v>
      </c>
      <c r="T14">
        <v>19</v>
      </c>
      <c r="X14">
        <f t="shared" si="0"/>
        <v>0</v>
      </c>
    </row>
    <row r="15" spans="1:25" x14ac:dyDescent="0.25">
      <c r="A15" t="s">
        <v>403</v>
      </c>
      <c r="B15" t="s">
        <v>389</v>
      </c>
      <c r="C15">
        <v>22</v>
      </c>
      <c r="D15">
        <v>7.71</v>
      </c>
      <c r="E15">
        <v>2</v>
      </c>
      <c r="F15">
        <v>3</v>
      </c>
      <c r="G15">
        <v>0</v>
      </c>
      <c r="H15">
        <v>5</v>
      </c>
      <c r="I15">
        <v>5</v>
      </c>
      <c r="J15">
        <v>0</v>
      </c>
      <c r="K15">
        <v>0</v>
      </c>
      <c r="L15">
        <v>18.2</v>
      </c>
      <c r="M15">
        <v>24</v>
      </c>
      <c r="N15">
        <v>20</v>
      </c>
      <c r="O15">
        <v>16</v>
      </c>
      <c r="P15">
        <v>3</v>
      </c>
      <c r="Q15">
        <v>0</v>
      </c>
      <c r="R15">
        <v>9</v>
      </c>
      <c r="S15">
        <v>0</v>
      </c>
      <c r="T15">
        <v>22</v>
      </c>
      <c r="X15">
        <f t="shared" si="0"/>
        <v>0</v>
      </c>
    </row>
    <row r="16" spans="1:25" x14ac:dyDescent="0.25">
      <c r="A16" t="s">
        <v>404</v>
      </c>
      <c r="B16" t="s">
        <v>389</v>
      </c>
      <c r="C16">
        <v>23</v>
      </c>
      <c r="D16">
        <v>6.23</v>
      </c>
      <c r="E16">
        <v>3</v>
      </c>
      <c r="F16">
        <v>4</v>
      </c>
      <c r="G16">
        <v>0</v>
      </c>
      <c r="H16">
        <v>10</v>
      </c>
      <c r="I16">
        <v>8</v>
      </c>
      <c r="J16">
        <v>0</v>
      </c>
      <c r="K16">
        <v>0</v>
      </c>
      <c r="L16">
        <v>39</v>
      </c>
      <c r="M16">
        <v>43</v>
      </c>
      <c r="N16">
        <v>28</v>
      </c>
      <c r="O16">
        <v>27</v>
      </c>
      <c r="P16">
        <v>8</v>
      </c>
      <c r="Q16">
        <v>1</v>
      </c>
      <c r="R16">
        <v>16</v>
      </c>
      <c r="S16">
        <v>0</v>
      </c>
      <c r="T16">
        <v>39</v>
      </c>
      <c r="X16">
        <f t="shared" si="0"/>
        <v>0</v>
      </c>
    </row>
    <row r="17" spans="1:24" x14ac:dyDescent="0.25">
      <c r="A17" t="s">
        <v>405</v>
      </c>
      <c r="B17" t="s">
        <v>391</v>
      </c>
      <c r="C17">
        <v>23</v>
      </c>
      <c r="D17">
        <v>4.91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0</v>
      </c>
      <c r="L17">
        <v>3.2</v>
      </c>
      <c r="M17">
        <v>5</v>
      </c>
      <c r="N17">
        <v>2</v>
      </c>
      <c r="O17">
        <v>2</v>
      </c>
      <c r="P17">
        <v>0</v>
      </c>
      <c r="Q17">
        <v>0</v>
      </c>
      <c r="R17">
        <v>3</v>
      </c>
      <c r="S17">
        <v>0</v>
      </c>
      <c r="T17">
        <v>5</v>
      </c>
      <c r="X17">
        <f t="shared" si="0"/>
        <v>0</v>
      </c>
    </row>
    <row r="18" spans="1:24" x14ac:dyDescent="0.25">
      <c r="A18" t="s">
        <v>406</v>
      </c>
      <c r="B18" t="s">
        <v>389</v>
      </c>
      <c r="C18">
        <v>23</v>
      </c>
      <c r="D18">
        <v>7.9</v>
      </c>
      <c r="E18">
        <v>0</v>
      </c>
      <c r="F18">
        <v>2</v>
      </c>
      <c r="G18">
        <v>0</v>
      </c>
      <c r="H18">
        <v>4</v>
      </c>
      <c r="I18">
        <v>2</v>
      </c>
      <c r="J18">
        <v>0</v>
      </c>
      <c r="K18">
        <v>0</v>
      </c>
      <c r="L18">
        <v>13.2</v>
      </c>
      <c r="M18">
        <v>20</v>
      </c>
      <c r="N18">
        <v>14</v>
      </c>
      <c r="O18">
        <v>12</v>
      </c>
      <c r="P18">
        <v>3</v>
      </c>
      <c r="Q18">
        <v>4</v>
      </c>
      <c r="R18">
        <v>10</v>
      </c>
      <c r="S18">
        <v>0</v>
      </c>
      <c r="T18">
        <v>12</v>
      </c>
      <c r="X18">
        <f t="shared" si="0"/>
        <v>0</v>
      </c>
    </row>
    <row r="19" spans="1:24" x14ac:dyDescent="0.25">
      <c r="A19" t="s">
        <v>407</v>
      </c>
      <c r="B19" t="s">
        <v>391</v>
      </c>
      <c r="C19">
        <v>23</v>
      </c>
      <c r="D19">
        <v>1.29</v>
      </c>
      <c r="E19">
        <v>1</v>
      </c>
      <c r="F19">
        <v>1</v>
      </c>
      <c r="G19">
        <v>0</v>
      </c>
      <c r="H19">
        <v>13</v>
      </c>
      <c r="I19">
        <v>0</v>
      </c>
      <c r="J19">
        <v>0</v>
      </c>
      <c r="K19">
        <v>0</v>
      </c>
      <c r="L19">
        <v>14</v>
      </c>
      <c r="M19">
        <v>7</v>
      </c>
      <c r="N19">
        <v>2</v>
      </c>
      <c r="O19">
        <v>2</v>
      </c>
      <c r="P19">
        <v>0</v>
      </c>
      <c r="Q19">
        <v>0</v>
      </c>
      <c r="R19">
        <v>6</v>
      </c>
      <c r="S19">
        <v>0</v>
      </c>
      <c r="T19">
        <v>16</v>
      </c>
      <c r="X19">
        <f t="shared" si="0"/>
        <v>0</v>
      </c>
    </row>
    <row r="20" spans="1:24" x14ac:dyDescent="0.25">
      <c r="A20" t="s">
        <v>408</v>
      </c>
      <c r="B20" t="s">
        <v>389</v>
      </c>
      <c r="C20">
        <v>23</v>
      </c>
      <c r="D20">
        <v>6.52</v>
      </c>
      <c r="E20">
        <v>2</v>
      </c>
      <c r="F20">
        <v>12</v>
      </c>
      <c r="G20">
        <v>0</v>
      </c>
      <c r="H20">
        <v>21</v>
      </c>
      <c r="I20">
        <v>21</v>
      </c>
      <c r="J20">
        <v>0</v>
      </c>
      <c r="K20">
        <v>0</v>
      </c>
      <c r="L20">
        <v>98</v>
      </c>
      <c r="M20">
        <v>103</v>
      </c>
      <c r="N20">
        <v>76</v>
      </c>
      <c r="O20">
        <v>71</v>
      </c>
      <c r="P20">
        <v>18</v>
      </c>
      <c r="Q20">
        <v>6</v>
      </c>
      <c r="R20">
        <v>49</v>
      </c>
      <c r="S20">
        <v>0</v>
      </c>
      <c r="T20">
        <v>82</v>
      </c>
      <c r="X20">
        <f t="shared" si="0"/>
        <v>0</v>
      </c>
    </row>
    <row r="21" spans="1:24" x14ac:dyDescent="0.25">
      <c r="A21" t="s">
        <v>409</v>
      </c>
      <c r="B21" t="s">
        <v>391</v>
      </c>
      <c r="C21">
        <v>23</v>
      </c>
      <c r="D21">
        <v>81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0.1</v>
      </c>
      <c r="M21">
        <v>1</v>
      </c>
      <c r="N21">
        <v>3</v>
      </c>
      <c r="O21">
        <v>3</v>
      </c>
      <c r="P21">
        <v>0</v>
      </c>
      <c r="Q21">
        <v>0</v>
      </c>
      <c r="R21">
        <v>3</v>
      </c>
      <c r="S21">
        <v>0</v>
      </c>
      <c r="T21">
        <v>0</v>
      </c>
      <c r="X21">
        <f t="shared" si="0"/>
        <v>0</v>
      </c>
    </row>
    <row r="22" spans="1:24" x14ac:dyDescent="0.25">
      <c r="A22" t="s">
        <v>410</v>
      </c>
      <c r="B22" t="s">
        <v>389</v>
      </c>
      <c r="C22">
        <v>23</v>
      </c>
      <c r="D22">
        <v>2.33</v>
      </c>
      <c r="E22">
        <v>1</v>
      </c>
      <c r="F22">
        <v>2</v>
      </c>
      <c r="G22">
        <v>0</v>
      </c>
      <c r="H22">
        <v>4</v>
      </c>
      <c r="I22">
        <v>4</v>
      </c>
      <c r="J22">
        <v>0</v>
      </c>
      <c r="K22">
        <v>0</v>
      </c>
      <c r="L22">
        <v>19.100000000000001</v>
      </c>
      <c r="M22">
        <v>17</v>
      </c>
      <c r="N22">
        <v>6</v>
      </c>
      <c r="O22">
        <v>5</v>
      </c>
      <c r="P22">
        <v>0</v>
      </c>
      <c r="Q22">
        <v>1</v>
      </c>
      <c r="R22">
        <v>4</v>
      </c>
      <c r="S22">
        <v>0</v>
      </c>
      <c r="T22">
        <v>29</v>
      </c>
      <c r="X22">
        <f t="shared" si="0"/>
        <v>0</v>
      </c>
    </row>
    <row r="23" spans="1:24" x14ac:dyDescent="0.25">
      <c r="A23" t="s">
        <v>411</v>
      </c>
      <c r="B23" t="s">
        <v>389</v>
      </c>
      <c r="C23">
        <v>23</v>
      </c>
      <c r="D23">
        <v>9.82</v>
      </c>
      <c r="E23">
        <v>0</v>
      </c>
      <c r="F23">
        <v>2</v>
      </c>
      <c r="G23">
        <v>0</v>
      </c>
      <c r="H23">
        <v>3</v>
      </c>
      <c r="I23">
        <v>2</v>
      </c>
      <c r="J23">
        <v>0</v>
      </c>
      <c r="K23">
        <v>0</v>
      </c>
      <c r="L23">
        <v>11</v>
      </c>
      <c r="M23">
        <v>16</v>
      </c>
      <c r="N23">
        <v>12</v>
      </c>
      <c r="O23">
        <v>12</v>
      </c>
      <c r="P23">
        <v>4</v>
      </c>
      <c r="Q23">
        <v>1</v>
      </c>
      <c r="R23">
        <v>6</v>
      </c>
      <c r="S23">
        <v>0</v>
      </c>
      <c r="T23">
        <v>6</v>
      </c>
      <c r="X23">
        <f t="shared" si="0"/>
        <v>0</v>
      </c>
    </row>
    <row r="24" spans="1:24" x14ac:dyDescent="0.25">
      <c r="A24" t="s">
        <v>412</v>
      </c>
      <c r="B24" t="s">
        <v>391</v>
      </c>
      <c r="C24">
        <v>23</v>
      </c>
      <c r="D24">
        <v>4.46</v>
      </c>
      <c r="E24">
        <v>3</v>
      </c>
      <c r="F24">
        <v>2</v>
      </c>
      <c r="G24">
        <v>0</v>
      </c>
      <c r="H24">
        <v>40</v>
      </c>
      <c r="I24">
        <v>0</v>
      </c>
      <c r="J24">
        <v>0</v>
      </c>
      <c r="K24">
        <v>0</v>
      </c>
      <c r="L24">
        <v>34.1</v>
      </c>
      <c r="M24">
        <v>25</v>
      </c>
      <c r="N24">
        <v>21</v>
      </c>
      <c r="O24">
        <v>17</v>
      </c>
      <c r="P24">
        <v>8</v>
      </c>
      <c r="Q24">
        <v>1</v>
      </c>
      <c r="R24">
        <v>23</v>
      </c>
      <c r="S24">
        <v>2</v>
      </c>
      <c r="T24">
        <v>39</v>
      </c>
      <c r="X24">
        <f t="shared" si="0"/>
        <v>0</v>
      </c>
    </row>
    <row r="25" spans="1:24" x14ac:dyDescent="0.25">
      <c r="A25" t="s">
        <v>413</v>
      </c>
      <c r="B25" t="s">
        <v>391</v>
      </c>
      <c r="C25">
        <v>23</v>
      </c>
      <c r="D25">
        <v>4.4400000000000004</v>
      </c>
      <c r="E25">
        <v>5</v>
      </c>
      <c r="F25">
        <v>2</v>
      </c>
      <c r="G25">
        <v>1</v>
      </c>
      <c r="H25">
        <v>55</v>
      </c>
      <c r="I25">
        <v>0</v>
      </c>
      <c r="J25">
        <v>0</v>
      </c>
      <c r="K25">
        <v>0</v>
      </c>
      <c r="L25">
        <v>52.2</v>
      </c>
      <c r="M25">
        <v>36</v>
      </c>
      <c r="N25">
        <v>28</v>
      </c>
      <c r="O25">
        <v>26</v>
      </c>
      <c r="P25">
        <v>6</v>
      </c>
      <c r="Q25">
        <v>2</v>
      </c>
      <c r="R25">
        <v>24</v>
      </c>
      <c r="S25">
        <v>4</v>
      </c>
      <c r="T25">
        <v>56</v>
      </c>
      <c r="X25">
        <f t="shared" si="0"/>
        <v>0</v>
      </c>
    </row>
    <row r="26" spans="1:24" x14ac:dyDescent="0.25">
      <c r="A26" t="s">
        <v>414</v>
      </c>
      <c r="B26" t="s">
        <v>391</v>
      </c>
      <c r="C26">
        <v>23</v>
      </c>
      <c r="D26">
        <v>2.66</v>
      </c>
      <c r="E26">
        <v>1</v>
      </c>
      <c r="F26">
        <v>0</v>
      </c>
      <c r="G26">
        <v>0</v>
      </c>
      <c r="H26">
        <v>16</v>
      </c>
      <c r="I26">
        <v>0</v>
      </c>
      <c r="J26">
        <v>0</v>
      </c>
      <c r="K26">
        <v>0</v>
      </c>
      <c r="L26">
        <v>20.100000000000001</v>
      </c>
      <c r="M26">
        <v>13</v>
      </c>
      <c r="N26">
        <v>9</v>
      </c>
      <c r="O26">
        <v>6</v>
      </c>
      <c r="P26">
        <v>1</v>
      </c>
      <c r="Q26">
        <v>0</v>
      </c>
      <c r="R26">
        <v>12</v>
      </c>
      <c r="S26">
        <v>0</v>
      </c>
      <c r="T26">
        <v>25</v>
      </c>
      <c r="X26">
        <f t="shared" si="0"/>
        <v>0</v>
      </c>
    </row>
    <row r="27" spans="1:24" x14ac:dyDescent="0.25">
      <c r="A27" t="s">
        <v>415</v>
      </c>
      <c r="B27" t="s">
        <v>416</v>
      </c>
      <c r="C27">
        <v>23</v>
      </c>
      <c r="D27">
        <v>15.58</v>
      </c>
      <c r="E27">
        <v>0</v>
      </c>
      <c r="F27">
        <v>1</v>
      </c>
      <c r="G27">
        <v>1</v>
      </c>
      <c r="H27">
        <v>3</v>
      </c>
      <c r="I27">
        <v>1</v>
      </c>
      <c r="J27">
        <v>0</v>
      </c>
      <c r="K27">
        <v>0</v>
      </c>
      <c r="L27">
        <v>8.1999999999999993</v>
      </c>
      <c r="M27">
        <v>18</v>
      </c>
      <c r="N27">
        <v>15</v>
      </c>
      <c r="O27">
        <v>15</v>
      </c>
      <c r="P27">
        <v>3</v>
      </c>
      <c r="Q27">
        <v>0</v>
      </c>
      <c r="R27">
        <v>7</v>
      </c>
      <c r="S27">
        <v>0</v>
      </c>
      <c r="T27">
        <v>7</v>
      </c>
      <c r="X27">
        <f t="shared" si="0"/>
        <v>0</v>
      </c>
    </row>
    <row r="28" spans="1:24" x14ac:dyDescent="0.25">
      <c r="A28" t="s">
        <v>417</v>
      </c>
      <c r="B28" t="s">
        <v>389</v>
      </c>
      <c r="C28">
        <v>23</v>
      </c>
      <c r="D28">
        <v>1.78</v>
      </c>
      <c r="E28">
        <v>3</v>
      </c>
      <c r="F28">
        <v>0</v>
      </c>
      <c r="G28">
        <v>0</v>
      </c>
      <c r="H28">
        <v>5</v>
      </c>
      <c r="I28">
        <v>5</v>
      </c>
      <c r="J28">
        <v>0</v>
      </c>
      <c r="K28">
        <v>0</v>
      </c>
      <c r="L28">
        <v>25.1</v>
      </c>
      <c r="M28">
        <v>17</v>
      </c>
      <c r="N28">
        <v>5</v>
      </c>
      <c r="O28">
        <v>5</v>
      </c>
      <c r="P28">
        <v>3</v>
      </c>
      <c r="Q28">
        <v>0</v>
      </c>
      <c r="R28">
        <v>8</v>
      </c>
      <c r="S28">
        <v>0</v>
      </c>
      <c r="T28">
        <v>33</v>
      </c>
      <c r="X28">
        <f t="shared" si="0"/>
        <v>0</v>
      </c>
    </row>
    <row r="29" spans="1:24" x14ac:dyDescent="0.25">
      <c r="A29" t="s">
        <v>418</v>
      </c>
      <c r="B29" t="s">
        <v>389</v>
      </c>
      <c r="C29">
        <v>23</v>
      </c>
      <c r="D29">
        <v>2.67</v>
      </c>
      <c r="E29">
        <v>11</v>
      </c>
      <c r="F29">
        <v>4</v>
      </c>
      <c r="G29">
        <v>0</v>
      </c>
      <c r="H29">
        <v>23</v>
      </c>
      <c r="I29">
        <v>22</v>
      </c>
      <c r="J29">
        <v>0</v>
      </c>
      <c r="K29">
        <v>0</v>
      </c>
      <c r="L29">
        <v>118</v>
      </c>
      <c r="M29">
        <v>95</v>
      </c>
      <c r="N29">
        <v>40</v>
      </c>
      <c r="O29">
        <v>35</v>
      </c>
      <c r="P29">
        <v>10</v>
      </c>
      <c r="Q29">
        <v>6</v>
      </c>
      <c r="R29">
        <v>33</v>
      </c>
      <c r="S29">
        <v>0</v>
      </c>
      <c r="T29">
        <v>97</v>
      </c>
      <c r="X29">
        <f t="shared" si="0"/>
        <v>0</v>
      </c>
    </row>
    <row r="30" spans="1:24" x14ac:dyDescent="0.25">
      <c r="A30" t="s">
        <v>419</v>
      </c>
      <c r="B30" t="s">
        <v>416</v>
      </c>
      <c r="C30">
        <v>23</v>
      </c>
      <c r="D30">
        <v>4.1100000000000003</v>
      </c>
      <c r="E30">
        <v>1</v>
      </c>
      <c r="F30">
        <v>2</v>
      </c>
      <c r="G30">
        <v>5</v>
      </c>
      <c r="H30">
        <v>17</v>
      </c>
      <c r="I30">
        <v>0</v>
      </c>
      <c r="J30">
        <v>0</v>
      </c>
      <c r="K30">
        <v>0</v>
      </c>
      <c r="L30">
        <v>15.1</v>
      </c>
      <c r="M30">
        <v>7</v>
      </c>
      <c r="N30">
        <v>8</v>
      </c>
      <c r="O30">
        <v>7</v>
      </c>
      <c r="P30">
        <v>1</v>
      </c>
      <c r="Q30">
        <v>3</v>
      </c>
      <c r="R30">
        <v>12</v>
      </c>
      <c r="S30">
        <v>1</v>
      </c>
      <c r="T30">
        <v>22</v>
      </c>
      <c r="X30">
        <f t="shared" si="0"/>
        <v>0</v>
      </c>
    </row>
    <row r="31" spans="1:24" x14ac:dyDescent="0.25">
      <c r="A31" t="s">
        <v>420</v>
      </c>
      <c r="B31" t="s">
        <v>389</v>
      </c>
      <c r="C31">
        <v>23</v>
      </c>
      <c r="D31">
        <v>2.06</v>
      </c>
      <c r="E31">
        <v>5</v>
      </c>
      <c r="F31">
        <v>1</v>
      </c>
      <c r="G31">
        <v>0</v>
      </c>
      <c r="H31">
        <v>8</v>
      </c>
      <c r="I31">
        <v>8</v>
      </c>
      <c r="J31">
        <v>0</v>
      </c>
      <c r="K31">
        <v>0</v>
      </c>
      <c r="L31">
        <v>48</v>
      </c>
      <c r="M31">
        <v>34</v>
      </c>
      <c r="N31">
        <v>13</v>
      </c>
      <c r="O31">
        <v>11</v>
      </c>
      <c r="P31">
        <v>4</v>
      </c>
      <c r="Q31">
        <v>2</v>
      </c>
      <c r="R31">
        <v>16</v>
      </c>
      <c r="S31">
        <v>0</v>
      </c>
      <c r="T31">
        <v>57</v>
      </c>
      <c r="X31">
        <f t="shared" si="0"/>
        <v>0</v>
      </c>
    </row>
    <row r="32" spans="1:24" x14ac:dyDescent="0.25">
      <c r="A32" t="s">
        <v>421</v>
      </c>
      <c r="B32" t="s">
        <v>389</v>
      </c>
      <c r="C32">
        <v>23</v>
      </c>
      <c r="D32">
        <v>4.3600000000000003</v>
      </c>
      <c r="E32">
        <v>5</v>
      </c>
      <c r="F32">
        <v>3</v>
      </c>
      <c r="G32">
        <v>0</v>
      </c>
      <c r="H32">
        <v>15</v>
      </c>
      <c r="I32">
        <v>14</v>
      </c>
      <c r="J32">
        <v>0</v>
      </c>
      <c r="K32">
        <v>0</v>
      </c>
      <c r="L32">
        <v>66</v>
      </c>
      <c r="M32">
        <v>51</v>
      </c>
      <c r="N32">
        <v>34</v>
      </c>
      <c r="O32">
        <v>32</v>
      </c>
      <c r="P32">
        <v>8</v>
      </c>
      <c r="Q32">
        <v>3</v>
      </c>
      <c r="R32">
        <v>31</v>
      </c>
      <c r="S32">
        <v>0</v>
      </c>
      <c r="T32">
        <v>87</v>
      </c>
      <c r="X32">
        <f t="shared" si="0"/>
        <v>0</v>
      </c>
    </row>
    <row r="33" spans="1:24" x14ac:dyDescent="0.25">
      <c r="A33" t="s">
        <v>422</v>
      </c>
      <c r="B33" t="s">
        <v>391</v>
      </c>
      <c r="C33">
        <v>23</v>
      </c>
      <c r="D33">
        <v>7.27</v>
      </c>
      <c r="E33">
        <v>1</v>
      </c>
      <c r="F33">
        <v>1</v>
      </c>
      <c r="G33">
        <v>0</v>
      </c>
      <c r="H33">
        <v>17</v>
      </c>
      <c r="I33">
        <v>1</v>
      </c>
      <c r="J33">
        <v>0</v>
      </c>
      <c r="K33">
        <v>0</v>
      </c>
      <c r="L33">
        <v>34.200000000000003</v>
      </c>
      <c r="M33">
        <v>52</v>
      </c>
      <c r="N33">
        <v>30</v>
      </c>
      <c r="O33">
        <v>28</v>
      </c>
      <c r="P33">
        <v>12</v>
      </c>
      <c r="Q33">
        <v>2</v>
      </c>
      <c r="R33">
        <v>6</v>
      </c>
      <c r="S33">
        <v>0</v>
      </c>
      <c r="T33">
        <v>24</v>
      </c>
      <c r="X33">
        <f t="shared" si="0"/>
        <v>0</v>
      </c>
    </row>
    <row r="34" spans="1:24" x14ac:dyDescent="0.25">
      <c r="A34" t="s">
        <v>423</v>
      </c>
      <c r="B34" t="s">
        <v>391</v>
      </c>
      <c r="C34">
        <v>23</v>
      </c>
      <c r="D34">
        <v>6.52</v>
      </c>
      <c r="E34">
        <v>1</v>
      </c>
      <c r="F34">
        <v>0</v>
      </c>
      <c r="G34">
        <v>0</v>
      </c>
      <c r="H34">
        <v>4</v>
      </c>
      <c r="I34">
        <v>0</v>
      </c>
      <c r="J34">
        <v>0</v>
      </c>
      <c r="K34">
        <v>0</v>
      </c>
      <c r="L34">
        <v>9.1999999999999993</v>
      </c>
      <c r="M34">
        <v>13</v>
      </c>
      <c r="N34">
        <v>7</v>
      </c>
      <c r="O34">
        <v>7</v>
      </c>
      <c r="P34">
        <v>1</v>
      </c>
      <c r="Q34">
        <v>0</v>
      </c>
      <c r="R34">
        <v>9</v>
      </c>
      <c r="S34">
        <v>0</v>
      </c>
      <c r="T34">
        <v>11</v>
      </c>
      <c r="X34">
        <f t="shared" si="0"/>
        <v>0</v>
      </c>
    </row>
    <row r="35" spans="1:24" x14ac:dyDescent="0.25">
      <c r="A35" t="s">
        <v>424</v>
      </c>
      <c r="B35" t="s">
        <v>389</v>
      </c>
      <c r="C35">
        <v>23</v>
      </c>
      <c r="D35">
        <v>4.46</v>
      </c>
      <c r="E35">
        <v>1</v>
      </c>
      <c r="F35">
        <v>1</v>
      </c>
      <c r="G35">
        <v>0</v>
      </c>
      <c r="H35">
        <v>10</v>
      </c>
      <c r="I35">
        <v>8</v>
      </c>
      <c r="J35">
        <v>0</v>
      </c>
      <c r="K35">
        <v>0</v>
      </c>
      <c r="L35">
        <v>36.1</v>
      </c>
      <c r="M35">
        <v>30</v>
      </c>
      <c r="N35">
        <v>18</v>
      </c>
      <c r="O35">
        <v>18</v>
      </c>
      <c r="P35">
        <v>6</v>
      </c>
      <c r="Q35">
        <v>3</v>
      </c>
      <c r="R35">
        <v>22</v>
      </c>
      <c r="S35">
        <v>0</v>
      </c>
      <c r="T35">
        <v>28</v>
      </c>
      <c r="X35">
        <f t="shared" si="0"/>
        <v>0</v>
      </c>
    </row>
    <row r="36" spans="1:24" x14ac:dyDescent="0.25">
      <c r="A36" t="s">
        <v>425</v>
      </c>
      <c r="B36" t="s">
        <v>391</v>
      </c>
      <c r="C36">
        <v>23</v>
      </c>
      <c r="D36">
        <v>4.91</v>
      </c>
      <c r="E36">
        <v>2</v>
      </c>
      <c r="F36">
        <v>4</v>
      </c>
      <c r="G36">
        <v>6</v>
      </c>
      <c r="H36">
        <v>36</v>
      </c>
      <c r="I36">
        <v>2</v>
      </c>
      <c r="J36">
        <v>0</v>
      </c>
      <c r="K36">
        <v>0</v>
      </c>
      <c r="L36">
        <v>36.200000000000003</v>
      </c>
      <c r="M36">
        <v>37</v>
      </c>
      <c r="N36">
        <v>20</v>
      </c>
      <c r="O36">
        <v>20</v>
      </c>
      <c r="P36">
        <v>0</v>
      </c>
      <c r="Q36">
        <v>0</v>
      </c>
      <c r="R36">
        <v>15</v>
      </c>
      <c r="S36">
        <v>1</v>
      </c>
      <c r="T36">
        <v>54</v>
      </c>
      <c r="X36">
        <f t="shared" si="0"/>
        <v>0</v>
      </c>
    </row>
    <row r="37" spans="1:24" x14ac:dyDescent="0.25">
      <c r="A37" t="s">
        <v>426</v>
      </c>
      <c r="B37" t="s">
        <v>391</v>
      </c>
      <c r="C37">
        <v>23</v>
      </c>
      <c r="D37">
        <v>12.15</v>
      </c>
      <c r="E37">
        <v>0</v>
      </c>
      <c r="F37">
        <v>0</v>
      </c>
      <c r="G37">
        <v>0</v>
      </c>
      <c r="H37">
        <v>8</v>
      </c>
      <c r="I37">
        <v>0</v>
      </c>
      <c r="J37">
        <v>0</v>
      </c>
      <c r="K37">
        <v>0</v>
      </c>
      <c r="L37">
        <v>6.2</v>
      </c>
      <c r="M37">
        <v>14</v>
      </c>
      <c r="N37">
        <v>9</v>
      </c>
      <c r="O37">
        <v>9</v>
      </c>
      <c r="P37">
        <v>2</v>
      </c>
      <c r="Q37">
        <v>1</v>
      </c>
      <c r="R37">
        <v>3</v>
      </c>
      <c r="S37">
        <v>0</v>
      </c>
      <c r="T37">
        <v>2</v>
      </c>
      <c r="X37">
        <f t="shared" si="0"/>
        <v>0</v>
      </c>
    </row>
    <row r="38" spans="1:24" x14ac:dyDescent="0.25">
      <c r="A38" t="s">
        <v>427</v>
      </c>
      <c r="B38" t="s">
        <v>391</v>
      </c>
      <c r="C38">
        <v>24</v>
      </c>
      <c r="D38">
        <v>6.61</v>
      </c>
      <c r="E38">
        <v>1</v>
      </c>
      <c r="F38">
        <v>3</v>
      </c>
      <c r="G38">
        <v>4</v>
      </c>
      <c r="H38">
        <v>30</v>
      </c>
      <c r="I38">
        <v>0</v>
      </c>
      <c r="J38">
        <v>0</v>
      </c>
      <c r="K38">
        <v>0</v>
      </c>
      <c r="L38">
        <v>31.1</v>
      </c>
      <c r="M38">
        <v>31</v>
      </c>
      <c r="N38">
        <v>25</v>
      </c>
      <c r="O38">
        <v>23</v>
      </c>
      <c r="P38">
        <v>5</v>
      </c>
      <c r="Q38">
        <v>0</v>
      </c>
      <c r="R38">
        <v>17</v>
      </c>
      <c r="S38">
        <v>0</v>
      </c>
      <c r="T38">
        <v>19</v>
      </c>
      <c r="X38">
        <f t="shared" si="0"/>
        <v>0</v>
      </c>
    </row>
    <row r="39" spans="1:24" x14ac:dyDescent="0.25">
      <c r="A39" t="s">
        <v>428</v>
      </c>
      <c r="B39" t="s">
        <v>391</v>
      </c>
      <c r="C39">
        <v>24</v>
      </c>
      <c r="D39">
        <v>11.32</v>
      </c>
      <c r="E39">
        <v>0</v>
      </c>
      <c r="F39">
        <v>0</v>
      </c>
      <c r="G39">
        <v>0</v>
      </c>
      <c r="H39">
        <v>7</v>
      </c>
      <c r="I39">
        <v>0</v>
      </c>
      <c r="J39">
        <v>0</v>
      </c>
      <c r="K39">
        <v>0</v>
      </c>
      <c r="L39">
        <v>10.1</v>
      </c>
      <c r="M39">
        <v>17</v>
      </c>
      <c r="N39">
        <v>13</v>
      </c>
      <c r="O39">
        <v>13</v>
      </c>
      <c r="P39">
        <v>2</v>
      </c>
      <c r="Q39">
        <v>2</v>
      </c>
      <c r="R39">
        <v>5</v>
      </c>
      <c r="S39">
        <v>0</v>
      </c>
      <c r="T39">
        <v>10</v>
      </c>
      <c r="X39">
        <f t="shared" si="0"/>
        <v>0</v>
      </c>
    </row>
    <row r="40" spans="1:24" x14ac:dyDescent="0.25">
      <c r="A40" t="s">
        <v>429</v>
      </c>
      <c r="B40" t="s">
        <v>391</v>
      </c>
      <c r="C40">
        <v>24</v>
      </c>
      <c r="D40">
        <v>0</v>
      </c>
      <c r="E40">
        <v>1</v>
      </c>
      <c r="F40">
        <v>0</v>
      </c>
      <c r="G40">
        <v>0</v>
      </c>
      <c r="H40">
        <v>2</v>
      </c>
      <c r="I40">
        <v>0</v>
      </c>
      <c r="J40">
        <v>0</v>
      </c>
      <c r="K40">
        <v>0</v>
      </c>
      <c r="L40">
        <v>3</v>
      </c>
      <c r="M40">
        <v>3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3</v>
      </c>
      <c r="X40">
        <f t="shared" si="0"/>
        <v>0</v>
      </c>
    </row>
    <row r="41" spans="1:24" x14ac:dyDescent="0.25">
      <c r="A41" t="s">
        <v>430</v>
      </c>
      <c r="B41" t="s">
        <v>389</v>
      </c>
      <c r="C41">
        <v>24</v>
      </c>
      <c r="D41">
        <v>6.85</v>
      </c>
      <c r="E41">
        <v>1</v>
      </c>
      <c r="F41">
        <v>1</v>
      </c>
      <c r="G41">
        <v>0</v>
      </c>
      <c r="H41">
        <v>5</v>
      </c>
      <c r="I41">
        <v>5</v>
      </c>
      <c r="J41">
        <v>0</v>
      </c>
      <c r="K41">
        <v>0</v>
      </c>
      <c r="L41">
        <v>22.1</v>
      </c>
      <c r="M41">
        <v>26</v>
      </c>
      <c r="N41">
        <v>18</v>
      </c>
      <c r="O41">
        <v>17</v>
      </c>
      <c r="P41">
        <v>3</v>
      </c>
      <c r="Q41">
        <v>1</v>
      </c>
      <c r="R41">
        <v>11</v>
      </c>
      <c r="S41">
        <v>0</v>
      </c>
      <c r="T41">
        <v>18</v>
      </c>
      <c r="X41">
        <f t="shared" si="0"/>
        <v>0</v>
      </c>
    </row>
    <row r="42" spans="1:24" x14ac:dyDescent="0.25">
      <c r="A42" t="s">
        <v>431</v>
      </c>
      <c r="B42" t="s">
        <v>389</v>
      </c>
      <c r="C42">
        <v>24</v>
      </c>
      <c r="D42">
        <v>9.36</v>
      </c>
      <c r="E42">
        <v>2</v>
      </c>
      <c r="F42">
        <v>6</v>
      </c>
      <c r="G42">
        <v>0</v>
      </c>
      <c r="H42">
        <v>14</v>
      </c>
      <c r="I42">
        <v>12</v>
      </c>
      <c r="J42">
        <v>0</v>
      </c>
      <c r="K42">
        <v>0</v>
      </c>
      <c r="L42">
        <v>58.2</v>
      </c>
      <c r="M42">
        <v>85</v>
      </c>
      <c r="N42">
        <v>61</v>
      </c>
      <c r="O42">
        <v>61</v>
      </c>
      <c r="P42">
        <v>17</v>
      </c>
      <c r="Q42">
        <v>3</v>
      </c>
      <c r="R42">
        <v>23</v>
      </c>
      <c r="S42">
        <v>1</v>
      </c>
      <c r="T42">
        <v>27</v>
      </c>
      <c r="X42">
        <f t="shared" si="0"/>
        <v>0</v>
      </c>
    </row>
    <row r="43" spans="1:24" x14ac:dyDescent="0.25">
      <c r="A43" t="s">
        <v>432</v>
      </c>
      <c r="B43" t="s">
        <v>391</v>
      </c>
      <c r="C43">
        <v>24</v>
      </c>
      <c r="D43">
        <v>1.69</v>
      </c>
      <c r="E43">
        <v>3</v>
      </c>
      <c r="F43">
        <v>1</v>
      </c>
      <c r="G43">
        <v>0</v>
      </c>
      <c r="H43">
        <v>11</v>
      </c>
      <c r="I43">
        <v>3</v>
      </c>
      <c r="J43">
        <v>0</v>
      </c>
      <c r="K43">
        <v>0</v>
      </c>
      <c r="L43">
        <v>32</v>
      </c>
      <c r="M43">
        <v>17</v>
      </c>
      <c r="N43">
        <v>11</v>
      </c>
      <c r="O43">
        <v>6</v>
      </c>
      <c r="P43">
        <v>6</v>
      </c>
      <c r="Q43">
        <v>0</v>
      </c>
      <c r="R43">
        <v>11</v>
      </c>
      <c r="S43">
        <v>0</v>
      </c>
      <c r="T43">
        <v>35</v>
      </c>
      <c r="X43">
        <f t="shared" si="0"/>
        <v>0</v>
      </c>
    </row>
    <row r="44" spans="1:24" x14ac:dyDescent="0.25">
      <c r="A44" t="s">
        <v>433</v>
      </c>
      <c r="B44" t="s">
        <v>389</v>
      </c>
      <c r="C44">
        <v>24</v>
      </c>
      <c r="D44">
        <v>7.36</v>
      </c>
      <c r="E44">
        <v>0</v>
      </c>
      <c r="F44">
        <v>5</v>
      </c>
      <c r="G44">
        <v>0</v>
      </c>
      <c r="H44">
        <v>7</v>
      </c>
      <c r="I44">
        <v>7</v>
      </c>
      <c r="J44">
        <v>0</v>
      </c>
      <c r="K44">
        <v>0</v>
      </c>
      <c r="L44">
        <v>25.2</v>
      </c>
      <c r="M44">
        <v>30</v>
      </c>
      <c r="N44">
        <v>21</v>
      </c>
      <c r="O44">
        <v>21</v>
      </c>
      <c r="P44">
        <v>6</v>
      </c>
      <c r="Q44">
        <v>5</v>
      </c>
      <c r="R44">
        <v>17</v>
      </c>
      <c r="S44">
        <v>0</v>
      </c>
      <c r="T44">
        <v>23</v>
      </c>
      <c r="X44">
        <f t="shared" si="0"/>
        <v>0</v>
      </c>
    </row>
    <row r="45" spans="1:24" x14ac:dyDescent="0.25">
      <c r="A45" t="s">
        <v>434</v>
      </c>
      <c r="B45" t="s">
        <v>391</v>
      </c>
      <c r="C45">
        <v>24</v>
      </c>
      <c r="D45">
        <v>3.86</v>
      </c>
      <c r="E45">
        <v>0</v>
      </c>
      <c r="F45">
        <v>0</v>
      </c>
      <c r="G45">
        <v>0</v>
      </c>
      <c r="H45">
        <v>5</v>
      </c>
      <c r="I45">
        <v>0</v>
      </c>
      <c r="J45">
        <v>0</v>
      </c>
      <c r="K45">
        <v>0</v>
      </c>
      <c r="L45">
        <v>4.2</v>
      </c>
      <c r="M45">
        <v>4</v>
      </c>
      <c r="N45">
        <v>2</v>
      </c>
      <c r="O45">
        <v>2</v>
      </c>
      <c r="P45">
        <v>0</v>
      </c>
      <c r="Q45">
        <v>0</v>
      </c>
      <c r="R45">
        <v>6</v>
      </c>
      <c r="S45">
        <v>0</v>
      </c>
      <c r="T45">
        <v>5</v>
      </c>
      <c r="X45">
        <f t="shared" si="0"/>
        <v>0</v>
      </c>
    </row>
    <row r="46" spans="1:24" x14ac:dyDescent="0.25">
      <c r="A46" t="s">
        <v>435</v>
      </c>
      <c r="B46" t="s">
        <v>391</v>
      </c>
      <c r="C46">
        <v>24</v>
      </c>
      <c r="D46">
        <v>5.68</v>
      </c>
      <c r="E46">
        <v>1</v>
      </c>
      <c r="F46">
        <v>1</v>
      </c>
      <c r="G46">
        <v>0</v>
      </c>
      <c r="H46">
        <v>17</v>
      </c>
      <c r="I46">
        <v>0</v>
      </c>
      <c r="J46">
        <v>0</v>
      </c>
      <c r="K46">
        <v>0</v>
      </c>
      <c r="L46">
        <v>19</v>
      </c>
      <c r="M46">
        <v>17</v>
      </c>
      <c r="N46">
        <v>13</v>
      </c>
      <c r="O46">
        <v>12</v>
      </c>
      <c r="P46">
        <v>3</v>
      </c>
      <c r="Q46">
        <v>0</v>
      </c>
      <c r="R46">
        <v>10</v>
      </c>
      <c r="S46">
        <v>1</v>
      </c>
      <c r="T46">
        <v>20</v>
      </c>
      <c r="X46">
        <f t="shared" si="0"/>
        <v>0</v>
      </c>
    </row>
    <row r="47" spans="1:24" x14ac:dyDescent="0.25">
      <c r="A47" t="s">
        <v>436</v>
      </c>
      <c r="B47" t="s">
        <v>389</v>
      </c>
      <c r="C47">
        <v>24</v>
      </c>
      <c r="D47">
        <v>4.32</v>
      </c>
      <c r="E47">
        <v>6</v>
      </c>
      <c r="F47">
        <v>5</v>
      </c>
      <c r="G47">
        <v>0</v>
      </c>
      <c r="H47">
        <v>16</v>
      </c>
      <c r="I47">
        <v>15</v>
      </c>
      <c r="J47">
        <v>0</v>
      </c>
      <c r="K47">
        <v>0</v>
      </c>
      <c r="L47">
        <v>81.099999999999994</v>
      </c>
      <c r="M47">
        <v>82</v>
      </c>
      <c r="N47">
        <v>45</v>
      </c>
      <c r="O47">
        <v>39</v>
      </c>
      <c r="P47">
        <v>13</v>
      </c>
      <c r="Q47">
        <v>4</v>
      </c>
      <c r="R47">
        <v>31</v>
      </c>
      <c r="S47">
        <v>1</v>
      </c>
      <c r="T47">
        <v>59</v>
      </c>
      <c r="X47">
        <f t="shared" si="0"/>
        <v>0</v>
      </c>
    </row>
    <row r="48" spans="1:24" x14ac:dyDescent="0.25">
      <c r="A48" t="s">
        <v>437</v>
      </c>
      <c r="B48" t="s">
        <v>389</v>
      </c>
      <c r="C48">
        <v>24</v>
      </c>
      <c r="D48">
        <v>6.66</v>
      </c>
      <c r="E48">
        <v>1</v>
      </c>
      <c r="F48">
        <v>3</v>
      </c>
      <c r="G48">
        <v>0</v>
      </c>
      <c r="H48">
        <v>5</v>
      </c>
      <c r="I48">
        <v>5</v>
      </c>
      <c r="J48">
        <v>0</v>
      </c>
      <c r="K48">
        <v>0</v>
      </c>
      <c r="L48">
        <v>24.1</v>
      </c>
      <c r="M48">
        <v>24</v>
      </c>
      <c r="N48">
        <v>19</v>
      </c>
      <c r="O48">
        <v>18</v>
      </c>
      <c r="P48">
        <v>4</v>
      </c>
      <c r="Q48">
        <v>1</v>
      </c>
      <c r="R48">
        <v>11</v>
      </c>
      <c r="S48">
        <v>0</v>
      </c>
      <c r="T48">
        <v>24</v>
      </c>
      <c r="X48">
        <f t="shared" si="0"/>
        <v>0</v>
      </c>
    </row>
    <row r="49" spans="1:24" x14ac:dyDescent="0.25">
      <c r="A49" t="s">
        <v>438</v>
      </c>
      <c r="B49" t="s">
        <v>391</v>
      </c>
      <c r="C49">
        <v>24</v>
      </c>
      <c r="D49">
        <v>2.7</v>
      </c>
      <c r="E49">
        <v>7</v>
      </c>
      <c r="F49">
        <v>0</v>
      </c>
      <c r="G49">
        <v>0</v>
      </c>
      <c r="H49">
        <v>52</v>
      </c>
      <c r="I49">
        <v>1</v>
      </c>
      <c r="J49">
        <v>0</v>
      </c>
      <c r="K49">
        <v>0</v>
      </c>
      <c r="L49">
        <v>50</v>
      </c>
      <c r="M49">
        <v>32</v>
      </c>
      <c r="N49">
        <v>15</v>
      </c>
      <c r="O49">
        <v>15</v>
      </c>
      <c r="P49">
        <v>4</v>
      </c>
      <c r="Q49">
        <v>3</v>
      </c>
      <c r="R49">
        <v>19</v>
      </c>
      <c r="S49">
        <v>1</v>
      </c>
      <c r="T49">
        <v>62</v>
      </c>
      <c r="X49">
        <f t="shared" si="0"/>
        <v>0</v>
      </c>
    </row>
    <row r="50" spans="1:24" x14ac:dyDescent="0.25">
      <c r="A50" t="s">
        <v>439</v>
      </c>
      <c r="B50" t="s">
        <v>391</v>
      </c>
      <c r="C50">
        <v>24</v>
      </c>
      <c r="D50">
        <v>4.1500000000000004</v>
      </c>
      <c r="E50">
        <v>0</v>
      </c>
      <c r="F50">
        <v>1</v>
      </c>
      <c r="G50">
        <v>0</v>
      </c>
      <c r="H50">
        <v>13</v>
      </c>
      <c r="I50">
        <v>0</v>
      </c>
      <c r="J50">
        <v>0</v>
      </c>
      <c r="K50">
        <v>0</v>
      </c>
      <c r="L50">
        <v>17.100000000000001</v>
      </c>
      <c r="M50">
        <v>9</v>
      </c>
      <c r="N50">
        <v>8</v>
      </c>
      <c r="O50">
        <v>8</v>
      </c>
      <c r="P50">
        <v>0</v>
      </c>
      <c r="Q50">
        <v>0</v>
      </c>
      <c r="R50">
        <v>14</v>
      </c>
      <c r="S50">
        <v>0</v>
      </c>
      <c r="T50">
        <v>10</v>
      </c>
      <c r="X50">
        <f t="shared" si="0"/>
        <v>0</v>
      </c>
    </row>
    <row r="51" spans="1:24" x14ac:dyDescent="0.25">
      <c r="A51" t="s">
        <v>440</v>
      </c>
      <c r="B51" t="s">
        <v>391</v>
      </c>
      <c r="C51">
        <v>24</v>
      </c>
      <c r="D51">
        <v>6.23</v>
      </c>
      <c r="E51">
        <v>1</v>
      </c>
      <c r="F51">
        <v>0</v>
      </c>
      <c r="G51">
        <v>0</v>
      </c>
      <c r="H51">
        <v>5</v>
      </c>
      <c r="I51">
        <v>0</v>
      </c>
      <c r="J51">
        <v>0</v>
      </c>
      <c r="K51">
        <v>0</v>
      </c>
      <c r="L51">
        <v>4.0999999999999996</v>
      </c>
      <c r="M51">
        <v>5</v>
      </c>
      <c r="N51">
        <v>4</v>
      </c>
      <c r="O51">
        <v>3</v>
      </c>
      <c r="P51">
        <v>1</v>
      </c>
      <c r="Q51">
        <v>0</v>
      </c>
      <c r="R51">
        <v>1</v>
      </c>
      <c r="S51">
        <v>0</v>
      </c>
      <c r="T51">
        <v>1</v>
      </c>
      <c r="X51">
        <f t="shared" si="0"/>
        <v>0</v>
      </c>
    </row>
    <row r="52" spans="1:24" x14ac:dyDescent="0.25">
      <c r="A52" t="s">
        <v>441</v>
      </c>
      <c r="B52" t="s">
        <v>389</v>
      </c>
      <c r="C52">
        <v>24</v>
      </c>
      <c r="D52">
        <v>6.81</v>
      </c>
      <c r="E52">
        <v>3</v>
      </c>
      <c r="F52">
        <v>11</v>
      </c>
      <c r="G52">
        <v>0</v>
      </c>
      <c r="H52">
        <v>23</v>
      </c>
      <c r="I52">
        <v>23</v>
      </c>
      <c r="J52">
        <v>0</v>
      </c>
      <c r="K52">
        <v>0</v>
      </c>
      <c r="L52">
        <v>111</v>
      </c>
      <c r="M52">
        <v>136</v>
      </c>
      <c r="N52">
        <v>89</v>
      </c>
      <c r="O52">
        <v>84</v>
      </c>
      <c r="P52">
        <v>21</v>
      </c>
      <c r="Q52">
        <v>7</v>
      </c>
      <c r="R52">
        <v>58</v>
      </c>
      <c r="S52">
        <v>4</v>
      </c>
      <c r="T52">
        <v>72</v>
      </c>
      <c r="X52">
        <f t="shared" si="0"/>
        <v>0</v>
      </c>
    </row>
    <row r="53" spans="1:24" x14ac:dyDescent="0.25">
      <c r="A53" t="s">
        <v>442</v>
      </c>
      <c r="B53" t="s">
        <v>391</v>
      </c>
      <c r="C53">
        <v>24</v>
      </c>
      <c r="D53">
        <v>3.38</v>
      </c>
      <c r="E53">
        <v>0</v>
      </c>
      <c r="F53">
        <v>0</v>
      </c>
      <c r="G53">
        <v>0</v>
      </c>
      <c r="H53">
        <v>2</v>
      </c>
      <c r="I53">
        <v>0</v>
      </c>
      <c r="J53">
        <v>0</v>
      </c>
      <c r="K53">
        <v>0</v>
      </c>
      <c r="L53">
        <v>2.2000000000000002</v>
      </c>
      <c r="M53">
        <v>1</v>
      </c>
      <c r="N53">
        <v>2</v>
      </c>
      <c r="O53">
        <v>1</v>
      </c>
      <c r="P53">
        <v>0</v>
      </c>
      <c r="Q53">
        <v>0</v>
      </c>
      <c r="R53">
        <v>6</v>
      </c>
      <c r="S53">
        <v>0</v>
      </c>
      <c r="T53">
        <v>4</v>
      </c>
      <c r="X53">
        <f t="shared" si="0"/>
        <v>0</v>
      </c>
    </row>
    <row r="54" spans="1:24" x14ac:dyDescent="0.25">
      <c r="A54" t="s">
        <v>443</v>
      </c>
      <c r="B54" t="s">
        <v>391</v>
      </c>
      <c r="C54">
        <v>24</v>
      </c>
      <c r="D54">
        <v>4.5</v>
      </c>
      <c r="E54">
        <v>0</v>
      </c>
      <c r="F54">
        <v>0</v>
      </c>
      <c r="G54">
        <v>0</v>
      </c>
      <c r="H54">
        <v>8</v>
      </c>
      <c r="I54">
        <v>0</v>
      </c>
      <c r="J54">
        <v>0</v>
      </c>
      <c r="K54">
        <v>0</v>
      </c>
      <c r="L54">
        <v>10</v>
      </c>
      <c r="M54">
        <v>10</v>
      </c>
      <c r="N54">
        <v>5</v>
      </c>
      <c r="O54">
        <v>5</v>
      </c>
      <c r="P54">
        <v>3</v>
      </c>
      <c r="Q54">
        <v>0</v>
      </c>
      <c r="R54">
        <v>4</v>
      </c>
      <c r="S54">
        <v>0</v>
      </c>
      <c r="T54">
        <v>13</v>
      </c>
      <c r="X54">
        <f t="shared" si="0"/>
        <v>0</v>
      </c>
    </row>
    <row r="55" spans="1:24" x14ac:dyDescent="0.25">
      <c r="A55" t="s">
        <v>444</v>
      </c>
      <c r="B55" t="s">
        <v>389</v>
      </c>
      <c r="C55">
        <v>24</v>
      </c>
      <c r="D55">
        <v>1.8</v>
      </c>
      <c r="E55">
        <v>1</v>
      </c>
      <c r="F55">
        <v>0</v>
      </c>
      <c r="G55">
        <v>0</v>
      </c>
      <c r="H55">
        <v>3</v>
      </c>
      <c r="I55">
        <v>2</v>
      </c>
      <c r="J55">
        <v>0</v>
      </c>
      <c r="K55">
        <v>0</v>
      </c>
      <c r="L55">
        <v>15</v>
      </c>
      <c r="M55">
        <v>13</v>
      </c>
      <c r="N55">
        <v>6</v>
      </c>
      <c r="O55">
        <v>3</v>
      </c>
      <c r="P55">
        <v>1</v>
      </c>
      <c r="Q55">
        <v>0</v>
      </c>
      <c r="R55">
        <v>2</v>
      </c>
      <c r="S55">
        <v>0</v>
      </c>
      <c r="T55">
        <v>14</v>
      </c>
      <c r="X55">
        <f t="shared" si="0"/>
        <v>0</v>
      </c>
    </row>
    <row r="56" spans="1:24" x14ac:dyDescent="0.25">
      <c r="A56" t="s">
        <v>445</v>
      </c>
      <c r="B56" t="s">
        <v>389</v>
      </c>
      <c r="C56">
        <v>24</v>
      </c>
      <c r="D56">
        <v>7.41</v>
      </c>
      <c r="E56">
        <v>0</v>
      </c>
      <c r="F56">
        <v>2</v>
      </c>
      <c r="G56">
        <v>0</v>
      </c>
      <c r="H56">
        <v>5</v>
      </c>
      <c r="I56">
        <v>3</v>
      </c>
      <c r="J56">
        <v>0</v>
      </c>
      <c r="K56">
        <v>0</v>
      </c>
      <c r="L56">
        <v>17</v>
      </c>
      <c r="M56">
        <v>18</v>
      </c>
      <c r="N56">
        <v>14</v>
      </c>
      <c r="O56">
        <v>14</v>
      </c>
      <c r="P56">
        <v>4</v>
      </c>
      <c r="Q56">
        <v>3</v>
      </c>
      <c r="R56">
        <v>12</v>
      </c>
      <c r="S56">
        <v>0</v>
      </c>
      <c r="T56">
        <v>14</v>
      </c>
      <c r="X56">
        <f t="shared" si="0"/>
        <v>0</v>
      </c>
    </row>
    <row r="57" spans="1:24" x14ac:dyDescent="0.25">
      <c r="A57" t="s">
        <v>446</v>
      </c>
      <c r="B57" t="s">
        <v>391</v>
      </c>
      <c r="C57">
        <v>24</v>
      </c>
      <c r="D57">
        <v>3.96</v>
      </c>
      <c r="E57">
        <v>2</v>
      </c>
      <c r="F57">
        <v>2</v>
      </c>
      <c r="G57">
        <v>1</v>
      </c>
      <c r="H57">
        <v>55</v>
      </c>
      <c r="I57">
        <v>0</v>
      </c>
      <c r="J57">
        <v>0</v>
      </c>
      <c r="K57">
        <v>0</v>
      </c>
      <c r="L57">
        <v>61.1</v>
      </c>
      <c r="M57">
        <v>52</v>
      </c>
      <c r="N57">
        <v>34</v>
      </c>
      <c r="O57">
        <v>27</v>
      </c>
      <c r="P57">
        <v>6</v>
      </c>
      <c r="Q57">
        <v>6</v>
      </c>
      <c r="R57">
        <v>25</v>
      </c>
      <c r="S57">
        <v>1</v>
      </c>
      <c r="T57">
        <v>68</v>
      </c>
      <c r="X57">
        <f t="shared" si="0"/>
        <v>0</v>
      </c>
    </row>
    <row r="58" spans="1:24" x14ac:dyDescent="0.25">
      <c r="A58" t="s">
        <v>447</v>
      </c>
      <c r="B58" t="s">
        <v>391</v>
      </c>
      <c r="C58">
        <v>24</v>
      </c>
      <c r="D58">
        <v>2.76</v>
      </c>
      <c r="E58">
        <v>3</v>
      </c>
      <c r="F58">
        <v>2</v>
      </c>
      <c r="G58">
        <v>0</v>
      </c>
      <c r="H58">
        <v>16</v>
      </c>
      <c r="I58">
        <v>4</v>
      </c>
      <c r="J58">
        <v>0</v>
      </c>
      <c r="K58">
        <v>0</v>
      </c>
      <c r="L58">
        <v>45.2</v>
      </c>
      <c r="M58">
        <v>31</v>
      </c>
      <c r="N58">
        <v>15</v>
      </c>
      <c r="O58">
        <v>14</v>
      </c>
      <c r="P58">
        <v>7</v>
      </c>
      <c r="Q58">
        <v>1</v>
      </c>
      <c r="R58">
        <v>15</v>
      </c>
      <c r="S58">
        <v>0</v>
      </c>
      <c r="T58">
        <v>36</v>
      </c>
      <c r="X58">
        <f t="shared" si="0"/>
        <v>0</v>
      </c>
    </row>
    <row r="59" spans="1:24" x14ac:dyDescent="0.25">
      <c r="A59" t="s">
        <v>448</v>
      </c>
      <c r="B59" t="s">
        <v>389</v>
      </c>
      <c r="C59">
        <v>24</v>
      </c>
      <c r="D59">
        <v>2.72</v>
      </c>
      <c r="E59">
        <v>3</v>
      </c>
      <c r="F59">
        <v>1</v>
      </c>
      <c r="G59">
        <v>0</v>
      </c>
      <c r="H59">
        <v>7</v>
      </c>
      <c r="I59">
        <v>7</v>
      </c>
      <c r="J59">
        <v>0</v>
      </c>
      <c r="K59">
        <v>0</v>
      </c>
      <c r="L59">
        <v>39.200000000000003</v>
      </c>
      <c r="M59">
        <v>46</v>
      </c>
      <c r="N59">
        <v>12</v>
      </c>
      <c r="O59">
        <v>12</v>
      </c>
      <c r="P59">
        <v>4</v>
      </c>
      <c r="Q59">
        <v>0</v>
      </c>
      <c r="R59">
        <v>6</v>
      </c>
      <c r="S59">
        <v>0</v>
      </c>
      <c r="T59">
        <v>38</v>
      </c>
      <c r="X59">
        <f t="shared" si="0"/>
        <v>0</v>
      </c>
    </row>
    <row r="60" spans="1:24" x14ac:dyDescent="0.25">
      <c r="A60" t="s">
        <v>449</v>
      </c>
      <c r="B60" t="s">
        <v>391</v>
      </c>
      <c r="C60">
        <v>24</v>
      </c>
      <c r="D60">
        <v>3.43</v>
      </c>
      <c r="E60">
        <v>2</v>
      </c>
      <c r="F60">
        <v>0</v>
      </c>
      <c r="G60">
        <v>0</v>
      </c>
      <c r="H60">
        <v>23</v>
      </c>
      <c r="I60">
        <v>0</v>
      </c>
      <c r="J60">
        <v>0</v>
      </c>
      <c r="K60">
        <v>0</v>
      </c>
      <c r="L60">
        <v>21</v>
      </c>
      <c r="M60">
        <v>17</v>
      </c>
      <c r="N60">
        <v>8</v>
      </c>
      <c r="O60">
        <v>8</v>
      </c>
      <c r="P60">
        <v>3</v>
      </c>
      <c r="Q60">
        <v>1</v>
      </c>
      <c r="R60">
        <v>17</v>
      </c>
      <c r="S60">
        <v>0</v>
      </c>
      <c r="T60">
        <v>21</v>
      </c>
      <c r="X60">
        <f t="shared" si="0"/>
        <v>0</v>
      </c>
    </row>
    <row r="61" spans="1:24" x14ac:dyDescent="0.25">
      <c r="A61" t="s">
        <v>450</v>
      </c>
      <c r="B61" t="s">
        <v>389</v>
      </c>
      <c r="C61">
        <v>24</v>
      </c>
      <c r="D61">
        <v>4.37</v>
      </c>
      <c r="E61">
        <v>5</v>
      </c>
      <c r="F61">
        <v>3</v>
      </c>
      <c r="G61">
        <v>0</v>
      </c>
      <c r="H61">
        <v>20</v>
      </c>
      <c r="I61">
        <v>12</v>
      </c>
      <c r="J61">
        <v>0</v>
      </c>
      <c r="K61">
        <v>0</v>
      </c>
      <c r="L61">
        <v>90.2</v>
      </c>
      <c r="M61">
        <v>95</v>
      </c>
      <c r="N61">
        <v>46</v>
      </c>
      <c r="O61">
        <v>44</v>
      </c>
      <c r="P61">
        <v>16</v>
      </c>
      <c r="Q61">
        <v>2</v>
      </c>
      <c r="R61">
        <v>31</v>
      </c>
      <c r="S61">
        <v>0</v>
      </c>
      <c r="T61">
        <v>72</v>
      </c>
      <c r="X61">
        <f t="shared" si="0"/>
        <v>0</v>
      </c>
    </row>
    <row r="62" spans="1:24" x14ac:dyDescent="0.25">
      <c r="A62" t="s">
        <v>451</v>
      </c>
      <c r="B62" t="s">
        <v>391</v>
      </c>
      <c r="C62">
        <v>24</v>
      </c>
      <c r="D62">
        <v>3</v>
      </c>
      <c r="E62">
        <v>0</v>
      </c>
      <c r="F62">
        <v>0</v>
      </c>
      <c r="G62">
        <v>0</v>
      </c>
      <c r="H62">
        <v>3</v>
      </c>
      <c r="I62">
        <v>0</v>
      </c>
      <c r="J62">
        <v>0</v>
      </c>
      <c r="K62">
        <v>0</v>
      </c>
      <c r="L62">
        <v>3</v>
      </c>
      <c r="M62">
        <v>3</v>
      </c>
      <c r="N62">
        <v>1</v>
      </c>
      <c r="O62">
        <v>1</v>
      </c>
      <c r="P62">
        <v>0</v>
      </c>
      <c r="Q62">
        <v>0</v>
      </c>
      <c r="R62">
        <v>3</v>
      </c>
      <c r="S62">
        <v>0</v>
      </c>
      <c r="T62">
        <v>1</v>
      </c>
      <c r="X62">
        <f t="shared" si="0"/>
        <v>0</v>
      </c>
    </row>
    <row r="63" spans="1:24" x14ac:dyDescent="0.25">
      <c r="A63" t="s">
        <v>452</v>
      </c>
      <c r="B63" t="s">
        <v>389</v>
      </c>
      <c r="C63">
        <v>24</v>
      </c>
      <c r="D63">
        <v>8.91</v>
      </c>
      <c r="E63">
        <v>0</v>
      </c>
      <c r="F63">
        <v>4</v>
      </c>
      <c r="G63">
        <v>0</v>
      </c>
      <c r="H63">
        <v>9</v>
      </c>
      <c r="I63">
        <v>7</v>
      </c>
      <c r="J63">
        <v>0</v>
      </c>
      <c r="K63">
        <v>0</v>
      </c>
      <c r="L63">
        <v>34.1</v>
      </c>
      <c r="M63">
        <v>45</v>
      </c>
      <c r="N63">
        <v>35</v>
      </c>
      <c r="O63">
        <v>34</v>
      </c>
      <c r="P63">
        <v>10</v>
      </c>
      <c r="Q63">
        <v>3</v>
      </c>
      <c r="R63">
        <v>25</v>
      </c>
      <c r="S63">
        <v>0</v>
      </c>
      <c r="T63">
        <v>27</v>
      </c>
      <c r="X63">
        <f t="shared" si="0"/>
        <v>0</v>
      </c>
    </row>
    <row r="64" spans="1:24" x14ac:dyDescent="0.25">
      <c r="A64" t="s">
        <v>453</v>
      </c>
      <c r="B64" t="s">
        <v>391</v>
      </c>
      <c r="C64">
        <v>24</v>
      </c>
      <c r="D64">
        <v>2.88</v>
      </c>
      <c r="E64">
        <v>5</v>
      </c>
      <c r="F64">
        <v>0</v>
      </c>
      <c r="G64">
        <v>0</v>
      </c>
      <c r="H64">
        <v>21</v>
      </c>
      <c r="I64">
        <v>0</v>
      </c>
      <c r="J64">
        <v>0</v>
      </c>
      <c r="K64">
        <v>0</v>
      </c>
      <c r="L64">
        <v>25</v>
      </c>
      <c r="M64">
        <v>11</v>
      </c>
      <c r="N64">
        <v>9</v>
      </c>
      <c r="O64">
        <v>8</v>
      </c>
      <c r="P64">
        <v>3</v>
      </c>
      <c r="Q64">
        <v>2</v>
      </c>
      <c r="R64">
        <v>12</v>
      </c>
      <c r="S64">
        <v>0</v>
      </c>
      <c r="T64">
        <v>32</v>
      </c>
      <c r="X64">
        <f t="shared" si="0"/>
        <v>0</v>
      </c>
    </row>
    <row r="65" spans="1:24" x14ac:dyDescent="0.25">
      <c r="A65" t="s">
        <v>454</v>
      </c>
      <c r="B65" t="s">
        <v>391</v>
      </c>
      <c r="C65">
        <v>24</v>
      </c>
      <c r="D65">
        <v>2.35</v>
      </c>
      <c r="E65">
        <v>0</v>
      </c>
      <c r="F65">
        <v>0</v>
      </c>
      <c r="G65">
        <v>0</v>
      </c>
      <c r="H65">
        <v>3</v>
      </c>
      <c r="I65">
        <v>0</v>
      </c>
      <c r="J65">
        <v>0</v>
      </c>
      <c r="K65">
        <v>0</v>
      </c>
      <c r="L65">
        <v>7.2</v>
      </c>
      <c r="M65">
        <v>7</v>
      </c>
      <c r="N65">
        <v>2</v>
      </c>
      <c r="O65">
        <v>2</v>
      </c>
      <c r="P65">
        <v>1</v>
      </c>
      <c r="Q65">
        <v>2</v>
      </c>
      <c r="R65">
        <v>2</v>
      </c>
      <c r="S65">
        <v>0</v>
      </c>
      <c r="T65">
        <v>11</v>
      </c>
      <c r="X65">
        <f t="shared" si="0"/>
        <v>0</v>
      </c>
    </row>
    <row r="66" spans="1:24" x14ac:dyDescent="0.25">
      <c r="A66" t="s">
        <v>455</v>
      </c>
      <c r="B66" t="s">
        <v>389</v>
      </c>
      <c r="C66">
        <v>24</v>
      </c>
      <c r="D66">
        <v>2.96</v>
      </c>
      <c r="E66">
        <v>4</v>
      </c>
      <c r="F66">
        <v>3</v>
      </c>
      <c r="G66">
        <v>0</v>
      </c>
      <c r="H66">
        <v>14</v>
      </c>
      <c r="I66">
        <v>14</v>
      </c>
      <c r="J66">
        <v>0</v>
      </c>
      <c r="K66">
        <v>0</v>
      </c>
      <c r="L66">
        <v>73</v>
      </c>
      <c r="M66">
        <v>58</v>
      </c>
      <c r="N66">
        <v>24</v>
      </c>
      <c r="O66">
        <v>24</v>
      </c>
      <c r="P66">
        <v>8</v>
      </c>
      <c r="Q66">
        <v>5</v>
      </c>
      <c r="R66">
        <v>31</v>
      </c>
      <c r="S66">
        <v>0</v>
      </c>
      <c r="T66">
        <v>84</v>
      </c>
      <c r="X66">
        <f t="shared" si="0"/>
        <v>0</v>
      </c>
    </row>
    <row r="67" spans="1:24" x14ac:dyDescent="0.25">
      <c r="A67" t="s">
        <v>456</v>
      </c>
      <c r="B67" t="s">
        <v>391</v>
      </c>
      <c r="C67">
        <v>24</v>
      </c>
      <c r="D67">
        <v>18</v>
      </c>
      <c r="E67">
        <v>0</v>
      </c>
      <c r="F67">
        <v>1</v>
      </c>
      <c r="G67">
        <v>0</v>
      </c>
      <c r="H67">
        <v>4</v>
      </c>
      <c r="I67">
        <v>0</v>
      </c>
      <c r="J67">
        <v>0</v>
      </c>
      <c r="K67">
        <v>0</v>
      </c>
      <c r="L67">
        <v>3</v>
      </c>
      <c r="M67">
        <v>7</v>
      </c>
      <c r="N67">
        <v>6</v>
      </c>
      <c r="O67">
        <v>6</v>
      </c>
      <c r="P67">
        <v>1</v>
      </c>
      <c r="Q67">
        <v>1</v>
      </c>
      <c r="R67">
        <v>3</v>
      </c>
      <c r="S67">
        <v>0</v>
      </c>
      <c r="T67">
        <v>3</v>
      </c>
      <c r="X67">
        <f t="shared" ref="X67:X130" si="1">(V67*2)+W67</f>
        <v>0</v>
      </c>
    </row>
    <row r="68" spans="1:24" x14ac:dyDescent="0.25">
      <c r="A68" t="s">
        <v>457</v>
      </c>
      <c r="B68" t="s">
        <v>389</v>
      </c>
      <c r="C68">
        <v>24</v>
      </c>
      <c r="D68">
        <v>4.79</v>
      </c>
      <c r="E68">
        <v>0</v>
      </c>
      <c r="F68">
        <v>2</v>
      </c>
      <c r="G68">
        <v>0</v>
      </c>
      <c r="H68">
        <v>4</v>
      </c>
      <c r="I68">
        <v>4</v>
      </c>
      <c r="J68">
        <v>0</v>
      </c>
      <c r="K68">
        <v>0</v>
      </c>
      <c r="L68">
        <v>20.2</v>
      </c>
      <c r="M68">
        <v>18</v>
      </c>
      <c r="N68">
        <v>11</v>
      </c>
      <c r="O68">
        <v>11</v>
      </c>
      <c r="P68">
        <v>0</v>
      </c>
      <c r="Q68">
        <v>2</v>
      </c>
      <c r="R68">
        <v>7</v>
      </c>
      <c r="S68">
        <v>0</v>
      </c>
      <c r="T68">
        <v>17</v>
      </c>
      <c r="X68">
        <f t="shared" si="1"/>
        <v>0</v>
      </c>
    </row>
    <row r="69" spans="1:24" x14ac:dyDescent="0.25">
      <c r="A69" t="s">
        <v>458</v>
      </c>
      <c r="B69" t="s">
        <v>389</v>
      </c>
      <c r="C69">
        <v>24</v>
      </c>
      <c r="D69">
        <v>9</v>
      </c>
      <c r="E69">
        <v>1</v>
      </c>
      <c r="F69">
        <v>1</v>
      </c>
      <c r="G69">
        <v>0</v>
      </c>
      <c r="H69">
        <v>4</v>
      </c>
      <c r="I69">
        <v>2</v>
      </c>
      <c r="J69">
        <v>0</v>
      </c>
      <c r="K69">
        <v>0</v>
      </c>
      <c r="L69">
        <v>15</v>
      </c>
      <c r="M69">
        <v>23</v>
      </c>
      <c r="N69">
        <v>15</v>
      </c>
      <c r="O69">
        <v>15</v>
      </c>
      <c r="P69">
        <v>4</v>
      </c>
      <c r="Q69">
        <v>1</v>
      </c>
      <c r="R69">
        <v>10</v>
      </c>
      <c r="S69">
        <v>0</v>
      </c>
      <c r="T69">
        <v>10</v>
      </c>
      <c r="X69">
        <f t="shared" si="1"/>
        <v>0</v>
      </c>
    </row>
    <row r="70" spans="1:24" x14ac:dyDescent="0.25">
      <c r="A70" t="s">
        <v>459</v>
      </c>
      <c r="B70" t="s">
        <v>391</v>
      </c>
      <c r="C70">
        <v>24</v>
      </c>
      <c r="D70">
        <v>13.5</v>
      </c>
      <c r="E70">
        <v>0</v>
      </c>
      <c r="F70">
        <v>0</v>
      </c>
      <c r="G70">
        <v>0</v>
      </c>
      <c r="H70">
        <v>2</v>
      </c>
      <c r="I70">
        <v>0</v>
      </c>
      <c r="J70">
        <v>0</v>
      </c>
      <c r="K70">
        <v>0</v>
      </c>
      <c r="L70">
        <v>1.1000000000000001</v>
      </c>
      <c r="M70">
        <v>2</v>
      </c>
      <c r="N70">
        <v>2</v>
      </c>
      <c r="O70">
        <v>2</v>
      </c>
      <c r="P70">
        <v>1</v>
      </c>
      <c r="Q70">
        <v>0</v>
      </c>
      <c r="R70">
        <v>0</v>
      </c>
      <c r="S70">
        <v>0</v>
      </c>
      <c r="T70">
        <v>2</v>
      </c>
      <c r="X70">
        <f t="shared" si="1"/>
        <v>0</v>
      </c>
    </row>
    <row r="71" spans="1:24" x14ac:dyDescent="0.25">
      <c r="A71" t="s">
        <v>460</v>
      </c>
      <c r="B71" t="s">
        <v>389</v>
      </c>
      <c r="C71">
        <v>24</v>
      </c>
      <c r="D71">
        <v>5.01</v>
      </c>
      <c r="E71">
        <v>2</v>
      </c>
      <c r="F71">
        <v>1</v>
      </c>
      <c r="G71">
        <v>0</v>
      </c>
      <c r="H71">
        <v>5</v>
      </c>
      <c r="I71">
        <v>5</v>
      </c>
      <c r="J71">
        <v>0</v>
      </c>
      <c r="K71">
        <v>0</v>
      </c>
      <c r="L71">
        <v>23.1</v>
      </c>
      <c r="M71">
        <v>22</v>
      </c>
      <c r="N71">
        <v>14</v>
      </c>
      <c r="O71">
        <v>13</v>
      </c>
      <c r="P71">
        <v>6</v>
      </c>
      <c r="Q71">
        <v>2</v>
      </c>
      <c r="R71">
        <v>12</v>
      </c>
      <c r="S71">
        <v>0</v>
      </c>
      <c r="T71">
        <v>16</v>
      </c>
      <c r="X71">
        <f t="shared" si="1"/>
        <v>0</v>
      </c>
    </row>
    <row r="72" spans="1:24" x14ac:dyDescent="0.25">
      <c r="A72" t="s">
        <v>461</v>
      </c>
      <c r="B72" t="s">
        <v>391</v>
      </c>
      <c r="C72">
        <v>25</v>
      </c>
      <c r="D72">
        <v>7.49</v>
      </c>
      <c r="E72">
        <v>1</v>
      </c>
      <c r="F72">
        <v>4</v>
      </c>
      <c r="G72">
        <v>0</v>
      </c>
      <c r="H72">
        <v>18</v>
      </c>
      <c r="I72">
        <v>2</v>
      </c>
      <c r="J72">
        <v>0</v>
      </c>
      <c r="K72">
        <v>0</v>
      </c>
      <c r="L72">
        <v>33.200000000000003</v>
      </c>
      <c r="M72">
        <v>39</v>
      </c>
      <c r="N72">
        <v>29</v>
      </c>
      <c r="O72">
        <v>28</v>
      </c>
      <c r="P72">
        <v>6</v>
      </c>
      <c r="Q72">
        <v>3</v>
      </c>
      <c r="R72">
        <v>17</v>
      </c>
      <c r="S72">
        <v>0</v>
      </c>
      <c r="T72">
        <v>31</v>
      </c>
      <c r="X72">
        <f t="shared" si="1"/>
        <v>0</v>
      </c>
    </row>
    <row r="73" spans="1:24" x14ac:dyDescent="0.25">
      <c r="A73" t="s">
        <v>462</v>
      </c>
      <c r="B73" t="s">
        <v>391</v>
      </c>
      <c r="C73">
        <v>25</v>
      </c>
      <c r="D73">
        <v>2.71</v>
      </c>
      <c r="E73">
        <v>4</v>
      </c>
      <c r="F73">
        <v>4</v>
      </c>
      <c r="G73">
        <v>0</v>
      </c>
      <c r="H73">
        <v>26</v>
      </c>
      <c r="I73">
        <v>8</v>
      </c>
      <c r="J73">
        <v>0</v>
      </c>
      <c r="K73">
        <v>0</v>
      </c>
      <c r="L73">
        <v>69.2</v>
      </c>
      <c r="M73">
        <v>63</v>
      </c>
      <c r="N73">
        <v>22</v>
      </c>
      <c r="O73">
        <v>21</v>
      </c>
      <c r="P73">
        <v>3</v>
      </c>
      <c r="Q73">
        <v>2</v>
      </c>
      <c r="R73">
        <v>24</v>
      </c>
      <c r="S73">
        <v>1</v>
      </c>
      <c r="T73">
        <v>71</v>
      </c>
      <c r="X73">
        <f t="shared" si="1"/>
        <v>0</v>
      </c>
    </row>
    <row r="74" spans="1:24" x14ac:dyDescent="0.25">
      <c r="A74" t="s">
        <v>463</v>
      </c>
      <c r="B74" t="s">
        <v>391</v>
      </c>
      <c r="C74">
        <v>25</v>
      </c>
      <c r="D74">
        <v>6.2</v>
      </c>
      <c r="E74">
        <v>2</v>
      </c>
      <c r="F74">
        <v>3</v>
      </c>
      <c r="G74">
        <v>0</v>
      </c>
      <c r="H74">
        <v>23</v>
      </c>
      <c r="I74">
        <v>0</v>
      </c>
      <c r="J74">
        <v>0</v>
      </c>
      <c r="K74">
        <v>0</v>
      </c>
      <c r="L74">
        <v>20.100000000000001</v>
      </c>
      <c r="M74">
        <v>22</v>
      </c>
      <c r="N74">
        <v>15</v>
      </c>
      <c r="O74">
        <v>14</v>
      </c>
      <c r="P74">
        <v>1</v>
      </c>
      <c r="Q74">
        <v>1</v>
      </c>
      <c r="R74">
        <v>10</v>
      </c>
      <c r="S74">
        <v>0</v>
      </c>
      <c r="T74">
        <v>18</v>
      </c>
      <c r="X74">
        <f t="shared" si="1"/>
        <v>0</v>
      </c>
    </row>
    <row r="75" spans="1:24" x14ac:dyDescent="0.25">
      <c r="A75" t="s">
        <v>464</v>
      </c>
      <c r="B75" t="s">
        <v>391</v>
      </c>
      <c r="C75">
        <v>25</v>
      </c>
      <c r="D75">
        <v>4.6500000000000004</v>
      </c>
      <c r="E75">
        <v>1</v>
      </c>
      <c r="F75">
        <v>4</v>
      </c>
      <c r="G75">
        <v>0</v>
      </c>
      <c r="H75">
        <v>32</v>
      </c>
      <c r="I75">
        <v>6</v>
      </c>
      <c r="J75">
        <v>0</v>
      </c>
      <c r="K75">
        <v>0</v>
      </c>
      <c r="L75">
        <v>81.099999999999994</v>
      </c>
      <c r="M75">
        <v>85</v>
      </c>
      <c r="N75">
        <v>44</v>
      </c>
      <c r="O75">
        <v>42</v>
      </c>
      <c r="P75">
        <v>15</v>
      </c>
      <c r="Q75">
        <v>4</v>
      </c>
      <c r="R75">
        <v>23</v>
      </c>
      <c r="S75">
        <v>0</v>
      </c>
      <c r="T75">
        <v>54</v>
      </c>
      <c r="X75">
        <f t="shared" si="1"/>
        <v>0</v>
      </c>
    </row>
    <row r="76" spans="1:24" x14ac:dyDescent="0.25">
      <c r="A76" t="s">
        <v>465</v>
      </c>
      <c r="B76" t="s">
        <v>389</v>
      </c>
      <c r="C76">
        <v>25</v>
      </c>
      <c r="D76">
        <v>3.66</v>
      </c>
      <c r="E76">
        <v>2</v>
      </c>
      <c r="F76">
        <v>2</v>
      </c>
      <c r="G76">
        <v>0</v>
      </c>
      <c r="H76">
        <v>19</v>
      </c>
      <c r="I76">
        <v>15</v>
      </c>
      <c r="J76">
        <v>0</v>
      </c>
      <c r="K76">
        <v>0</v>
      </c>
      <c r="L76">
        <v>76.099999999999994</v>
      </c>
      <c r="M76">
        <v>61</v>
      </c>
      <c r="N76">
        <v>32</v>
      </c>
      <c r="O76">
        <v>31</v>
      </c>
      <c r="P76">
        <v>8</v>
      </c>
      <c r="Q76">
        <v>1</v>
      </c>
      <c r="R76">
        <v>35</v>
      </c>
      <c r="S76">
        <v>1</v>
      </c>
      <c r="T76">
        <v>73</v>
      </c>
      <c r="X76">
        <f t="shared" si="1"/>
        <v>0</v>
      </c>
    </row>
    <row r="77" spans="1:24" x14ac:dyDescent="0.25">
      <c r="A77" t="s">
        <v>466</v>
      </c>
      <c r="B77" t="s">
        <v>391</v>
      </c>
      <c r="C77">
        <v>25</v>
      </c>
      <c r="D77">
        <v>6.75</v>
      </c>
      <c r="E77">
        <v>0</v>
      </c>
      <c r="F77">
        <v>0</v>
      </c>
      <c r="G77">
        <v>0</v>
      </c>
      <c r="H77">
        <v>1</v>
      </c>
      <c r="I77">
        <v>0</v>
      </c>
      <c r="J77">
        <v>0</v>
      </c>
      <c r="K77">
        <v>0</v>
      </c>
      <c r="L77">
        <v>4</v>
      </c>
      <c r="M77">
        <v>5</v>
      </c>
      <c r="N77">
        <v>5</v>
      </c>
      <c r="O77">
        <v>3</v>
      </c>
      <c r="P77">
        <v>2</v>
      </c>
      <c r="Q77">
        <v>0</v>
      </c>
      <c r="R77">
        <v>0</v>
      </c>
      <c r="S77">
        <v>0</v>
      </c>
      <c r="T77">
        <v>5</v>
      </c>
      <c r="X77">
        <f t="shared" si="1"/>
        <v>0</v>
      </c>
    </row>
    <row r="78" spans="1:24" x14ac:dyDescent="0.25">
      <c r="A78" t="s">
        <v>467</v>
      </c>
      <c r="B78" t="s">
        <v>389</v>
      </c>
      <c r="C78">
        <v>25</v>
      </c>
      <c r="D78">
        <v>4.67</v>
      </c>
      <c r="E78">
        <v>1</v>
      </c>
      <c r="F78">
        <v>4</v>
      </c>
      <c r="G78">
        <v>0</v>
      </c>
      <c r="H78">
        <v>13</v>
      </c>
      <c r="I78">
        <v>9</v>
      </c>
      <c r="J78">
        <v>0</v>
      </c>
      <c r="K78">
        <v>0</v>
      </c>
      <c r="L78">
        <v>52</v>
      </c>
      <c r="M78">
        <v>43</v>
      </c>
      <c r="N78">
        <v>33</v>
      </c>
      <c r="O78">
        <v>27</v>
      </c>
      <c r="P78">
        <v>6</v>
      </c>
      <c r="Q78">
        <v>3</v>
      </c>
      <c r="R78">
        <v>28</v>
      </c>
      <c r="S78">
        <v>1</v>
      </c>
      <c r="T78">
        <v>58</v>
      </c>
      <c r="X78">
        <f t="shared" si="1"/>
        <v>0</v>
      </c>
    </row>
    <row r="79" spans="1:24" x14ac:dyDescent="0.25">
      <c r="A79" t="s">
        <v>468</v>
      </c>
      <c r="B79" t="s">
        <v>391</v>
      </c>
      <c r="C79">
        <v>25</v>
      </c>
      <c r="D79">
        <v>9</v>
      </c>
      <c r="E79">
        <v>0</v>
      </c>
      <c r="F79">
        <v>1</v>
      </c>
      <c r="G79">
        <v>0</v>
      </c>
      <c r="H79">
        <v>26</v>
      </c>
      <c r="I79">
        <v>0</v>
      </c>
      <c r="J79">
        <v>0</v>
      </c>
      <c r="K79">
        <v>0</v>
      </c>
      <c r="L79">
        <v>23</v>
      </c>
      <c r="M79">
        <v>28</v>
      </c>
      <c r="N79">
        <v>23</v>
      </c>
      <c r="O79">
        <v>23</v>
      </c>
      <c r="P79">
        <v>6</v>
      </c>
      <c r="Q79">
        <v>2</v>
      </c>
      <c r="R79">
        <v>12</v>
      </c>
      <c r="S79">
        <v>0</v>
      </c>
      <c r="T79">
        <v>24</v>
      </c>
      <c r="X79">
        <f t="shared" si="1"/>
        <v>0</v>
      </c>
    </row>
    <row r="80" spans="1:24" x14ac:dyDescent="0.25">
      <c r="A80" t="s">
        <v>469</v>
      </c>
      <c r="B80" t="s">
        <v>391</v>
      </c>
      <c r="C80">
        <v>25</v>
      </c>
      <c r="D80">
        <v>6.07</v>
      </c>
      <c r="E80">
        <v>1</v>
      </c>
      <c r="F80">
        <v>1</v>
      </c>
      <c r="G80">
        <v>0</v>
      </c>
      <c r="H80">
        <v>13</v>
      </c>
      <c r="I80">
        <v>0</v>
      </c>
      <c r="J80">
        <v>0</v>
      </c>
      <c r="K80">
        <v>0</v>
      </c>
      <c r="L80">
        <v>13.1</v>
      </c>
      <c r="M80">
        <v>17</v>
      </c>
      <c r="N80">
        <v>10</v>
      </c>
      <c r="O80">
        <v>9</v>
      </c>
      <c r="P80">
        <v>2</v>
      </c>
      <c r="Q80">
        <v>1</v>
      </c>
      <c r="R80">
        <v>8</v>
      </c>
      <c r="S80">
        <v>1</v>
      </c>
      <c r="T80">
        <v>14</v>
      </c>
      <c r="X80">
        <f t="shared" si="1"/>
        <v>0</v>
      </c>
    </row>
    <row r="81" spans="1:24" x14ac:dyDescent="0.25">
      <c r="A81" t="s">
        <v>470</v>
      </c>
      <c r="B81" t="s">
        <v>389</v>
      </c>
      <c r="C81">
        <v>25</v>
      </c>
      <c r="D81">
        <v>3.94</v>
      </c>
      <c r="E81">
        <v>2</v>
      </c>
      <c r="F81">
        <v>4</v>
      </c>
      <c r="G81">
        <v>0</v>
      </c>
      <c r="H81">
        <v>23</v>
      </c>
      <c r="I81">
        <v>19</v>
      </c>
      <c r="J81">
        <v>0</v>
      </c>
      <c r="K81">
        <v>0</v>
      </c>
      <c r="L81">
        <v>96</v>
      </c>
      <c r="M81">
        <v>88</v>
      </c>
      <c r="N81">
        <v>43</v>
      </c>
      <c r="O81">
        <v>42</v>
      </c>
      <c r="P81">
        <v>13</v>
      </c>
      <c r="Q81">
        <v>5</v>
      </c>
      <c r="R81">
        <v>31</v>
      </c>
      <c r="S81">
        <v>1</v>
      </c>
      <c r="T81">
        <v>97</v>
      </c>
      <c r="X81">
        <f t="shared" si="1"/>
        <v>0</v>
      </c>
    </row>
    <row r="82" spans="1:24" x14ac:dyDescent="0.25">
      <c r="A82" t="s">
        <v>471</v>
      </c>
      <c r="B82" t="s">
        <v>389</v>
      </c>
      <c r="C82">
        <v>25</v>
      </c>
      <c r="D82">
        <v>2.99</v>
      </c>
      <c r="E82">
        <v>9</v>
      </c>
      <c r="F82">
        <v>7</v>
      </c>
      <c r="G82">
        <v>0</v>
      </c>
      <c r="H82">
        <v>24</v>
      </c>
      <c r="I82">
        <v>24</v>
      </c>
      <c r="J82">
        <v>0</v>
      </c>
      <c r="K82">
        <v>0</v>
      </c>
      <c r="L82">
        <v>138.1</v>
      </c>
      <c r="M82">
        <v>109</v>
      </c>
      <c r="N82">
        <v>46</v>
      </c>
      <c r="O82">
        <v>46</v>
      </c>
      <c r="P82">
        <v>18</v>
      </c>
      <c r="Q82">
        <v>3</v>
      </c>
      <c r="R82">
        <v>43</v>
      </c>
      <c r="S82">
        <v>1</v>
      </c>
      <c r="T82">
        <v>114</v>
      </c>
      <c r="X82">
        <f t="shared" si="1"/>
        <v>0</v>
      </c>
    </row>
    <row r="83" spans="1:24" x14ac:dyDescent="0.25">
      <c r="A83" t="s">
        <v>472</v>
      </c>
      <c r="B83" t="s">
        <v>391</v>
      </c>
      <c r="C83">
        <v>25</v>
      </c>
      <c r="D83">
        <v>5.68</v>
      </c>
      <c r="E83">
        <v>0</v>
      </c>
      <c r="F83">
        <v>0</v>
      </c>
      <c r="G83">
        <v>0</v>
      </c>
      <c r="H83">
        <v>5</v>
      </c>
      <c r="I83">
        <v>0</v>
      </c>
      <c r="J83">
        <v>0</v>
      </c>
      <c r="K83">
        <v>0</v>
      </c>
      <c r="L83">
        <v>12.2</v>
      </c>
      <c r="M83">
        <v>12</v>
      </c>
      <c r="N83">
        <v>8</v>
      </c>
      <c r="O83">
        <v>8</v>
      </c>
      <c r="P83">
        <v>3</v>
      </c>
      <c r="Q83">
        <v>1</v>
      </c>
      <c r="R83">
        <v>2</v>
      </c>
      <c r="S83">
        <v>0</v>
      </c>
      <c r="T83">
        <v>6</v>
      </c>
      <c r="X83">
        <f t="shared" si="1"/>
        <v>0</v>
      </c>
    </row>
    <row r="84" spans="1:24" x14ac:dyDescent="0.25">
      <c r="A84" t="s">
        <v>473</v>
      </c>
      <c r="B84" t="s">
        <v>389</v>
      </c>
      <c r="C84">
        <v>25</v>
      </c>
      <c r="D84">
        <v>4.13</v>
      </c>
      <c r="E84">
        <v>4</v>
      </c>
      <c r="F84">
        <v>1</v>
      </c>
      <c r="G84">
        <v>0</v>
      </c>
      <c r="H84">
        <v>13</v>
      </c>
      <c r="I84">
        <v>11</v>
      </c>
      <c r="J84">
        <v>0</v>
      </c>
      <c r="K84">
        <v>0</v>
      </c>
      <c r="L84">
        <v>61</v>
      </c>
      <c r="M84">
        <v>61</v>
      </c>
      <c r="N84">
        <v>30</v>
      </c>
      <c r="O84">
        <v>28</v>
      </c>
      <c r="P84">
        <v>6</v>
      </c>
      <c r="Q84">
        <v>2</v>
      </c>
      <c r="R84">
        <v>17</v>
      </c>
      <c r="S84">
        <v>1</v>
      </c>
      <c r="T84">
        <v>45</v>
      </c>
      <c r="X84">
        <f t="shared" si="1"/>
        <v>0</v>
      </c>
    </row>
    <row r="85" spans="1:24" x14ac:dyDescent="0.25">
      <c r="A85" t="s">
        <v>474</v>
      </c>
      <c r="B85" t="s">
        <v>391</v>
      </c>
      <c r="C85">
        <v>25</v>
      </c>
      <c r="D85">
        <v>3.83</v>
      </c>
      <c r="E85">
        <v>0</v>
      </c>
      <c r="F85">
        <v>1</v>
      </c>
      <c r="G85">
        <v>0</v>
      </c>
      <c r="H85">
        <v>29</v>
      </c>
      <c r="I85">
        <v>0</v>
      </c>
      <c r="J85">
        <v>0</v>
      </c>
      <c r="K85">
        <v>0</v>
      </c>
      <c r="L85">
        <v>44.2</v>
      </c>
      <c r="M85">
        <v>43</v>
      </c>
      <c r="N85">
        <v>20</v>
      </c>
      <c r="O85">
        <v>19</v>
      </c>
      <c r="P85">
        <v>4</v>
      </c>
      <c r="Q85">
        <v>1</v>
      </c>
      <c r="R85">
        <v>11</v>
      </c>
      <c r="S85">
        <v>0</v>
      </c>
      <c r="T85">
        <v>44</v>
      </c>
      <c r="X85">
        <f t="shared" si="1"/>
        <v>0</v>
      </c>
    </row>
    <row r="86" spans="1:24" x14ac:dyDescent="0.25">
      <c r="A86" t="s">
        <v>475</v>
      </c>
      <c r="B86" t="s">
        <v>391</v>
      </c>
      <c r="C86">
        <v>25</v>
      </c>
      <c r="D86">
        <v>5.65</v>
      </c>
      <c r="E86">
        <v>0</v>
      </c>
      <c r="F86">
        <v>2</v>
      </c>
      <c r="G86">
        <v>0</v>
      </c>
      <c r="H86">
        <v>14</v>
      </c>
      <c r="I86">
        <v>0</v>
      </c>
      <c r="J86">
        <v>0</v>
      </c>
      <c r="K86">
        <v>0</v>
      </c>
      <c r="L86">
        <v>14.1</v>
      </c>
      <c r="M86">
        <v>18</v>
      </c>
      <c r="N86">
        <v>12</v>
      </c>
      <c r="O86">
        <v>9</v>
      </c>
      <c r="P86">
        <v>0</v>
      </c>
      <c r="Q86">
        <v>1</v>
      </c>
      <c r="R86">
        <v>8</v>
      </c>
      <c r="S86">
        <v>0</v>
      </c>
      <c r="T86">
        <v>14</v>
      </c>
      <c r="X86">
        <f t="shared" si="1"/>
        <v>0</v>
      </c>
    </row>
    <row r="87" spans="1:24" x14ac:dyDescent="0.25">
      <c r="A87" t="s">
        <v>476</v>
      </c>
      <c r="B87" t="s">
        <v>391</v>
      </c>
      <c r="C87">
        <v>25</v>
      </c>
      <c r="D87">
        <v>4.32</v>
      </c>
      <c r="E87">
        <v>0</v>
      </c>
      <c r="F87">
        <v>0</v>
      </c>
      <c r="G87">
        <v>0</v>
      </c>
      <c r="H87">
        <v>6</v>
      </c>
      <c r="I87">
        <v>0</v>
      </c>
      <c r="J87">
        <v>0</v>
      </c>
      <c r="K87">
        <v>0</v>
      </c>
      <c r="L87">
        <v>8.1</v>
      </c>
      <c r="M87">
        <v>8</v>
      </c>
      <c r="N87">
        <v>4</v>
      </c>
      <c r="O87">
        <v>4</v>
      </c>
      <c r="P87">
        <v>3</v>
      </c>
      <c r="Q87">
        <v>0</v>
      </c>
      <c r="R87">
        <v>6</v>
      </c>
      <c r="S87">
        <v>0</v>
      </c>
      <c r="T87">
        <v>8</v>
      </c>
      <c r="X87">
        <f t="shared" si="1"/>
        <v>0</v>
      </c>
    </row>
    <row r="88" spans="1:24" x14ac:dyDescent="0.25">
      <c r="A88" t="s">
        <v>477</v>
      </c>
      <c r="B88" t="s">
        <v>391</v>
      </c>
      <c r="C88">
        <v>25</v>
      </c>
      <c r="D88">
        <v>5.17</v>
      </c>
      <c r="E88">
        <v>3</v>
      </c>
      <c r="F88">
        <v>3</v>
      </c>
      <c r="G88">
        <v>1</v>
      </c>
      <c r="H88">
        <v>21</v>
      </c>
      <c r="I88">
        <v>9</v>
      </c>
      <c r="J88">
        <v>0</v>
      </c>
      <c r="K88">
        <v>0</v>
      </c>
      <c r="L88">
        <v>62.2</v>
      </c>
      <c r="M88">
        <v>60</v>
      </c>
      <c r="N88">
        <v>40</v>
      </c>
      <c r="O88">
        <v>36</v>
      </c>
      <c r="P88">
        <v>12</v>
      </c>
      <c r="Q88">
        <v>4</v>
      </c>
      <c r="R88">
        <v>27</v>
      </c>
      <c r="S88">
        <v>0</v>
      </c>
      <c r="T88">
        <v>58</v>
      </c>
      <c r="X88">
        <f t="shared" si="1"/>
        <v>0</v>
      </c>
    </row>
    <row r="89" spans="1:24" x14ac:dyDescent="0.25">
      <c r="A89" t="s">
        <v>478</v>
      </c>
      <c r="B89" t="s">
        <v>391</v>
      </c>
      <c r="C89">
        <v>25</v>
      </c>
      <c r="D89">
        <v>6.28</v>
      </c>
      <c r="E89">
        <v>3</v>
      </c>
      <c r="F89">
        <v>1</v>
      </c>
      <c r="G89">
        <v>1</v>
      </c>
      <c r="H89">
        <v>26</v>
      </c>
      <c r="I89">
        <v>0</v>
      </c>
      <c r="J89">
        <v>0</v>
      </c>
      <c r="K89">
        <v>0</v>
      </c>
      <c r="L89">
        <v>43</v>
      </c>
      <c r="M89">
        <v>50</v>
      </c>
      <c r="N89">
        <v>33</v>
      </c>
      <c r="O89">
        <v>30</v>
      </c>
      <c r="P89">
        <v>2</v>
      </c>
      <c r="Q89">
        <v>2</v>
      </c>
      <c r="R89">
        <v>13</v>
      </c>
      <c r="S89">
        <v>0</v>
      </c>
      <c r="T89">
        <v>40</v>
      </c>
      <c r="X89">
        <f t="shared" si="1"/>
        <v>0</v>
      </c>
    </row>
    <row r="90" spans="1:24" x14ac:dyDescent="0.25">
      <c r="A90" t="s">
        <v>479</v>
      </c>
      <c r="B90" t="s">
        <v>391</v>
      </c>
      <c r="C90">
        <v>25</v>
      </c>
      <c r="D90">
        <v>4.71</v>
      </c>
      <c r="E90">
        <v>1</v>
      </c>
      <c r="F90">
        <v>0</v>
      </c>
      <c r="G90">
        <v>1</v>
      </c>
      <c r="H90">
        <v>14</v>
      </c>
      <c r="I90">
        <v>0</v>
      </c>
      <c r="J90">
        <v>0</v>
      </c>
      <c r="K90">
        <v>0</v>
      </c>
      <c r="L90">
        <v>21</v>
      </c>
      <c r="M90">
        <v>22</v>
      </c>
      <c r="N90">
        <v>11</v>
      </c>
      <c r="O90">
        <v>11</v>
      </c>
      <c r="P90">
        <v>3</v>
      </c>
      <c r="Q90">
        <v>1</v>
      </c>
      <c r="R90">
        <v>7</v>
      </c>
      <c r="S90">
        <v>0</v>
      </c>
      <c r="T90">
        <v>18</v>
      </c>
      <c r="X90">
        <f t="shared" si="1"/>
        <v>0</v>
      </c>
    </row>
    <row r="91" spans="1:24" x14ac:dyDescent="0.25">
      <c r="A91" t="s">
        <v>480</v>
      </c>
      <c r="B91" t="s">
        <v>416</v>
      </c>
      <c r="C91">
        <v>25</v>
      </c>
      <c r="D91">
        <v>4.99</v>
      </c>
      <c r="E91">
        <v>1</v>
      </c>
      <c r="F91">
        <v>2</v>
      </c>
      <c r="G91">
        <v>11</v>
      </c>
      <c r="H91">
        <v>41</v>
      </c>
      <c r="I91">
        <v>0</v>
      </c>
      <c r="J91">
        <v>0</v>
      </c>
      <c r="K91">
        <v>0</v>
      </c>
      <c r="L91">
        <v>39.200000000000003</v>
      </c>
      <c r="M91">
        <v>41</v>
      </c>
      <c r="N91">
        <v>26</v>
      </c>
      <c r="O91">
        <v>22</v>
      </c>
      <c r="P91">
        <v>7</v>
      </c>
      <c r="Q91">
        <v>0</v>
      </c>
      <c r="R91">
        <v>21</v>
      </c>
      <c r="S91">
        <v>1</v>
      </c>
      <c r="T91">
        <v>36</v>
      </c>
      <c r="X91">
        <f t="shared" si="1"/>
        <v>0</v>
      </c>
    </row>
    <row r="92" spans="1:24" x14ac:dyDescent="0.25">
      <c r="A92" t="s">
        <v>481</v>
      </c>
      <c r="B92" t="s">
        <v>391</v>
      </c>
      <c r="C92">
        <v>25</v>
      </c>
      <c r="D92">
        <v>2.2200000000000002</v>
      </c>
      <c r="E92">
        <v>7</v>
      </c>
      <c r="F92">
        <v>1</v>
      </c>
      <c r="G92">
        <v>7</v>
      </c>
      <c r="H92">
        <v>69</v>
      </c>
      <c r="I92">
        <v>0</v>
      </c>
      <c r="J92">
        <v>0</v>
      </c>
      <c r="K92">
        <v>0</v>
      </c>
      <c r="L92">
        <v>73</v>
      </c>
      <c r="M92">
        <v>53</v>
      </c>
      <c r="N92">
        <v>23</v>
      </c>
      <c r="O92">
        <v>18</v>
      </c>
      <c r="P92">
        <v>8</v>
      </c>
      <c r="Q92">
        <v>4</v>
      </c>
      <c r="R92">
        <v>27</v>
      </c>
      <c r="S92">
        <v>2</v>
      </c>
      <c r="T92">
        <v>98</v>
      </c>
      <c r="X92">
        <f t="shared" si="1"/>
        <v>0</v>
      </c>
    </row>
    <row r="93" spans="1:24" x14ac:dyDescent="0.25">
      <c r="A93" t="s">
        <v>482</v>
      </c>
      <c r="B93" t="s">
        <v>391</v>
      </c>
      <c r="C93">
        <v>25</v>
      </c>
      <c r="D93">
        <v>4.2699999999999996</v>
      </c>
      <c r="E93">
        <v>1</v>
      </c>
      <c r="F93">
        <v>2</v>
      </c>
      <c r="G93">
        <v>2</v>
      </c>
      <c r="H93">
        <v>57</v>
      </c>
      <c r="I93">
        <v>0</v>
      </c>
      <c r="J93">
        <v>0</v>
      </c>
      <c r="K93">
        <v>0</v>
      </c>
      <c r="L93">
        <v>52.2</v>
      </c>
      <c r="M93">
        <v>43</v>
      </c>
      <c r="N93">
        <v>27</v>
      </c>
      <c r="O93">
        <v>25</v>
      </c>
      <c r="P93">
        <v>7</v>
      </c>
      <c r="Q93">
        <v>11</v>
      </c>
      <c r="R93">
        <v>32</v>
      </c>
      <c r="S93">
        <v>1</v>
      </c>
      <c r="T93">
        <v>52</v>
      </c>
      <c r="X93">
        <f t="shared" si="1"/>
        <v>0</v>
      </c>
    </row>
    <row r="94" spans="1:24" x14ac:dyDescent="0.25">
      <c r="A94" t="s">
        <v>483</v>
      </c>
      <c r="B94" t="s">
        <v>391</v>
      </c>
      <c r="C94">
        <v>25</v>
      </c>
      <c r="D94">
        <v>3.38</v>
      </c>
      <c r="E94">
        <v>1</v>
      </c>
      <c r="F94">
        <v>1</v>
      </c>
      <c r="G94">
        <v>0</v>
      </c>
      <c r="H94">
        <v>28</v>
      </c>
      <c r="I94">
        <v>0</v>
      </c>
      <c r="J94">
        <v>0</v>
      </c>
      <c r="K94">
        <v>0</v>
      </c>
      <c r="L94">
        <v>29.1</v>
      </c>
      <c r="M94">
        <v>27</v>
      </c>
      <c r="N94">
        <v>14</v>
      </c>
      <c r="O94">
        <v>11</v>
      </c>
      <c r="P94">
        <v>2</v>
      </c>
      <c r="Q94">
        <v>3</v>
      </c>
      <c r="R94">
        <v>12</v>
      </c>
      <c r="S94">
        <v>0</v>
      </c>
      <c r="T94">
        <v>31</v>
      </c>
      <c r="X94">
        <f t="shared" si="1"/>
        <v>0</v>
      </c>
    </row>
    <row r="95" spans="1:24" x14ac:dyDescent="0.25">
      <c r="A95" t="s">
        <v>484</v>
      </c>
      <c r="B95" t="s">
        <v>391</v>
      </c>
      <c r="C95">
        <v>25</v>
      </c>
      <c r="D95">
        <v>6</v>
      </c>
      <c r="E95">
        <v>1</v>
      </c>
      <c r="F95">
        <v>1</v>
      </c>
      <c r="G95">
        <v>0</v>
      </c>
      <c r="H95">
        <v>11</v>
      </c>
      <c r="I95">
        <v>0</v>
      </c>
      <c r="J95">
        <v>0</v>
      </c>
      <c r="K95">
        <v>0</v>
      </c>
      <c r="L95">
        <v>12</v>
      </c>
      <c r="M95">
        <v>14</v>
      </c>
      <c r="N95">
        <v>12</v>
      </c>
      <c r="O95">
        <v>8</v>
      </c>
      <c r="P95">
        <v>2</v>
      </c>
      <c r="Q95">
        <v>0</v>
      </c>
      <c r="R95">
        <v>10</v>
      </c>
      <c r="S95">
        <v>0</v>
      </c>
      <c r="T95">
        <v>12</v>
      </c>
      <c r="X95">
        <f t="shared" si="1"/>
        <v>0</v>
      </c>
    </row>
    <row r="96" spans="1:24" x14ac:dyDescent="0.25">
      <c r="A96" t="s">
        <v>485</v>
      </c>
      <c r="B96" t="s">
        <v>389</v>
      </c>
      <c r="C96">
        <v>25</v>
      </c>
      <c r="D96">
        <v>6.4</v>
      </c>
      <c r="E96">
        <v>1</v>
      </c>
      <c r="F96">
        <v>3</v>
      </c>
      <c r="G96">
        <v>0</v>
      </c>
      <c r="H96">
        <v>6</v>
      </c>
      <c r="I96">
        <v>6</v>
      </c>
      <c r="J96">
        <v>0</v>
      </c>
      <c r="K96">
        <v>0</v>
      </c>
      <c r="L96">
        <v>32.1</v>
      </c>
      <c r="M96">
        <v>38</v>
      </c>
      <c r="N96">
        <v>23</v>
      </c>
      <c r="O96">
        <v>23</v>
      </c>
      <c r="P96">
        <v>10</v>
      </c>
      <c r="Q96">
        <v>0</v>
      </c>
      <c r="R96">
        <v>11</v>
      </c>
      <c r="S96">
        <v>0</v>
      </c>
      <c r="T96">
        <v>23</v>
      </c>
      <c r="X96">
        <f t="shared" si="1"/>
        <v>0</v>
      </c>
    </row>
    <row r="97" spans="1:24" x14ac:dyDescent="0.25">
      <c r="A97" t="s">
        <v>486</v>
      </c>
      <c r="B97" t="s">
        <v>391</v>
      </c>
      <c r="C97">
        <v>25</v>
      </c>
      <c r="D97">
        <v>5.09</v>
      </c>
      <c r="E97">
        <v>4</v>
      </c>
      <c r="F97">
        <v>2</v>
      </c>
      <c r="G97">
        <v>0</v>
      </c>
      <c r="H97">
        <v>22</v>
      </c>
      <c r="I97">
        <v>2</v>
      </c>
      <c r="J97">
        <v>0</v>
      </c>
      <c r="K97">
        <v>0</v>
      </c>
      <c r="L97">
        <v>23</v>
      </c>
      <c r="M97">
        <v>26</v>
      </c>
      <c r="N97">
        <v>14</v>
      </c>
      <c r="O97">
        <v>13</v>
      </c>
      <c r="P97">
        <v>3</v>
      </c>
      <c r="Q97">
        <v>1</v>
      </c>
      <c r="R97">
        <v>9</v>
      </c>
      <c r="S97">
        <v>0</v>
      </c>
      <c r="T97">
        <v>17</v>
      </c>
      <c r="X97">
        <f t="shared" si="1"/>
        <v>0</v>
      </c>
    </row>
    <row r="98" spans="1:24" x14ac:dyDescent="0.25">
      <c r="A98" t="s">
        <v>487</v>
      </c>
      <c r="B98" t="s">
        <v>391</v>
      </c>
      <c r="C98">
        <v>25</v>
      </c>
      <c r="D98">
        <v>2.35</v>
      </c>
      <c r="E98">
        <v>1</v>
      </c>
      <c r="F98">
        <v>1</v>
      </c>
      <c r="G98">
        <v>0</v>
      </c>
      <c r="H98">
        <v>14</v>
      </c>
      <c r="I98">
        <v>0</v>
      </c>
      <c r="J98">
        <v>0</v>
      </c>
      <c r="K98">
        <v>0</v>
      </c>
      <c r="L98">
        <v>15.1</v>
      </c>
      <c r="M98">
        <v>14</v>
      </c>
      <c r="N98">
        <v>6</v>
      </c>
      <c r="O98">
        <v>4</v>
      </c>
      <c r="P98">
        <v>0</v>
      </c>
      <c r="Q98">
        <v>2</v>
      </c>
      <c r="R98">
        <v>10</v>
      </c>
      <c r="S98">
        <v>0</v>
      </c>
      <c r="T98">
        <v>21</v>
      </c>
      <c r="X98">
        <f t="shared" si="1"/>
        <v>0</v>
      </c>
    </row>
    <row r="99" spans="1:24" x14ac:dyDescent="0.25">
      <c r="A99" t="s">
        <v>488</v>
      </c>
      <c r="B99" t="s">
        <v>391</v>
      </c>
      <c r="C99">
        <v>25</v>
      </c>
      <c r="D99">
        <v>4.91</v>
      </c>
      <c r="E99">
        <v>1</v>
      </c>
      <c r="F99">
        <v>0</v>
      </c>
      <c r="G99">
        <v>0</v>
      </c>
      <c r="H99">
        <v>8</v>
      </c>
      <c r="I99">
        <v>0</v>
      </c>
      <c r="J99">
        <v>0</v>
      </c>
      <c r="K99">
        <v>0</v>
      </c>
      <c r="L99">
        <v>11</v>
      </c>
      <c r="M99">
        <v>14</v>
      </c>
      <c r="N99">
        <v>7</v>
      </c>
      <c r="O99">
        <v>6</v>
      </c>
      <c r="P99">
        <v>2</v>
      </c>
      <c r="Q99">
        <v>1</v>
      </c>
      <c r="R99">
        <v>2</v>
      </c>
      <c r="S99">
        <v>0</v>
      </c>
      <c r="T99">
        <v>9</v>
      </c>
      <c r="X99">
        <f t="shared" si="1"/>
        <v>0</v>
      </c>
    </row>
    <row r="100" spans="1:24" x14ac:dyDescent="0.25">
      <c r="A100" t="s">
        <v>489</v>
      </c>
      <c r="B100" t="s">
        <v>391</v>
      </c>
      <c r="C100">
        <v>25</v>
      </c>
      <c r="D100">
        <v>4.34</v>
      </c>
      <c r="E100">
        <v>5</v>
      </c>
      <c r="F100">
        <v>10</v>
      </c>
      <c r="G100">
        <v>0</v>
      </c>
      <c r="H100">
        <v>48</v>
      </c>
      <c r="I100">
        <v>19</v>
      </c>
      <c r="J100">
        <v>0</v>
      </c>
      <c r="K100">
        <v>0</v>
      </c>
      <c r="L100">
        <v>130.19999999999999</v>
      </c>
      <c r="M100">
        <v>126</v>
      </c>
      <c r="N100">
        <v>65</v>
      </c>
      <c r="O100">
        <v>63</v>
      </c>
      <c r="P100">
        <v>17</v>
      </c>
      <c r="Q100">
        <v>3</v>
      </c>
      <c r="R100">
        <v>43</v>
      </c>
      <c r="S100">
        <v>0</v>
      </c>
      <c r="T100">
        <v>108</v>
      </c>
      <c r="X100">
        <f t="shared" si="1"/>
        <v>0</v>
      </c>
    </row>
    <row r="101" spans="1:24" x14ac:dyDescent="0.25">
      <c r="A101" t="s">
        <v>490</v>
      </c>
      <c r="B101" t="s">
        <v>391</v>
      </c>
      <c r="C101">
        <v>25</v>
      </c>
      <c r="D101">
        <v>5.91</v>
      </c>
      <c r="E101">
        <v>0</v>
      </c>
      <c r="F101">
        <v>0</v>
      </c>
      <c r="G101">
        <v>0</v>
      </c>
      <c r="H101">
        <v>10</v>
      </c>
      <c r="I101">
        <v>0</v>
      </c>
      <c r="J101">
        <v>0</v>
      </c>
      <c r="K101">
        <v>0</v>
      </c>
      <c r="L101">
        <v>10.199999999999999</v>
      </c>
      <c r="M101">
        <v>13</v>
      </c>
      <c r="N101">
        <v>8</v>
      </c>
      <c r="O101">
        <v>7</v>
      </c>
      <c r="P101">
        <v>2</v>
      </c>
      <c r="Q101">
        <v>1</v>
      </c>
      <c r="R101">
        <v>8</v>
      </c>
      <c r="S101">
        <v>0</v>
      </c>
      <c r="T101">
        <v>6</v>
      </c>
      <c r="X101">
        <f t="shared" si="1"/>
        <v>0</v>
      </c>
    </row>
    <row r="102" spans="1:24" x14ac:dyDescent="0.25">
      <c r="A102" t="s">
        <v>491</v>
      </c>
      <c r="B102" t="s">
        <v>391</v>
      </c>
      <c r="C102">
        <v>25</v>
      </c>
      <c r="D102">
        <v>0</v>
      </c>
      <c r="E102">
        <v>0</v>
      </c>
      <c r="F102">
        <v>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2.2000000000000002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2</v>
      </c>
      <c r="X102">
        <f t="shared" si="1"/>
        <v>0</v>
      </c>
    </row>
    <row r="103" spans="1:24" x14ac:dyDescent="0.25">
      <c r="A103" t="s">
        <v>492</v>
      </c>
      <c r="B103" t="s">
        <v>391</v>
      </c>
      <c r="C103">
        <v>25</v>
      </c>
      <c r="D103">
        <v>2.66</v>
      </c>
      <c r="E103">
        <v>1</v>
      </c>
      <c r="F103">
        <v>2</v>
      </c>
      <c r="G103">
        <v>0</v>
      </c>
      <c r="H103">
        <v>41</v>
      </c>
      <c r="I103">
        <v>2</v>
      </c>
      <c r="J103">
        <v>0</v>
      </c>
      <c r="K103">
        <v>0</v>
      </c>
      <c r="L103">
        <v>47.1</v>
      </c>
      <c r="M103">
        <v>35</v>
      </c>
      <c r="N103">
        <v>14</v>
      </c>
      <c r="O103">
        <v>14</v>
      </c>
      <c r="P103">
        <v>4</v>
      </c>
      <c r="Q103">
        <v>2</v>
      </c>
      <c r="R103">
        <v>23</v>
      </c>
      <c r="S103">
        <v>1</v>
      </c>
      <c r="T103">
        <v>50</v>
      </c>
      <c r="X103">
        <f t="shared" si="1"/>
        <v>0</v>
      </c>
    </row>
    <row r="104" spans="1:24" x14ac:dyDescent="0.25">
      <c r="A104" t="s">
        <v>493</v>
      </c>
      <c r="B104" t="s">
        <v>391</v>
      </c>
      <c r="C104">
        <v>25</v>
      </c>
      <c r="D104">
        <v>8.18</v>
      </c>
      <c r="E104">
        <v>0</v>
      </c>
      <c r="F104">
        <v>0</v>
      </c>
      <c r="G104">
        <v>0</v>
      </c>
      <c r="H104">
        <v>9</v>
      </c>
      <c r="I104">
        <v>0</v>
      </c>
      <c r="J104">
        <v>0</v>
      </c>
      <c r="K104">
        <v>0</v>
      </c>
      <c r="L104">
        <v>11</v>
      </c>
      <c r="M104">
        <v>9</v>
      </c>
      <c r="N104">
        <v>10</v>
      </c>
      <c r="O104">
        <v>10</v>
      </c>
      <c r="P104">
        <v>4</v>
      </c>
      <c r="Q104">
        <v>0</v>
      </c>
      <c r="R104">
        <v>9</v>
      </c>
      <c r="S104">
        <v>0</v>
      </c>
      <c r="T104">
        <v>14</v>
      </c>
      <c r="X104">
        <f t="shared" si="1"/>
        <v>0</v>
      </c>
    </row>
    <row r="105" spans="1:24" x14ac:dyDescent="0.25">
      <c r="A105" t="s">
        <v>494</v>
      </c>
      <c r="B105" t="s">
        <v>391</v>
      </c>
      <c r="C105">
        <v>25</v>
      </c>
      <c r="D105">
        <v>12.27</v>
      </c>
      <c r="E105">
        <v>0</v>
      </c>
      <c r="F105">
        <v>0</v>
      </c>
      <c r="G105">
        <v>0</v>
      </c>
      <c r="H105">
        <v>3</v>
      </c>
      <c r="I105">
        <v>0</v>
      </c>
      <c r="J105">
        <v>0</v>
      </c>
      <c r="K105">
        <v>0</v>
      </c>
      <c r="L105">
        <v>3.2</v>
      </c>
      <c r="M105">
        <v>4</v>
      </c>
      <c r="N105">
        <v>5</v>
      </c>
      <c r="O105">
        <v>5</v>
      </c>
      <c r="P105">
        <v>1</v>
      </c>
      <c r="Q105">
        <v>2</v>
      </c>
      <c r="R105">
        <v>5</v>
      </c>
      <c r="S105">
        <v>0</v>
      </c>
      <c r="T105">
        <v>5</v>
      </c>
      <c r="X105">
        <f t="shared" si="1"/>
        <v>0</v>
      </c>
    </row>
    <row r="106" spans="1:24" x14ac:dyDescent="0.25">
      <c r="A106" t="s">
        <v>495</v>
      </c>
      <c r="B106" t="s">
        <v>389</v>
      </c>
      <c r="C106">
        <v>25</v>
      </c>
      <c r="D106">
        <v>13.5</v>
      </c>
      <c r="E106">
        <v>0</v>
      </c>
      <c r="F106">
        <v>1</v>
      </c>
      <c r="G106">
        <v>0</v>
      </c>
      <c r="H106">
        <v>2</v>
      </c>
      <c r="I106">
        <v>1</v>
      </c>
      <c r="J106">
        <v>0</v>
      </c>
      <c r="K106">
        <v>0</v>
      </c>
      <c r="L106">
        <v>4</v>
      </c>
      <c r="M106">
        <v>5</v>
      </c>
      <c r="N106">
        <v>6</v>
      </c>
      <c r="O106">
        <v>6</v>
      </c>
      <c r="P106">
        <v>0</v>
      </c>
      <c r="Q106">
        <v>0</v>
      </c>
      <c r="R106">
        <v>6</v>
      </c>
      <c r="S106">
        <v>0</v>
      </c>
      <c r="T106">
        <v>5</v>
      </c>
      <c r="X106">
        <f t="shared" si="1"/>
        <v>0</v>
      </c>
    </row>
    <row r="107" spans="1:24" x14ac:dyDescent="0.25">
      <c r="A107" t="s">
        <v>496</v>
      </c>
      <c r="B107" t="s">
        <v>391</v>
      </c>
      <c r="C107">
        <v>25</v>
      </c>
      <c r="D107">
        <v>5.0999999999999996</v>
      </c>
      <c r="E107">
        <v>0</v>
      </c>
      <c r="F107">
        <v>3</v>
      </c>
      <c r="G107">
        <v>0</v>
      </c>
      <c r="H107">
        <v>14</v>
      </c>
      <c r="I107">
        <v>3</v>
      </c>
      <c r="J107">
        <v>0</v>
      </c>
      <c r="K107">
        <v>0</v>
      </c>
      <c r="L107">
        <v>30</v>
      </c>
      <c r="M107">
        <v>38</v>
      </c>
      <c r="N107">
        <v>22</v>
      </c>
      <c r="O107">
        <v>17</v>
      </c>
      <c r="P107">
        <v>5</v>
      </c>
      <c r="Q107">
        <v>0</v>
      </c>
      <c r="R107">
        <v>7</v>
      </c>
      <c r="S107">
        <v>0</v>
      </c>
      <c r="T107">
        <v>27</v>
      </c>
      <c r="X107">
        <f t="shared" si="1"/>
        <v>0</v>
      </c>
    </row>
    <row r="108" spans="1:24" x14ac:dyDescent="0.25">
      <c r="A108" t="s">
        <v>497</v>
      </c>
      <c r="B108" t="s">
        <v>416</v>
      </c>
      <c r="C108">
        <v>25</v>
      </c>
      <c r="D108">
        <v>2.91</v>
      </c>
      <c r="E108">
        <v>1</v>
      </c>
      <c r="F108">
        <v>6</v>
      </c>
      <c r="G108">
        <v>22</v>
      </c>
      <c r="H108">
        <v>54</v>
      </c>
      <c r="I108">
        <v>0</v>
      </c>
      <c r="J108">
        <v>0</v>
      </c>
      <c r="K108">
        <v>0</v>
      </c>
      <c r="L108">
        <v>52.2</v>
      </c>
      <c r="M108">
        <v>44</v>
      </c>
      <c r="N108">
        <v>19</v>
      </c>
      <c r="O108">
        <v>17</v>
      </c>
      <c r="P108">
        <v>5</v>
      </c>
      <c r="Q108">
        <v>2</v>
      </c>
      <c r="R108">
        <v>16</v>
      </c>
      <c r="S108">
        <v>1</v>
      </c>
      <c r="T108">
        <v>61</v>
      </c>
      <c r="X108">
        <f t="shared" si="1"/>
        <v>0</v>
      </c>
    </row>
    <row r="109" spans="1:24" x14ac:dyDescent="0.25">
      <c r="A109" t="s">
        <v>498</v>
      </c>
      <c r="B109" t="s">
        <v>416</v>
      </c>
      <c r="C109">
        <v>25</v>
      </c>
      <c r="D109">
        <v>4.1900000000000004</v>
      </c>
      <c r="E109">
        <v>3</v>
      </c>
      <c r="F109">
        <v>2</v>
      </c>
      <c r="G109">
        <v>3</v>
      </c>
      <c r="H109">
        <v>12</v>
      </c>
      <c r="I109">
        <v>4</v>
      </c>
      <c r="J109">
        <v>0</v>
      </c>
      <c r="K109">
        <v>0</v>
      </c>
      <c r="L109">
        <v>38.200000000000003</v>
      </c>
      <c r="M109">
        <v>27</v>
      </c>
      <c r="N109">
        <v>18</v>
      </c>
      <c r="O109">
        <v>18</v>
      </c>
      <c r="P109">
        <v>4</v>
      </c>
      <c r="Q109">
        <v>2</v>
      </c>
      <c r="R109">
        <v>18</v>
      </c>
      <c r="S109">
        <v>0</v>
      </c>
      <c r="T109">
        <v>37</v>
      </c>
      <c r="X109">
        <f t="shared" si="1"/>
        <v>0</v>
      </c>
    </row>
    <row r="110" spans="1:24" x14ac:dyDescent="0.25">
      <c r="A110" t="s">
        <v>499</v>
      </c>
      <c r="B110" t="s">
        <v>391</v>
      </c>
      <c r="C110">
        <v>25</v>
      </c>
      <c r="D110">
        <v>4.54</v>
      </c>
      <c r="E110">
        <v>0</v>
      </c>
      <c r="F110">
        <v>3</v>
      </c>
      <c r="G110">
        <v>0</v>
      </c>
      <c r="H110">
        <v>34</v>
      </c>
      <c r="I110">
        <v>0</v>
      </c>
      <c r="J110">
        <v>0</v>
      </c>
      <c r="K110">
        <v>0</v>
      </c>
      <c r="L110">
        <v>37.200000000000003</v>
      </c>
      <c r="M110">
        <v>37</v>
      </c>
      <c r="N110">
        <v>25</v>
      </c>
      <c r="O110">
        <v>19</v>
      </c>
      <c r="P110">
        <v>2</v>
      </c>
      <c r="Q110">
        <v>2</v>
      </c>
      <c r="R110">
        <v>21</v>
      </c>
      <c r="S110">
        <v>4</v>
      </c>
      <c r="T110">
        <v>30</v>
      </c>
      <c r="X110">
        <f t="shared" si="1"/>
        <v>0</v>
      </c>
    </row>
    <row r="111" spans="1:24" x14ac:dyDescent="0.25">
      <c r="A111" t="s">
        <v>500</v>
      </c>
      <c r="B111" t="s">
        <v>391</v>
      </c>
      <c r="C111">
        <v>25</v>
      </c>
      <c r="D111">
        <v>5.14</v>
      </c>
      <c r="E111">
        <v>1</v>
      </c>
      <c r="F111">
        <v>1</v>
      </c>
      <c r="G111">
        <v>0</v>
      </c>
      <c r="H111">
        <v>8</v>
      </c>
      <c r="I111">
        <v>0</v>
      </c>
      <c r="J111">
        <v>0</v>
      </c>
      <c r="K111">
        <v>0</v>
      </c>
      <c r="L111">
        <v>7</v>
      </c>
      <c r="M111">
        <v>8</v>
      </c>
      <c r="N111">
        <v>6</v>
      </c>
      <c r="O111">
        <v>4</v>
      </c>
      <c r="P111">
        <v>0</v>
      </c>
      <c r="Q111">
        <v>0</v>
      </c>
      <c r="R111">
        <v>8</v>
      </c>
      <c r="S111">
        <v>2</v>
      </c>
      <c r="T111">
        <v>0</v>
      </c>
      <c r="X111">
        <f t="shared" si="1"/>
        <v>0</v>
      </c>
    </row>
    <row r="112" spans="1:24" x14ac:dyDescent="0.25">
      <c r="A112" t="s">
        <v>501</v>
      </c>
      <c r="B112" t="s">
        <v>391</v>
      </c>
      <c r="C112">
        <v>25</v>
      </c>
      <c r="D112">
        <v>1.64</v>
      </c>
      <c r="E112">
        <v>0</v>
      </c>
      <c r="F112">
        <v>0</v>
      </c>
      <c r="G112">
        <v>0</v>
      </c>
      <c r="H112">
        <v>10</v>
      </c>
      <c r="I112">
        <v>0</v>
      </c>
      <c r="J112">
        <v>0</v>
      </c>
      <c r="K112">
        <v>0</v>
      </c>
      <c r="L112">
        <v>11</v>
      </c>
      <c r="M112">
        <v>10</v>
      </c>
      <c r="N112">
        <v>2</v>
      </c>
      <c r="O112">
        <v>2</v>
      </c>
      <c r="P112">
        <v>1</v>
      </c>
      <c r="Q112">
        <v>1</v>
      </c>
      <c r="R112">
        <v>6</v>
      </c>
      <c r="S112">
        <v>1</v>
      </c>
      <c r="T112">
        <v>13</v>
      </c>
      <c r="X112">
        <f t="shared" si="1"/>
        <v>0</v>
      </c>
    </row>
    <row r="113" spans="1:24" x14ac:dyDescent="0.25">
      <c r="A113" t="s">
        <v>502</v>
      </c>
      <c r="B113" t="s">
        <v>391</v>
      </c>
      <c r="C113">
        <v>25</v>
      </c>
      <c r="D113">
        <v>1.38</v>
      </c>
      <c r="E113">
        <v>1</v>
      </c>
      <c r="F113">
        <v>0</v>
      </c>
      <c r="G113">
        <v>0</v>
      </c>
      <c r="H113">
        <v>7</v>
      </c>
      <c r="I113">
        <v>0</v>
      </c>
      <c r="J113">
        <v>0</v>
      </c>
      <c r="K113">
        <v>0</v>
      </c>
      <c r="L113">
        <v>13</v>
      </c>
      <c r="M113">
        <v>6</v>
      </c>
      <c r="N113">
        <v>2</v>
      </c>
      <c r="O113">
        <v>2</v>
      </c>
      <c r="P113">
        <v>0</v>
      </c>
      <c r="Q113">
        <v>3</v>
      </c>
      <c r="R113">
        <v>5</v>
      </c>
      <c r="S113">
        <v>0</v>
      </c>
      <c r="T113">
        <v>4</v>
      </c>
      <c r="X113">
        <f t="shared" si="1"/>
        <v>0</v>
      </c>
    </row>
    <row r="114" spans="1:24" x14ac:dyDescent="0.25">
      <c r="A114" t="s">
        <v>503</v>
      </c>
      <c r="B114" t="s">
        <v>389</v>
      </c>
      <c r="C114">
        <v>25</v>
      </c>
      <c r="D114">
        <v>3.81</v>
      </c>
      <c r="E114">
        <v>7</v>
      </c>
      <c r="F114">
        <v>8</v>
      </c>
      <c r="G114">
        <v>0</v>
      </c>
      <c r="H114">
        <v>29</v>
      </c>
      <c r="I114">
        <v>29</v>
      </c>
      <c r="J114">
        <v>0</v>
      </c>
      <c r="K114">
        <v>0</v>
      </c>
      <c r="L114">
        <v>146.1</v>
      </c>
      <c r="M114">
        <v>117</v>
      </c>
      <c r="N114">
        <v>70</v>
      </c>
      <c r="O114">
        <v>62</v>
      </c>
      <c r="P114">
        <v>17</v>
      </c>
      <c r="Q114">
        <v>12</v>
      </c>
      <c r="R114">
        <v>58</v>
      </c>
      <c r="S114">
        <v>1</v>
      </c>
      <c r="T114">
        <v>145</v>
      </c>
      <c r="X114">
        <f t="shared" si="1"/>
        <v>0</v>
      </c>
    </row>
    <row r="115" spans="1:24" x14ac:dyDescent="0.25">
      <c r="A115" t="s">
        <v>504</v>
      </c>
      <c r="B115" t="s">
        <v>391</v>
      </c>
      <c r="C115">
        <v>25</v>
      </c>
      <c r="D115">
        <v>3.97</v>
      </c>
      <c r="E115">
        <v>5</v>
      </c>
      <c r="F115">
        <v>5</v>
      </c>
      <c r="G115">
        <v>1</v>
      </c>
      <c r="H115">
        <v>70</v>
      </c>
      <c r="I115">
        <v>0</v>
      </c>
      <c r="J115">
        <v>0</v>
      </c>
      <c r="K115">
        <v>0</v>
      </c>
      <c r="L115">
        <v>77</v>
      </c>
      <c r="M115">
        <v>81</v>
      </c>
      <c r="N115">
        <v>39</v>
      </c>
      <c r="O115">
        <v>34</v>
      </c>
      <c r="P115">
        <v>10</v>
      </c>
      <c r="Q115">
        <v>7</v>
      </c>
      <c r="R115">
        <v>23</v>
      </c>
      <c r="S115">
        <v>4</v>
      </c>
      <c r="T115">
        <v>54</v>
      </c>
      <c r="X115">
        <f t="shared" si="1"/>
        <v>0</v>
      </c>
    </row>
    <row r="116" spans="1:24" x14ac:dyDescent="0.25">
      <c r="A116" t="s">
        <v>505</v>
      </c>
      <c r="B116" t="s">
        <v>391</v>
      </c>
      <c r="C116">
        <v>25</v>
      </c>
      <c r="D116">
        <v>2.5</v>
      </c>
      <c r="E116">
        <v>5</v>
      </c>
      <c r="F116">
        <v>3</v>
      </c>
      <c r="G116">
        <v>4</v>
      </c>
      <c r="H116">
        <v>47</v>
      </c>
      <c r="I116">
        <v>3</v>
      </c>
      <c r="J116">
        <v>0</v>
      </c>
      <c r="K116">
        <v>0</v>
      </c>
      <c r="L116">
        <v>101</v>
      </c>
      <c r="M116">
        <v>74</v>
      </c>
      <c r="N116">
        <v>32</v>
      </c>
      <c r="O116">
        <v>28</v>
      </c>
      <c r="P116">
        <v>8</v>
      </c>
      <c r="Q116">
        <v>8</v>
      </c>
      <c r="R116">
        <v>52</v>
      </c>
      <c r="S116">
        <v>5</v>
      </c>
      <c r="T116">
        <v>82</v>
      </c>
      <c r="X116">
        <f t="shared" si="1"/>
        <v>0</v>
      </c>
    </row>
    <row r="117" spans="1:24" x14ac:dyDescent="0.25">
      <c r="A117" t="s">
        <v>506</v>
      </c>
      <c r="B117" t="s">
        <v>391</v>
      </c>
      <c r="C117">
        <v>25</v>
      </c>
      <c r="D117">
        <v>3.02</v>
      </c>
      <c r="E117">
        <v>4</v>
      </c>
      <c r="F117">
        <v>3</v>
      </c>
      <c r="G117">
        <v>10</v>
      </c>
      <c r="H117">
        <v>52</v>
      </c>
      <c r="I117">
        <v>0</v>
      </c>
      <c r="J117">
        <v>0</v>
      </c>
      <c r="K117">
        <v>0</v>
      </c>
      <c r="L117">
        <v>50.2</v>
      </c>
      <c r="M117">
        <v>45</v>
      </c>
      <c r="N117">
        <v>19</v>
      </c>
      <c r="O117">
        <v>17</v>
      </c>
      <c r="P117">
        <v>4</v>
      </c>
      <c r="Q117">
        <v>0</v>
      </c>
      <c r="R117">
        <v>26</v>
      </c>
      <c r="S117">
        <v>2</v>
      </c>
      <c r="T117">
        <v>49</v>
      </c>
      <c r="X117">
        <f t="shared" si="1"/>
        <v>0</v>
      </c>
    </row>
    <row r="118" spans="1:24" x14ac:dyDescent="0.25">
      <c r="A118" t="s">
        <v>507</v>
      </c>
      <c r="B118" t="s">
        <v>391</v>
      </c>
      <c r="C118">
        <v>25</v>
      </c>
      <c r="D118">
        <v>9</v>
      </c>
      <c r="E118">
        <v>0</v>
      </c>
      <c r="F118">
        <v>0</v>
      </c>
      <c r="G118">
        <v>0</v>
      </c>
      <c r="H118">
        <v>3</v>
      </c>
      <c r="I118">
        <v>0</v>
      </c>
      <c r="J118">
        <v>0</v>
      </c>
      <c r="K118">
        <v>0</v>
      </c>
      <c r="L118">
        <v>7</v>
      </c>
      <c r="M118">
        <v>14</v>
      </c>
      <c r="N118">
        <v>7</v>
      </c>
      <c r="O118">
        <v>7</v>
      </c>
      <c r="P118">
        <v>1</v>
      </c>
      <c r="Q118">
        <v>0</v>
      </c>
      <c r="R118">
        <v>3</v>
      </c>
      <c r="S118">
        <v>0</v>
      </c>
      <c r="T118">
        <v>6</v>
      </c>
      <c r="X118">
        <f t="shared" si="1"/>
        <v>0</v>
      </c>
    </row>
    <row r="119" spans="1:24" x14ac:dyDescent="0.25">
      <c r="A119" t="s">
        <v>508</v>
      </c>
      <c r="B119" t="s">
        <v>391</v>
      </c>
      <c r="C119">
        <v>25</v>
      </c>
      <c r="D119">
        <v>27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1</v>
      </c>
      <c r="M119">
        <v>4</v>
      </c>
      <c r="N119">
        <v>7</v>
      </c>
      <c r="O119">
        <v>3</v>
      </c>
      <c r="P119">
        <v>0</v>
      </c>
      <c r="Q119">
        <v>0</v>
      </c>
      <c r="R119">
        <v>3</v>
      </c>
      <c r="S119">
        <v>0</v>
      </c>
      <c r="T119">
        <v>1</v>
      </c>
      <c r="X119">
        <f t="shared" si="1"/>
        <v>0</v>
      </c>
    </row>
    <row r="120" spans="1:24" x14ac:dyDescent="0.25">
      <c r="A120" t="s">
        <v>509</v>
      </c>
      <c r="B120" t="s">
        <v>391</v>
      </c>
      <c r="C120">
        <v>25</v>
      </c>
      <c r="D120">
        <v>1.51</v>
      </c>
      <c r="E120">
        <v>0</v>
      </c>
      <c r="F120">
        <v>1</v>
      </c>
      <c r="G120">
        <v>0</v>
      </c>
      <c r="H120">
        <v>33</v>
      </c>
      <c r="I120">
        <v>0</v>
      </c>
      <c r="J120">
        <v>0</v>
      </c>
      <c r="K120">
        <v>0</v>
      </c>
      <c r="L120">
        <v>41.2</v>
      </c>
      <c r="M120">
        <v>23</v>
      </c>
      <c r="N120">
        <v>8</v>
      </c>
      <c r="O120">
        <v>7</v>
      </c>
      <c r="P120">
        <v>3</v>
      </c>
      <c r="Q120">
        <v>4</v>
      </c>
      <c r="R120">
        <v>17</v>
      </c>
      <c r="S120">
        <v>2</v>
      </c>
      <c r="T120">
        <v>35</v>
      </c>
      <c r="X120">
        <f t="shared" si="1"/>
        <v>0</v>
      </c>
    </row>
    <row r="121" spans="1:24" x14ac:dyDescent="0.25">
      <c r="A121" t="s">
        <v>510</v>
      </c>
      <c r="B121" t="s">
        <v>391</v>
      </c>
      <c r="C121">
        <v>25</v>
      </c>
      <c r="D121">
        <v>7.27</v>
      </c>
      <c r="E121">
        <v>0</v>
      </c>
      <c r="F121">
        <v>0</v>
      </c>
      <c r="G121">
        <v>0</v>
      </c>
      <c r="H121">
        <v>8</v>
      </c>
      <c r="I121">
        <v>0</v>
      </c>
      <c r="J121">
        <v>0</v>
      </c>
      <c r="K121">
        <v>0</v>
      </c>
      <c r="L121">
        <v>8.1999999999999993</v>
      </c>
      <c r="M121">
        <v>8</v>
      </c>
      <c r="N121">
        <v>7</v>
      </c>
      <c r="O121">
        <v>7</v>
      </c>
      <c r="P121">
        <v>1</v>
      </c>
      <c r="Q121">
        <v>1</v>
      </c>
      <c r="R121">
        <v>9</v>
      </c>
      <c r="S121">
        <v>0</v>
      </c>
      <c r="T121">
        <v>7</v>
      </c>
      <c r="X121">
        <f t="shared" si="1"/>
        <v>0</v>
      </c>
    </row>
    <row r="122" spans="1:24" x14ac:dyDescent="0.25">
      <c r="A122" t="s">
        <v>511</v>
      </c>
      <c r="B122" t="s">
        <v>391</v>
      </c>
      <c r="C122">
        <v>26</v>
      </c>
      <c r="D122">
        <v>3.19</v>
      </c>
      <c r="E122">
        <v>1</v>
      </c>
      <c r="F122">
        <v>1</v>
      </c>
      <c r="G122">
        <v>0</v>
      </c>
      <c r="H122">
        <v>37</v>
      </c>
      <c r="I122">
        <v>0</v>
      </c>
      <c r="J122">
        <v>0</v>
      </c>
      <c r="K122">
        <v>0</v>
      </c>
      <c r="L122">
        <v>42.1</v>
      </c>
      <c r="M122">
        <v>34</v>
      </c>
      <c r="N122">
        <v>17</v>
      </c>
      <c r="O122">
        <v>15</v>
      </c>
      <c r="P122">
        <v>6</v>
      </c>
      <c r="Q122">
        <v>2</v>
      </c>
      <c r="R122">
        <v>22</v>
      </c>
      <c r="S122">
        <v>1</v>
      </c>
      <c r="T122">
        <v>50</v>
      </c>
      <c r="X122">
        <f t="shared" si="1"/>
        <v>0</v>
      </c>
    </row>
    <row r="123" spans="1:24" x14ac:dyDescent="0.25">
      <c r="A123" t="s">
        <v>512</v>
      </c>
      <c r="B123" t="s">
        <v>389</v>
      </c>
      <c r="C123">
        <v>26</v>
      </c>
      <c r="D123">
        <v>2.31</v>
      </c>
      <c r="E123">
        <v>1</v>
      </c>
      <c r="F123">
        <v>1</v>
      </c>
      <c r="G123">
        <v>0</v>
      </c>
      <c r="H123">
        <v>5</v>
      </c>
      <c r="I123">
        <v>5</v>
      </c>
      <c r="J123">
        <v>0</v>
      </c>
      <c r="K123">
        <v>0</v>
      </c>
      <c r="L123">
        <v>23.1</v>
      </c>
      <c r="M123">
        <v>16</v>
      </c>
      <c r="N123">
        <v>8</v>
      </c>
      <c r="O123">
        <v>6</v>
      </c>
      <c r="P123">
        <v>1</v>
      </c>
      <c r="Q123">
        <v>1</v>
      </c>
      <c r="R123">
        <v>10</v>
      </c>
      <c r="S123">
        <v>0</v>
      </c>
      <c r="T123">
        <v>20</v>
      </c>
      <c r="X123">
        <f t="shared" si="1"/>
        <v>0</v>
      </c>
    </row>
    <row r="124" spans="1:24" x14ac:dyDescent="0.25">
      <c r="A124" t="s">
        <v>513</v>
      </c>
      <c r="B124" t="s">
        <v>391</v>
      </c>
      <c r="C124">
        <v>26</v>
      </c>
      <c r="D124">
        <v>4.26</v>
      </c>
      <c r="E124">
        <v>0</v>
      </c>
      <c r="F124">
        <v>3</v>
      </c>
      <c r="G124">
        <v>1</v>
      </c>
      <c r="H124">
        <v>26</v>
      </c>
      <c r="I124">
        <v>0</v>
      </c>
      <c r="J124">
        <v>0</v>
      </c>
      <c r="K124">
        <v>0</v>
      </c>
      <c r="L124">
        <v>25.1</v>
      </c>
      <c r="M124">
        <v>13</v>
      </c>
      <c r="N124">
        <v>12</v>
      </c>
      <c r="O124">
        <v>12</v>
      </c>
      <c r="P124">
        <v>3</v>
      </c>
      <c r="Q124">
        <v>0</v>
      </c>
      <c r="R124">
        <v>18</v>
      </c>
      <c r="S124">
        <v>0</v>
      </c>
      <c r="T124">
        <v>33</v>
      </c>
      <c r="X124">
        <f t="shared" si="1"/>
        <v>0</v>
      </c>
    </row>
    <row r="125" spans="1:24" x14ac:dyDescent="0.25">
      <c r="A125" t="s">
        <v>514</v>
      </c>
      <c r="B125" t="s">
        <v>391</v>
      </c>
      <c r="C125">
        <v>26</v>
      </c>
      <c r="D125">
        <v>9</v>
      </c>
      <c r="E125">
        <v>0</v>
      </c>
      <c r="F125">
        <v>0</v>
      </c>
      <c r="G125">
        <v>0</v>
      </c>
      <c r="H125">
        <v>1</v>
      </c>
      <c r="I125">
        <v>0</v>
      </c>
      <c r="J125">
        <v>0</v>
      </c>
      <c r="K125">
        <v>0</v>
      </c>
      <c r="L125">
        <v>3</v>
      </c>
      <c r="M125">
        <v>4</v>
      </c>
      <c r="N125">
        <v>3</v>
      </c>
      <c r="O125">
        <v>3</v>
      </c>
      <c r="P125">
        <v>1</v>
      </c>
      <c r="Q125">
        <v>1</v>
      </c>
      <c r="R125">
        <v>2</v>
      </c>
      <c r="S125">
        <v>0</v>
      </c>
      <c r="T125">
        <v>1</v>
      </c>
      <c r="X125">
        <f t="shared" si="1"/>
        <v>0</v>
      </c>
    </row>
    <row r="126" spans="1:24" x14ac:dyDescent="0.25">
      <c r="A126" t="s">
        <v>515</v>
      </c>
      <c r="B126" t="s">
        <v>389</v>
      </c>
      <c r="C126">
        <v>26</v>
      </c>
      <c r="D126">
        <v>4.25</v>
      </c>
      <c r="E126">
        <v>3</v>
      </c>
      <c r="F126">
        <v>1</v>
      </c>
      <c r="G126">
        <v>0</v>
      </c>
      <c r="H126">
        <v>10</v>
      </c>
      <c r="I126">
        <v>10</v>
      </c>
      <c r="J126">
        <v>0</v>
      </c>
      <c r="K126">
        <v>0</v>
      </c>
      <c r="L126">
        <v>48.2</v>
      </c>
      <c r="M126">
        <v>57</v>
      </c>
      <c r="N126">
        <v>28</v>
      </c>
      <c r="O126">
        <v>23</v>
      </c>
      <c r="P126">
        <v>7</v>
      </c>
      <c r="Q126">
        <v>4</v>
      </c>
      <c r="R126">
        <v>15</v>
      </c>
      <c r="S126">
        <v>0</v>
      </c>
      <c r="T126">
        <v>40</v>
      </c>
      <c r="X126">
        <f t="shared" si="1"/>
        <v>0</v>
      </c>
    </row>
    <row r="127" spans="1:24" x14ac:dyDescent="0.25">
      <c r="A127" t="s">
        <v>516</v>
      </c>
      <c r="B127" t="s">
        <v>391</v>
      </c>
      <c r="C127">
        <v>26</v>
      </c>
      <c r="D127">
        <v>4.91</v>
      </c>
      <c r="E127">
        <v>0</v>
      </c>
      <c r="F127">
        <v>0</v>
      </c>
      <c r="G127">
        <v>0</v>
      </c>
      <c r="H127">
        <v>2</v>
      </c>
      <c r="I127">
        <v>0</v>
      </c>
      <c r="J127">
        <v>0</v>
      </c>
      <c r="K127">
        <v>0</v>
      </c>
      <c r="L127">
        <v>3.2</v>
      </c>
      <c r="M127">
        <v>4</v>
      </c>
      <c r="N127">
        <v>2</v>
      </c>
      <c r="O127">
        <v>2</v>
      </c>
      <c r="P127">
        <v>0</v>
      </c>
      <c r="Q127">
        <v>0</v>
      </c>
      <c r="R127">
        <v>3</v>
      </c>
      <c r="S127">
        <v>0</v>
      </c>
      <c r="T127">
        <v>5</v>
      </c>
      <c r="X127">
        <f t="shared" si="1"/>
        <v>0</v>
      </c>
    </row>
    <row r="128" spans="1:24" x14ac:dyDescent="0.25">
      <c r="A128" t="s">
        <v>517</v>
      </c>
      <c r="B128" t="s">
        <v>391</v>
      </c>
      <c r="C128">
        <v>26</v>
      </c>
      <c r="D128">
        <v>3.74</v>
      </c>
      <c r="E128">
        <v>3</v>
      </c>
      <c r="F128">
        <v>1</v>
      </c>
      <c r="G128">
        <v>0</v>
      </c>
      <c r="H128">
        <v>47</v>
      </c>
      <c r="I128">
        <v>0</v>
      </c>
      <c r="J128">
        <v>0</v>
      </c>
      <c r="K128">
        <v>0</v>
      </c>
      <c r="L128">
        <v>45.2</v>
      </c>
      <c r="M128">
        <v>36</v>
      </c>
      <c r="N128">
        <v>20</v>
      </c>
      <c r="O128">
        <v>19</v>
      </c>
      <c r="P128">
        <v>5</v>
      </c>
      <c r="Q128">
        <v>1</v>
      </c>
      <c r="R128">
        <v>18</v>
      </c>
      <c r="S128">
        <v>1</v>
      </c>
      <c r="T128">
        <v>38</v>
      </c>
      <c r="X128">
        <f t="shared" si="1"/>
        <v>0</v>
      </c>
    </row>
    <row r="129" spans="1:24" x14ac:dyDescent="0.25">
      <c r="A129" t="s">
        <v>518</v>
      </c>
      <c r="B129" t="s">
        <v>391</v>
      </c>
      <c r="C129">
        <v>26</v>
      </c>
      <c r="D129">
        <v>6</v>
      </c>
      <c r="E129">
        <v>0</v>
      </c>
      <c r="F129">
        <v>1</v>
      </c>
      <c r="G129">
        <v>0</v>
      </c>
      <c r="H129">
        <v>3</v>
      </c>
      <c r="I129">
        <v>0</v>
      </c>
      <c r="J129">
        <v>0</v>
      </c>
      <c r="K129">
        <v>0</v>
      </c>
      <c r="L129">
        <v>3</v>
      </c>
      <c r="M129">
        <v>4</v>
      </c>
      <c r="N129">
        <v>4</v>
      </c>
      <c r="O129">
        <v>2</v>
      </c>
      <c r="P129">
        <v>0</v>
      </c>
      <c r="Q129">
        <v>0</v>
      </c>
      <c r="R129">
        <v>3</v>
      </c>
      <c r="S129">
        <v>0</v>
      </c>
      <c r="T129">
        <v>1</v>
      </c>
      <c r="X129">
        <f t="shared" si="1"/>
        <v>0</v>
      </c>
    </row>
    <row r="130" spans="1:24" x14ac:dyDescent="0.25">
      <c r="A130" t="s">
        <v>519</v>
      </c>
      <c r="B130" t="s">
        <v>391</v>
      </c>
      <c r="C130">
        <v>26</v>
      </c>
      <c r="D130">
        <v>2.95</v>
      </c>
      <c r="E130">
        <v>3</v>
      </c>
      <c r="F130">
        <v>2</v>
      </c>
      <c r="G130">
        <v>4</v>
      </c>
      <c r="H130">
        <v>67</v>
      </c>
      <c r="I130">
        <v>5</v>
      </c>
      <c r="J130">
        <v>0</v>
      </c>
      <c r="K130">
        <v>0</v>
      </c>
      <c r="L130">
        <v>76.099999999999994</v>
      </c>
      <c r="M130">
        <v>56</v>
      </c>
      <c r="N130">
        <v>26</v>
      </c>
      <c r="O130">
        <v>25</v>
      </c>
      <c r="P130">
        <v>4</v>
      </c>
      <c r="Q130">
        <v>0</v>
      </c>
      <c r="R130">
        <v>24</v>
      </c>
      <c r="S130">
        <v>5</v>
      </c>
      <c r="T130">
        <v>74</v>
      </c>
      <c r="X130">
        <f t="shared" si="1"/>
        <v>0</v>
      </c>
    </row>
    <row r="131" spans="1:24" x14ac:dyDescent="0.25">
      <c r="A131" t="s">
        <v>520</v>
      </c>
      <c r="B131" t="s">
        <v>391</v>
      </c>
      <c r="C131">
        <v>26</v>
      </c>
      <c r="D131">
        <v>4.91</v>
      </c>
      <c r="E131">
        <v>0</v>
      </c>
      <c r="F131">
        <v>1</v>
      </c>
      <c r="G131">
        <v>0</v>
      </c>
      <c r="H131">
        <v>8</v>
      </c>
      <c r="I131">
        <v>0</v>
      </c>
      <c r="J131">
        <v>0</v>
      </c>
      <c r="K131">
        <v>0</v>
      </c>
      <c r="L131">
        <v>18.100000000000001</v>
      </c>
      <c r="M131">
        <v>15</v>
      </c>
      <c r="N131">
        <v>10</v>
      </c>
      <c r="O131">
        <v>10</v>
      </c>
      <c r="P131">
        <v>3</v>
      </c>
      <c r="Q131">
        <v>1</v>
      </c>
      <c r="R131">
        <v>9</v>
      </c>
      <c r="S131">
        <v>1</v>
      </c>
      <c r="T131">
        <v>15</v>
      </c>
      <c r="X131">
        <f t="shared" ref="X131:X194" si="2">(V131*2)+W131</f>
        <v>0</v>
      </c>
    </row>
    <row r="132" spans="1:24" x14ac:dyDescent="0.25">
      <c r="A132" t="s">
        <v>521</v>
      </c>
      <c r="B132" t="s">
        <v>391</v>
      </c>
      <c r="C132">
        <v>26</v>
      </c>
      <c r="D132">
        <v>8.59</v>
      </c>
      <c r="E132">
        <v>0</v>
      </c>
      <c r="F132">
        <v>0</v>
      </c>
      <c r="G132">
        <v>0</v>
      </c>
      <c r="H132">
        <v>2</v>
      </c>
      <c r="I132">
        <v>0</v>
      </c>
      <c r="J132">
        <v>0</v>
      </c>
      <c r="K132">
        <v>0</v>
      </c>
      <c r="L132">
        <v>7.1</v>
      </c>
      <c r="M132">
        <v>10</v>
      </c>
      <c r="N132">
        <v>7</v>
      </c>
      <c r="O132">
        <v>7</v>
      </c>
      <c r="P132">
        <v>2</v>
      </c>
      <c r="Q132">
        <v>2</v>
      </c>
      <c r="R132">
        <v>1</v>
      </c>
      <c r="S132">
        <v>0</v>
      </c>
      <c r="T132">
        <v>10</v>
      </c>
      <c r="X132">
        <f t="shared" si="2"/>
        <v>0</v>
      </c>
    </row>
    <row r="133" spans="1:24" x14ac:dyDescent="0.25">
      <c r="A133" t="s">
        <v>522</v>
      </c>
      <c r="B133" t="s">
        <v>389</v>
      </c>
      <c r="C133">
        <v>26</v>
      </c>
      <c r="D133">
        <v>3.18</v>
      </c>
      <c r="E133">
        <v>0</v>
      </c>
      <c r="F133">
        <v>2</v>
      </c>
      <c r="G133">
        <v>0</v>
      </c>
      <c r="H133">
        <v>2</v>
      </c>
      <c r="I133">
        <v>2</v>
      </c>
      <c r="J133">
        <v>0</v>
      </c>
      <c r="K133">
        <v>0</v>
      </c>
      <c r="L133">
        <v>5.2</v>
      </c>
      <c r="M133">
        <v>5</v>
      </c>
      <c r="N133">
        <v>6</v>
      </c>
      <c r="O133">
        <v>2</v>
      </c>
      <c r="P133">
        <v>1</v>
      </c>
      <c r="Q133">
        <v>2</v>
      </c>
      <c r="R133">
        <v>4</v>
      </c>
      <c r="S133">
        <v>0</v>
      </c>
      <c r="T133">
        <v>5</v>
      </c>
      <c r="X133">
        <f t="shared" si="2"/>
        <v>0</v>
      </c>
    </row>
    <row r="134" spans="1:24" x14ac:dyDescent="0.25">
      <c r="A134" t="s">
        <v>523</v>
      </c>
      <c r="B134" t="s">
        <v>389</v>
      </c>
      <c r="C134">
        <v>26</v>
      </c>
      <c r="D134">
        <v>5.34</v>
      </c>
      <c r="E134">
        <v>6</v>
      </c>
      <c r="F134">
        <v>4</v>
      </c>
      <c r="G134">
        <v>1</v>
      </c>
      <c r="H134">
        <v>20</v>
      </c>
      <c r="I134">
        <v>14</v>
      </c>
      <c r="J134">
        <v>0</v>
      </c>
      <c r="K134">
        <v>0</v>
      </c>
      <c r="L134">
        <v>86</v>
      </c>
      <c r="M134">
        <v>103</v>
      </c>
      <c r="N134">
        <v>54</v>
      </c>
      <c r="O134">
        <v>51</v>
      </c>
      <c r="P134">
        <v>21</v>
      </c>
      <c r="Q134">
        <v>2</v>
      </c>
      <c r="R134">
        <v>19</v>
      </c>
      <c r="S134">
        <v>2</v>
      </c>
      <c r="T134">
        <v>72</v>
      </c>
      <c r="X134">
        <f t="shared" si="2"/>
        <v>0</v>
      </c>
    </row>
    <row r="135" spans="1:24" x14ac:dyDescent="0.25">
      <c r="A135" t="s">
        <v>524</v>
      </c>
      <c r="B135" t="s">
        <v>389</v>
      </c>
      <c r="C135">
        <v>26</v>
      </c>
      <c r="D135">
        <v>5.67</v>
      </c>
      <c r="E135">
        <v>7</v>
      </c>
      <c r="F135">
        <v>7</v>
      </c>
      <c r="G135">
        <v>0</v>
      </c>
      <c r="H135">
        <v>27</v>
      </c>
      <c r="I135">
        <v>17</v>
      </c>
      <c r="J135">
        <v>0</v>
      </c>
      <c r="K135">
        <v>0</v>
      </c>
      <c r="L135">
        <v>101.2</v>
      </c>
      <c r="M135">
        <v>114</v>
      </c>
      <c r="N135">
        <v>67</v>
      </c>
      <c r="O135">
        <v>64</v>
      </c>
      <c r="P135">
        <v>17</v>
      </c>
      <c r="Q135">
        <v>5</v>
      </c>
      <c r="R135">
        <v>36</v>
      </c>
      <c r="S135">
        <v>0</v>
      </c>
      <c r="T135">
        <v>97</v>
      </c>
      <c r="X135">
        <f t="shared" si="2"/>
        <v>0</v>
      </c>
    </row>
    <row r="136" spans="1:24" x14ac:dyDescent="0.25">
      <c r="A136" t="s">
        <v>525</v>
      </c>
      <c r="B136" t="s">
        <v>391</v>
      </c>
      <c r="C136">
        <v>26</v>
      </c>
      <c r="D136">
        <v>0</v>
      </c>
      <c r="E136">
        <v>0</v>
      </c>
      <c r="F136">
        <v>0</v>
      </c>
      <c r="G136">
        <v>0</v>
      </c>
      <c r="H136">
        <v>1</v>
      </c>
      <c r="I136">
        <v>0</v>
      </c>
      <c r="J136">
        <v>0</v>
      </c>
      <c r="K136">
        <v>0</v>
      </c>
      <c r="L136">
        <v>1</v>
      </c>
      <c r="M136">
        <v>3</v>
      </c>
      <c r="N136">
        <v>0</v>
      </c>
      <c r="O136">
        <v>0</v>
      </c>
      <c r="P136">
        <v>0</v>
      </c>
      <c r="Q136">
        <v>1</v>
      </c>
      <c r="R136">
        <v>0</v>
      </c>
      <c r="S136">
        <v>0</v>
      </c>
      <c r="T136">
        <v>0</v>
      </c>
      <c r="X136">
        <f t="shared" si="2"/>
        <v>0</v>
      </c>
    </row>
    <row r="137" spans="1:24" x14ac:dyDescent="0.25">
      <c r="A137" t="s">
        <v>526</v>
      </c>
      <c r="B137" t="s">
        <v>391</v>
      </c>
      <c r="C137">
        <v>26</v>
      </c>
      <c r="D137">
        <v>3.38</v>
      </c>
      <c r="E137">
        <v>0</v>
      </c>
      <c r="F137">
        <v>0</v>
      </c>
      <c r="G137">
        <v>0</v>
      </c>
      <c r="H137">
        <v>3</v>
      </c>
      <c r="I137">
        <v>0</v>
      </c>
      <c r="J137">
        <v>0</v>
      </c>
      <c r="K137">
        <v>0</v>
      </c>
      <c r="L137">
        <v>2.2000000000000002</v>
      </c>
      <c r="M137">
        <v>3</v>
      </c>
      <c r="N137">
        <v>1</v>
      </c>
      <c r="O137">
        <v>1</v>
      </c>
      <c r="P137">
        <v>0</v>
      </c>
      <c r="Q137">
        <v>0</v>
      </c>
      <c r="R137">
        <v>2</v>
      </c>
      <c r="S137">
        <v>0</v>
      </c>
      <c r="T137">
        <v>0</v>
      </c>
      <c r="X137">
        <f t="shared" si="2"/>
        <v>0</v>
      </c>
    </row>
    <row r="138" spans="1:24" x14ac:dyDescent="0.25">
      <c r="A138" t="s">
        <v>527</v>
      </c>
      <c r="B138" t="s">
        <v>391</v>
      </c>
      <c r="C138">
        <v>26</v>
      </c>
      <c r="D138">
        <v>4.26</v>
      </c>
      <c r="E138">
        <v>1</v>
      </c>
      <c r="F138">
        <v>1</v>
      </c>
      <c r="G138">
        <v>0</v>
      </c>
      <c r="H138">
        <v>10</v>
      </c>
      <c r="I138">
        <v>0</v>
      </c>
      <c r="J138">
        <v>0</v>
      </c>
      <c r="K138">
        <v>0</v>
      </c>
      <c r="L138">
        <v>12.2</v>
      </c>
      <c r="M138">
        <v>11</v>
      </c>
      <c r="N138">
        <v>8</v>
      </c>
      <c r="O138">
        <v>6</v>
      </c>
      <c r="P138">
        <v>3</v>
      </c>
      <c r="Q138">
        <v>0</v>
      </c>
      <c r="R138">
        <v>4</v>
      </c>
      <c r="S138">
        <v>0</v>
      </c>
      <c r="T138">
        <v>17</v>
      </c>
      <c r="X138">
        <f t="shared" si="2"/>
        <v>0</v>
      </c>
    </row>
    <row r="139" spans="1:24" x14ac:dyDescent="0.25">
      <c r="A139" t="s">
        <v>528</v>
      </c>
      <c r="B139" t="s">
        <v>391</v>
      </c>
      <c r="C139">
        <v>26</v>
      </c>
      <c r="D139">
        <v>4.79</v>
      </c>
      <c r="E139">
        <v>1</v>
      </c>
      <c r="F139">
        <v>1</v>
      </c>
      <c r="G139">
        <v>1</v>
      </c>
      <c r="H139">
        <v>36</v>
      </c>
      <c r="I139">
        <v>0</v>
      </c>
      <c r="J139">
        <v>0</v>
      </c>
      <c r="K139">
        <v>0</v>
      </c>
      <c r="L139">
        <v>41.1</v>
      </c>
      <c r="M139">
        <v>41</v>
      </c>
      <c r="N139">
        <v>23</v>
      </c>
      <c r="O139">
        <v>22</v>
      </c>
      <c r="P139">
        <v>7</v>
      </c>
      <c r="Q139">
        <v>0</v>
      </c>
      <c r="R139">
        <v>12</v>
      </c>
      <c r="S139">
        <v>0</v>
      </c>
      <c r="T139">
        <v>26</v>
      </c>
      <c r="X139">
        <f t="shared" si="2"/>
        <v>0</v>
      </c>
    </row>
    <row r="140" spans="1:24" x14ac:dyDescent="0.25">
      <c r="A140" t="s">
        <v>529</v>
      </c>
      <c r="B140" t="s">
        <v>391</v>
      </c>
      <c r="C140">
        <v>26</v>
      </c>
      <c r="D140">
        <v>3.92</v>
      </c>
      <c r="E140">
        <v>5</v>
      </c>
      <c r="F140">
        <v>6</v>
      </c>
      <c r="G140">
        <v>7</v>
      </c>
      <c r="H140">
        <v>68</v>
      </c>
      <c r="I140">
        <v>1</v>
      </c>
      <c r="J140">
        <v>0</v>
      </c>
      <c r="K140">
        <v>0</v>
      </c>
      <c r="L140">
        <v>64.099999999999994</v>
      </c>
      <c r="M140">
        <v>49</v>
      </c>
      <c r="N140">
        <v>30</v>
      </c>
      <c r="O140">
        <v>28</v>
      </c>
      <c r="P140">
        <v>12</v>
      </c>
      <c r="Q140">
        <v>1</v>
      </c>
      <c r="R140">
        <v>30</v>
      </c>
      <c r="S140">
        <v>1</v>
      </c>
      <c r="T140">
        <v>81</v>
      </c>
      <c r="X140">
        <f t="shared" si="2"/>
        <v>0</v>
      </c>
    </row>
    <row r="141" spans="1:24" x14ac:dyDescent="0.25">
      <c r="A141" t="s">
        <v>530</v>
      </c>
      <c r="B141" t="s">
        <v>391</v>
      </c>
      <c r="C141">
        <v>26</v>
      </c>
      <c r="D141">
        <v>4.0999999999999996</v>
      </c>
      <c r="E141">
        <v>4</v>
      </c>
      <c r="F141">
        <v>1</v>
      </c>
      <c r="G141">
        <v>0</v>
      </c>
      <c r="H141">
        <v>32</v>
      </c>
      <c r="I141">
        <v>0</v>
      </c>
      <c r="J141">
        <v>0</v>
      </c>
      <c r="K141">
        <v>0</v>
      </c>
      <c r="L141">
        <v>37.1</v>
      </c>
      <c r="M141">
        <v>32</v>
      </c>
      <c r="N141">
        <v>17</v>
      </c>
      <c r="O141">
        <v>17</v>
      </c>
      <c r="P141">
        <v>7</v>
      </c>
      <c r="Q141">
        <v>2</v>
      </c>
      <c r="R141">
        <v>9</v>
      </c>
      <c r="S141">
        <v>1</v>
      </c>
      <c r="T141">
        <v>36</v>
      </c>
      <c r="X141">
        <f t="shared" si="2"/>
        <v>0</v>
      </c>
    </row>
    <row r="142" spans="1:24" x14ac:dyDescent="0.25">
      <c r="A142" t="s">
        <v>531</v>
      </c>
      <c r="B142" t="s">
        <v>391</v>
      </c>
      <c r="C142">
        <v>26</v>
      </c>
      <c r="D142">
        <v>12.75</v>
      </c>
      <c r="E142">
        <v>1</v>
      </c>
      <c r="F142">
        <v>0</v>
      </c>
      <c r="G142">
        <v>0</v>
      </c>
      <c r="H142">
        <v>12</v>
      </c>
      <c r="I142">
        <v>0</v>
      </c>
      <c r="J142">
        <v>0</v>
      </c>
      <c r="K142">
        <v>0</v>
      </c>
      <c r="L142">
        <v>12</v>
      </c>
      <c r="M142">
        <v>20</v>
      </c>
      <c r="N142">
        <v>21</v>
      </c>
      <c r="O142">
        <v>17</v>
      </c>
      <c r="P142">
        <v>4</v>
      </c>
      <c r="Q142">
        <v>2</v>
      </c>
      <c r="R142">
        <v>8</v>
      </c>
      <c r="S142">
        <v>0</v>
      </c>
      <c r="T142">
        <v>8</v>
      </c>
      <c r="X142">
        <f t="shared" si="2"/>
        <v>0</v>
      </c>
    </row>
    <row r="143" spans="1:24" x14ac:dyDescent="0.25">
      <c r="A143" t="s">
        <v>532</v>
      </c>
      <c r="B143" t="s">
        <v>391</v>
      </c>
      <c r="C143">
        <v>26</v>
      </c>
      <c r="D143">
        <v>15.58</v>
      </c>
      <c r="E143">
        <v>0</v>
      </c>
      <c r="F143">
        <v>1</v>
      </c>
      <c r="G143">
        <v>0</v>
      </c>
      <c r="H143">
        <v>4</v>
      </c>
      <c r="I143">
        <v>1</v>
      </c>
      <c r="J143">
        <v>0</v>
      </c>
      <c r="K143">
        <v>0</v>
      </c>
      <c r="L143">
        <v>8.1999999999999993</v>
      </c>
      <c r="M143">
        <v>12</v>
      </c>
      <c r="N143">
        <v>15</v>
      </c>
      <c r="O143">
        <v>15</v>
      </c>
      <c r="P143">
        <v>3</v>
      </c>
      <c r="Q143">
        <v>1</v>
      </c>
      <c r="R143">
        <v>12</v>
      </c>
      <c r="S143">
        <v>0</v>
      </c>
      <c r="T143">
        <v>9</v>
      </c>
      <c r="X143">
        <f t="shared" si="2"/>
        <v>0</v>
      </c>
    </row>
    <row r="144" spans="1:24" x14ac:dyDescent="0.25">
      <c r="A144" t="s">
        <v>533</v>
      </c>
      <c r="B144" t="s">
        <v>391</v>
      </c>
      <c r="C144">
        <v>26</v>
      </c>
      <c r="D144">
        <v>15</v>
      </c>
      <c r="E144">
        <v>0</v>
      </c>
      <c r="F144">
        <v>0</v>
      </c>
      <c r="G144">
        <v>0</v>
      </c>
      <c r="H144">
        <v>3</v>
      </c>
      <c r="I144">
        <v>0</v>
      </c>
      <c r="J144">
        <v>0</v>
      </c>
      <c r="K144">
        <v>0</v>
      </c>
      <c r="L144">
        <v>3</v>
      </c>
      <c r="M144">
        <v>7</v>
      </c>
      <c r="N144">
        <v>5</v>
      </c>
      <c r="O144">
        <v>5</v>
      </c>
      <c r="P144">
        <v>1</v>
      </c>
      <c r="Q144">
        <v>0</v>
      </c>
      <c r="R144">
        <v>4</v>
      </c>
      <c r="S144">
        <v>0</v>
      </c>
      <c r="T144">
        <v>4</v>
      </c>
      <c r="X144">
        <f t="shared" si="2"/>
        <v>0</v>
      </c>
    </row>
    <row r="145" spans="1:24" x14ac:dyDescent="0.25">
      <c r="A145" t="s">
        <v>534</v>
      </c>
      <c r="B145" t="s">
        <v>391</v>
      </c>
      <c r="C145">
        <v>26</v>
      </c>
      <c r="D145">
        <v>4.1900000000000004</v>
      </c>
      <c r="E145">
        <v>0</v>
      </c>
      <c r="F145">
        <v>3</v>
      </c>
      <c r="G145">
        <v>1</v>
      </c>
      <c r="H145">
        <v>42</v>
      </c>
      <c r="I145">
        <v>0</v>
      </c>
      <c r="J145">
        <v>0</v>
      </c>
      <c r="K145">
        <v>0</v>
      </c>
      <c r="L145">
        <v>34.1</v>
      </c>
      <c r="M145">
        <v>38</v>
      </c>
      <c r="N145">
        <v>19</v>
      </c>
      <c r="O145">
        <v>16</v>
      </c>
      <c r="P145">
        <v>2</v>
      </c>
      <c r="Q145">
        <v>1</v>
      </c>
      <c r="R145">
        <v>20</v>
      </c>
      <c r="S145">
        <v>0</v>
      </c>
      <c r="T145">
        <v>36</v>
      </c>
      <c r="X145">
        <f t="shared" si="2"/>
        <v>0</v>
      </c>
    </row>
    <row r="146" spans="1:24" x14ac:dyDescent="0.25">
      <c r="A146" t="s">
        <v>535</v>
      </c>
      <c r="B146" t="s">
        <v>391</v>
      </c>
      <c r="C146">
        <v>26</v>
      </c>
      <c r="D146">
        <v>13.24</v>
      </c>
      <c r="E146">
        <v>1</v>
      </c>
      <c r="F146">
        <v>1</v>
      </c>
      <c r="G146">
        <v>0</v>
      </c>
      <c r="H146">
        <v>14</v>
      </c>
      <c r="I146">
        <v>0</v>
      </c>
      <c r="J146">
        <v>0</v>
      </c>
      <c r="K146">
        <v>0</v>
      </c>
      <c r="L146">
        <v>17</v>
      </c>
      <c r="M146">
        <v>26</v>
      </c>
      <c r="N146">
        <v>25</v>
      </c>
      <c r="O146">
        <v>25</v>
      </c>
      <c r="P146">
        <v>0</v>
      </c>
      <c r="Q146">
        <v>2</v>
      </c>
      <c r="R146">
        <v>20</v>
      </c>
      <c r="S146">
        <v>3</v>
      </c>
      <c r="T146">
        <v>21</v>
      </c>
      <c r="X146">
        <f t="shared" si="2"/>
        <v>0</v>
      </c>
    </row>
    <row r="147" spans="1:24" x14ac:dyDescent="0.25">
      <c r="A147" t="s">
        <v>536</v>
      </c>
      <c r="B147" t="s">
        <v>391</v>
      </c>
      <c r="C147">
        <v>26</v>
      </c>
      <c r="D147">
        <v>4.74</v>
      </c>
      <c r="E147">
        <v>1</v>
      </c>
      <c r="F147">
        <v>2</v>
      </c>
      <c r="G147">
        <v>0</v>
      </c>
      <c r="H147">
        <v>31</v>
      </c>
      <c r="I147">
        <v>0</v>
      </c>
      <c r="J147">
        <v>0</v>
      </c>
      <c r="K147">
        <v>0</v>
      </c>
      <c r="L147">
        <v>38</v>
      </c>
      <c r="M147">
        <v>34</v>
      </c>
      <c r="N147">
        <v>21</v>
      </c>
      <c r="O147">
        <v>20</v>
      </c>
      <c r="P147">
        <v>3</v>
      </c>
      <c r="Q147">
        <v>2</v>
      </c>
      <c r="R147">
        <v>18</v>
      </c>
      <c r="S147">
        <v>0</v>
      </c>
      <c r="T147">
        <v>34</v>
      </c>
      <c r="X147">
        <f t="shared" si="2"/>
        <v>0</v>
      </c>
    </row>
    <row r="148" spans="1:24" x14ac:dyDescent="0.25">
      <c r="A148" t="s">
        <v>537</v>
      </c>
      <c r="B148" t="s">
        <v>391</v>
      </c>
      <c r="C148">
        <v>26</v>
      </c>
      <c r="D148">
        <v>7.11</v>
      </c>
      <c r="E148">
        <v>1</v>
      </c>
      <c r="F148">
        <v>0</v>
      </c>
      <c r="G148">
        <v>0</v>
      </c>
      <c r="H148">
        <v>10</v>
      </c>
      <c r="I148">
        <v>0</v>
      </c>
      <c r="J148">
        <v>0</v>
      </c>
      <c r="K148">
        <v>0</v>
      </c>
      <c r="L148">
        <v>12.2</v>
      </c>
      <c r="M148">
        <v>13</v>
      </c>
      <c r="N148">
        <v>10</v>
      </c>
      <c r="O148">
        <v>10</v>
      </c>
      <c r="P148">
        <v>2</v>
      </c>
      <c r="Q148">
        <v>3</v>
      </c>
      <c r="R148">
        <v>11</v>
      </c>
      <c r="S148">
        <v>0</v>
      </c>
      <c r="T148">
        <v>11</v>
      </c>
      <c r="X148">
        <f t="shared" si="2"/>
        <v>0</v>
      </c>
    </row>
    <row r="149" spans="1:24" x14ac:dyDescent="0.25">
      <c r="A149" t="s">
        <v>538</v>
      </c>
      <c r="B149" t="s">
        <v>389</v>
      </c>
      <c r="C149">
        <v>26</v>
      </c>
      <c r="D149">
        <v>4.3600000000000003</v>
      </c>
      <c r="E149">
        <v>4</v>
      </c>
      <c r="F149">
        <v>9</v>
      </c>
      <c r="G149">
        <v>0</v>
      </c>
      <c r="H149">
        <v>16</v>
      </c>
      <c r="I149">
        <v>16</v>
      </c>
      <c r="J149">
        <v>0</v>
      </c>
      <c r="K149">
        <v>0</v>
      </c>
      <c r="L149">
        <v>88.2</v>
      </c>
      <c r="M149">
        <v>80</v>
      </c>
      <c r="N149">
        <v>44</v>
      </c>
      <c r="O149">
        <v>43</v>
      </c>
      <c r="P149">
        <v>12</v>
      </c>
      <c r="Q149">
        <v>1</v>
      </c>
      <c r="R149">
        <v>42</v>
      </c>
      <c r="S149">
        <v>0</v>
      </c>
      <c r="T149">
        <v>96</v>
      </c>
      <c r="X149">
        <f t="shared" si="2"/>
        <v>0</v>
      </c>
    </row>
    <row r="150" spans="1:24" x14ac:dyDescent="0.25">
      <c r="A150" t="s">
        <v>539</v>
      </c>
      <c r="B150" t="s">
        <v>391</v>
      </c>
      <c r="C150">
        <v>26</v>
      </c>
      <c r="D150">
        <v>18</v>
      </c>
      <c r="E150">
        <v>0</v>
      </c>
      <c r="F150">
        <v>0</v>
      </c>
      <c r="G150">
        <v>0</v>
      </c>
      <c r="H150">
        <v>1</v>
      </c>
      <c r="I150">
        <v>0</v>
      </c>
      <c r="J150">
        <v>0</v>
      </c>
      <c r="K150">
        <v>0</v>
      </c>
      <c r="L150">
        <v>1</v>
      </c>
      <c r="M150">
        <v>3</v>
      </c>
      <c r="N150">
        <v>2</v>
      </c>
      <c r="O150">
        <v>2</v>
      </c>
      <c r="P150">
        <v>0</v>
      </c>
      <c r="Q150">
        <v>0</v>
      </c>
      <c r="R150">
        <v>0</v>
      </c>
      <c r="S150">
        <v>0</v>
      </c>
      <c r="T150">
        <v>0</v>
      </c>
      <c r="X150">
        <f t="shared" si="2"/>
        <v>0</v>
      </c>
    </row>
    <row r="151" spans="1:24" x14ac:dyDescent="0.25">
      <c r="A151" t="s">
        <v>540</v>
      </c>
      <c r="B151" t="s">
        <v>389</v>
      </c>
      <c r="C151">
        <v>26</v>
      </c>
      <c r="D151">
        <v>3.53</v>
      </c>
      <c r="E151">
        <v>3</v>
      </c>
      <c r="F151">
        <v>8</v>
      </c>
      <c r="G151">
        <v>0</v>
      </c>
      <c r="H151">
        <v>27</v>
      </c>
      <c r="I151">
        <v>23</v>
      </c>
      <c r="J151">
        <v>0</v>
      </c>
      <c r="K151">
        <v>0</v>
      </c>
      <c r="L151">
        <v>119.2</v>
      </c>
      <c r="M151">
        <v>113</v>
      </c>
      <c r="N151">
        <v>49</v>
      </c>
      <c r="O151">
        <v>47</v>
      </c>
      <c r="P151">
        <v>13</v>
      </c>
      <c r="Q151">
        <v>4</v>
      </c>
      <c r="R151">
        <v>40</v>
      </c>
      <c r="S151">
        <v>1</v>
      </c>
      <c r="T151">
        <v>127</v>
      </c>
      <c r="X151">
        <f t="shared" si="2"/>
        <v>0</v>
      </c>
    </row>
    <row r="152" spans="1:24" x14ac:dyDescent="0.25">
      <c r="A152" t="s">
        <v>541</v>
      </c>
      <c r="B152" t="s">
        <v>391</v>
      </c>
      <c r="C152">
        <v>26</v>
      </c>
      <c r="D152">
        <v>7.71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0</v>
      </c>
      <c r="K152">
        <v>0</v>
      </c>
      <c r="L152">
        <v>2.1</v>
      </c>
      <c r="M152">
        <v>5</v>
      </c>
      <c r="N152">
        <v>4</v>
      </c>
      <c r="O152">
        <v>2</v>
      </c>
      <c r="P152">
        <v>1</v>
      </c>
      <c r="Q152">
        <v>0</v>
      </c>
      <c r="R152">
        <v>1</v>
      </c>
      <c r="S152">
        <v>0</v>
      </c>
      <c r="T152">
        <v>1</v>
      </c>
      <c r="X152">
        <f t="shared" si="2"/>
        <v>0</v>
      </c>
    </row>
    <row r="153" spans="1:24" x14ac:dyDescent="0.25">
      <c r="A153" t="s">
        <v>542</v>
      </c>
      <c r="B153" t="s">
        <v>391</v>
      </c>
      <c r="C153">
        <v>26</v>
      </c>
      <c r="D153">
        <v>0</v>
      </c>
      <c r="E153">
        <v>0</v>
      </c>
      <c r="F153">
        <v>0</v>
      </c>
      <c r="G153">
        <v>0</v>
      </c>
      <c r="H153">
        <v>1</v>
      </c>
      <c r="I153">
        <v>0</v>
      </c>
      <c r="J153">
        <v>0</v>
      </c>
      <c r="K153">
        <v>0</v>
      </c>
      <c r="L153">
        <v>2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X153">
        <f t="shared" si="2"/>
        <v>0</v>
      </c>
    </row>
    <row r="154" spans="1:24" x14ac:dyDescent="0.25">
      <c r="A154" t="s">
        <v>543</v>
      </c>
      <c r="B154" t="s">
        <v>391</v>
      </c>
      <c r="C154">
        <v>26</v>
      </c>
      <c r="D154">
        <v>0</v>
      </c>
      <c r="E154">
        <v>0</v>
      </c>
      <c r="F154">
        <v>0</v>
      </c>
      <c r="G154">
        <v>0</v>
      </c>
      <c r="H154">
        <v>2</v>
      </c>
      <c r="I154">
        <v>0</v>
      </c>
      <c r="J154">
        <v>0</v>
      </c>
      <c r="K154">
        <v>0</v>
      </c>
      <c r="L154">
        <v>3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3</v>
      </c>
      <c r="S154">
        <v>0</v>
      </c>
      <c r="T154">
        <v>3</v>
      </c>
      <c r="X154">
        <f t="shared" si="2"/>
        <v>0</v>
      </c>
    </row>
    <row r="155" spans="1:24" x14ac:dyDescent="0.25">
      <c r="A155" t="s">
        <v>544</v>
      </c>
      <c r="B155" t="s">
        <v>391</v>
      </c>
      <c r="C155">
        <v>26</v>
      </c>
      <c r="D155">
        <v>5.77</v>
      </c>
      <c r="E155">
        <v>4</v>
      </c>
      <c r="F155">
        <v>2</v>
      </c>
      <c r="G155">
        <v>0</v>
      </c>
      <c r="H155">
        <v>63</v>
      </c>
      <c r="I155">
        <v>0</v>
      </c>
      <c r="J155">
        <v>0</v>
      </c>
      <c r="K155">
        <v>0</v>
      </c>
      <c r="L155">
        <v>73.099999999999994</v>
      </c>
      <c r="M155">
        <v>87</v>
      </c>
      <c r="N155">
        <v>49</v>
      </c>
      <c r="O155">
        <v>47</v>
      </c>
      <c r="P155">
        <v>16</v>
      </c>
      <c r="Q155">
        <v>7</v>
      </c>
      <c r="R155">
        <v>24</v>
      </c>
      <c r="S155">
        <v>0</v>
      </c>
      <c r="T155">
        <v>65</v>
      </c>
      <c r="X155">
        <f t="shared" si="2"/>
        <v>0</v>
      </c>
    </row>
    <row r="156" spans="1:24" x14ac:dyDescent="0.25">
      <c r="A156" t="s">
        <v>545</v>
      </c>
      <c r="B156" t="s">
        <v>391</v>
      </c>
      <c r="C156">
        <v>26</v>
      </c>
      <c r="D156">
        <v>27</v>
      </c>
      <c r="E156">
        <v>0</v>
      </c>
      <c r="F156">
        <v>0</v>
      </c>
      <c r="G156">
        <v>0</v>
      </c>
      <c r="H156">
        <v>1</v>
      </c>
      <c r="I156">
        <v>0</v>
      </c>
      <c r="J156">
        <v>0</v>
      </c>
      <c r="K156">
        <v>0</v>
      </c>
      <c r="L156">
        <v>0.2</v>
      </c>
      <c r="M156">
        <v>1</v>
      </c>
      <c r="N156">
        <v>2</v>
      </c>
      <c r="O156">
        <v>2</v>
      </c>
      <c r="P156">
        <v>1</v>
      </c>
      <c r="Q156">
        <v>1</v>
      </c>
      <c r="R156">
        <v>2</v>
      </c>
      <c r="S156">
        <v>0</v>
      </c>
      <c r="T156">
        <v>2</v>
      </c>
      <c r="X156">
        <f t="shared" si="2"/>
        <v>0</v>
      </c>
    </row>
    <row r="157" spans="1:24" x14ac:dyDescent="0.25">
      <c r="A157" t="s">
        <v>546</v>
      </c>
      <c r="B157" t="s">
        <v>391</v>
      </c>
      <c r="C157">
        <v>26</v>
      </c>
      <c r="D157">
        <v>6.37</v>
      </c>
      <c r="E157">
        <v>2</v>
      </c>
      <c r="F157">
        <v>1</v>
      </c>
      <c r="G157">
        <v>1</v>
      </c>
      <c r="H157">
        <v>10</v>
      </c>
      <c r="I157">
        <v>1</v>
      </c>
      <c r="J157">
        <v>0</v>
      </c>
      <c r="K157">
        <v>0</v>
      </c>
      <c r="L157">
        <v>29.2</v>
      </c>
      <c r="M157">
        <v>35</v>
      </c>
      <c r="N157">
        <v>23</v>
      </c>
      <c r="O157">
        <v>21</v>
      </c>
      <c r="P157">
        <v>6</v>
      </c>
      <c r="Q157">
        <v>2</v>
      </c>
      <c r="R157">
        <v>8</v>
      </c>
      <c r="S157">
        <v>0</v>
      </c>
      <c r="T157">
        <v>24</v>
      </c>
      <c r="X157">
        <f t="shared" si="2"/>
        <v>0</v>
      </c>
    </row>
    <row r="158" spans="1:24" x14ac:dyDescent="0.25">
      <c r="A158" t="s">
        <v>547</v>
      </c>
      <c r="B158" t="s">
        <v>391</v>
      </c>
      <c r="C158">
        <v>26</v>
      </c>
      <c r="D158">
        <v>4.75</v>
      </c>
      <c r="E158">
        <v>1</v>
      </c>
      <c r="F158">
        <v>3</v>
      </c>
      <c r="G158">
        <v>0</v>
      </c>
      <c r="H158">
        <v>16</v>
      </c>
      <c r="I158">
        <v>3</v>
      </c>
      <c r="J158">
        <v>0</v>
      </c>
      <c r="K158">
        <v>0</v>
      </c>
      <c r="L158">
        <v>36</v>
      </c>
      <c r="M158">
        <v>37</v>
      </c>
      <c r="N158">
        <v>21</v>
      </c>
      <c r="O158">
        <v>19</v>
      </c>
      <c r="P158">
        <v>9</v>
      </c>
      <c r="Q158">
        <v>1</v>
      </c>
      <c r="R158">
        <v>13</v>
      </c>
      <c r="S158">
        <v>0</v>
      </c>
      <c r="T158">
        <v>26</v>
      </c>
      <c r="X158">
        <f t="shared" si="2"/>
        <v>0</v>
      </c>
    </row>
    <row r="159" spans="1:24" x14ac:dyDescent="0.25">
      <c r="A159" t="s">
        <v>548</v>
      </c>
      <c r="B159" t="s">
        <v>391</v>
      </c>
      <c r="C159">
        <v>26</v>
      </c>
      <c r="D159">
        <v>3.63</v>
      </c>
      <c r="E159">
        <v>4</v>
      </c>
      <c r="F159">
        <v>3</v>
      </c>
      <c r="G159">
        <v>0</v>
      </c>
      <c r="H159">
        <v>19</v>
      </c>
      <c r="I159">
        <v>5</v>
      </c>
      <c r="J159">
        <v>0</v>
      </c>
      <c r="K159">
        <v>0</v>
      </c>
      <c r="L159">
        <v>57</v>
      </c>
      <c r="M159">
        <v>48</v>
      </c>
      <c r="N159">
        <v>33</v>
      </c>
      <c r="O159">
        <v>23</v>
      </c>
      <c r="P159">
        <v>5</v>
      </c>
      <c r="Q159">
        <v>3</v>
      </c>
      <c r="R159">
        <v>19</v>
      </c>
      <c r="S159">
        <v>1</v>
      </c>
      <c r="T159">
        <v>64</v>
      </c>
      <c r="X159">
        <f t="shared" si="2"/>
        <v>0</v>
      </c>
    </row>
    <row r="160" spans="1:24" x14ac:dyDescent="0.25">
      <c r="A160" t="s">
        <v>549</v>
      </c>
      <c r="B160" t="s">
        <v>391</v>
      </c>
      <c r="C160">
        <v>26</v>
      </c>
      <c r="D160">
        <v>8.0399999999999991</v>
      </c>
      <c r="E160">
        <v>0</v>
      </c>
      <c r="F160">
        <v>0</v>
      </c>
      <c r="G160">
        <v>0</v>
      </c>
      <c r="H160">
        <v>12</v>
      </c>
      <c r="I160">
        <v>2</v>
      </c>
      <c r="J160">
        <v>0</v>
      </c>
      <c r="K160">
        <v>0</v>
      </c>
      <c r="L160">
        <v>15.2</v>
      </c>
      <c r="M160">
        <v>27</v>
      </c>
      <c r="N160">
        <v>15</v>
      </c>
      <c r="O160">
        <v>14</v>
      </c>
      <c r="P160">
        <v>0</v>
      </c>
      <c r="Q160">
        <v>2</v>
      </c>
      <c r="R160">
        <v>5</v>
      </c>
      <c r="S160">
        <v>2</v>
      </c>
      <c r="T160">
        <v>12</v>
      </c>
      <c r="X160">
        <f t="shared" si="2"/>
        <v>0</v>
      </c>
    </row>
    <row r="161" spans="1:24" x14ac:dyDescent="0.25">
      <c r="A161" t="s">
        <v>550</v>
      </c>
      <c r="B161" t="s">
        <v>391</v>
      </c>
      <c r="C161">
        <v>26</v>
      </c>
      <c r="D161">
        <v>8.35</v>
      </c>
      <c r="E161">
        <v>2</v>
      </c>
      <c r="F161">
        <v>0</v>
      </c>
      <c r="G161">
        <v>1</v>
      </c>
      <c r="H161">
        <v>24</v>
      </c>
      <c r="I161">
        <v>0</v>
      </c>
      <c r="J161">
        <v>0</v>
      </c>
      <c r="K161">
        <v>0</v>
      </c>
      <c r="L161">
        <v>36.200000000000003</v>
      </c>
      <c r="M161">
        <v>46</v>
      </c>
      <c r="N161">
        <v>36</v>
      </c>
      <c r="O161">
        <v>34</v>
      </c>
      <c r="P161">
        <v>10</v>
      </c>
      <c r="Q161">
        <v>2</v>
      </c>
      <c r="R161">
        <v>19</v>
      </c>
      <c r="S161">
        <v>1</v>
      </c>
      <c r="T161">
        <v>36</v>
      </c>
      <c r="X161">
        <f t="shared" si="2"/>
        <v>0</v>
      </c>
    </row>
    <row r="162" spans="1:24" x14ac:dyDescent="0.25">
      <c r="A162" t="s">
        <v>551</v>
      </c>
      <c r="B162" t="s">
        <v>391</v>
      </c>
      <c r="C162">
        <v>26</v>
      </c>
      <c r="D162">
        <v>1.94</v>
      </c>
      <c r="E162">
        <v>4</v>
      </c>
      <c r="F162">
        <v>0</v>
      </c>
      <c r="G162">
        <v>0</v>
      </c>
      <c r="H162">
        <v>39</v>
      </c>
      <c r="I162">
        <v>0</v>
      </c>
      <c r="J162">
        <v>0</v>
      </c>
      <c r="K162">
        <v>0</v>
      </c>
      <c r="L162">
        <v>60.1</v>
      </c>
      <c r="M162">
        <v>33</v>
      </c>
      <c r="N162">
        <v>14</v>
      </c>
      <c r="O162">
        <v>13</v>
      </c>
      <c r="P162">
        <v>3</v>
      </c>
      <c r="Q162">
        <v>4</v>
      </c>
      <c r="R162">
        <v>20</v>
      </c>
      <c r="S162">
        <v>0</v>
      </c>
      <c r="T162">
        <v>68</v>
      </c>
      <c r="X162">
        <f t="shared" si="2"/>
        <v>0</v>
      </c>
    </row>
    <row r="163" spans="1:24" x14ac:dyDescent="0.25">
      <c r="A163" t="s">
        <v>552</v>
      </c>
      <c r="B163" t="s">
        <v>391</v>
      </c>
      <c r="C163">
        <v>26</v>
      </c>
      <c r="D163">
        <v>2.4500000000000002</v>
      </c>
      <c r="E163">
        <v>1</v>
      </c>
      <c r="F163">
        <v>0</v>
      </c>
      <c r="G163">
        <v>1</v>
      </c>
      <c r="H163">
        <v>5</v>
      </c>
      <c r="I163">
        <v>0</v>
      </c>
      <c r="J163">
        <v>0</v>
      </c>
      <c r="K163">
        <v>0</v>
      </c>
      <c r="L163">
        <v>7.1</v>
      </c>
      <c r="M163">
        <v>1</v>
      </c>
      <c r="N163">
        <v>2</v>
      </c>
      <c r="O163">
        <v>2</v>
      </c>
      <c r="P163">
        <v>1</v>
      </c>
      <c r="Q163">
        <v>1</v>
      </c>
      <c r="R163">
        <v>4</v>
      </c>
      <c r="S163">
        <v>0</v>
      </c>
      <c r="T163">
        <v>10</v>
      </c>
      <c r="X163">
        <f t="shared" si="2"/>
        <v>0</v>
      </c>
    </row>
    <row r="164" spans="1:24" x14ac:dyDescent="0.25">
      <c r="A164" t="s">
        <v>553</v>
      </c>
      <c r="B164" t="s">
        <v>389</v>
      </c>
      <c r="C164">
        <v>26</v>
      </c>
      <c r="D164">
        <v>6.37</v>
      </c>
      <c r="E164">
        <v>2</v>
      </c>
      <c r="F164">
        <v>4</v>
      </c>
      <c r="G164">
        <v>0</v>
      </c>
      <c r="H164">
        <v>8</v>
      </c>
      <c r="I164">
        <v>7</v>
      </c>
      <c r="J164">
        <v>0</v>
      </c>
      <c r="K164">
        <v>0</v>
      </c>
      <c r="L164">
        <v>29.2</v>
      </c>
      <c r="M164">
        <v>29</v>
      </c>
      <c r="N164">
        <v>24</v>
      </c>
      <c r="O164">
        <v>21</v>
      </c>
      <c r="P164">
        <v>2</v>
      </c>
      <c r="Q164">
        <v>7</v>
      </c>
      <c r="R164">
        <v>17</v>
      </c>
      <c r="S164">
        <v>0</v>
      </c>
      <c r="T164">
        <v>39</v>
      </c>
      <c r="X164">
        <f t="shared" si="2"/>
        <v>0</v>
      </c>
    </row>
    <row r="165" spans="1:24" x14ac:dyDescent="0.25">
      <c r="A165" t="s">
        <v>554</v>
      </c>
      <c r="B165" t="s">
        <v>391</v>
      </c>
      <c r="C165">
        <v>26</v>
      </c>
      <c r="D165">
        <v>5.0599999999999996</v>
      </c>
      <c r="E165">
        <v>0</v>
      </c>
      <c r="F165">
        <v>0</v>
      </c>
      <c r="G165">
        <v>0</v>
      </c>
      <c r="H165">
        <v>9</v>
      </c>
      <c r="I165">
        <v>0</v>
      </c>
      <c r="J165">
        <v>0</v>
      </c>
      <c r="K165">
        <v>0</v>
      </c>
      <c r="L165">
        <v>10.199999999999999</v>
      </c>
      <c r="M165">
        <v>15</v>
      </c>
      <c r="N165">
        <v>7</v>
      </c>
      <c r="O165">
        <v>6</v>
      </c>
      <c r="P165">
        <v>2</v>
      </c>
      <c r="Q165">
        <v>1</v>
      </c>
      <c r="R165">
        <v>3</v>
      </c>
      <c r="S165">
        <v>0</v>
      </c>
      <c r="T165">
        <v>7</v>
      </c>
      <c r="X165">
        <f t="shared" si="2"/>
        <v>0</v>
      </c>
    </row>
    <row r="166" spans="1:24" x14ac:dyDescent="0.25">
      <c r="A166" t="s">
        <v>555</v>
      </c>
      <c r="B166" t="s">
        <v>391</v>
      </c>
      <c r="C166">
        <v>26</v>
      </c>
      <c r="D166">
        <v>27</v>
      </c>
      <c r="E166">
        <v>0</v>
      </c>
      <c r="F166">
        <v>0</v>
      </c>
      <c r="G166">
        <v>0</v>
      </c>
      <c r="H166">
        <v>1</v>
      </c>
      <c r="I166">
        <v>0</v>
      </c>
      <c r="J166">
        <v>0</v>
      </c>
      <c r="K166">
        <v>0</v>
      </c>
      <c r="L166">
        <v>1</v>
      </c>
      <c r="M166">
        <v>4</v>
      </c>
      <c r="N166">
        <v>3</v>
      </c>
      <c r="O166">
        <v>3</v>
      </c>
      <c r="P166">
        <v>0</v>
      </c>
      <c r="Q166">
        <v>0</v>
      </c>
      <c r="R166">
        <v>0</v>
      </c>
      <c r="S166">
        <v>0</v>
      </c>
      <c r="T166">
        <v>1</v>
      </c>
      <c r="X166">
        <f t="shared" si="2"/>
        <v>0</v>
      </c>
    </row>
    <row r="167" spans="1:24" x14ac:dyDescent="0.25">
      <c r="A167" t="s">
        <v>556</v>
      </c>
      <c r="B167" t="s">
        <v>389</v>
      </c>
      <c r="C167">
        <v>26</v>
      </c>
      <c r="D167">
        <v>6.24</v>
      </c>
      <c r="E167">
        <v>1</v>
      </c>
      <c r="F167">
        <v>7</v>
      </c>
      <c r="G167">
        <v>0</v>
      </c>
      <c r="H167">
        <v>12</v>
      </c>
      <c r="I167">
        <v>12</v>
      </c>
      <c r="J167">
        <v>0</v>
      </c>
      <c r="K167">
        <v>0</v>
      </c>
      <c r="L167">
        <v>57.2</v>
      </c>
      <c r="M167">
        <v>67</v>
      </c>
      <c r="N167">
        <v>42</v>
      </c>
      <c r="O167">
        <v>40</v>
      </c>
      <c r="P167">
        <v>12</v>
      </c>
      <c r="Q167">
        <v>0</v>
      </c>
      <c r="R167">
        <v>22</v>
      </c>
      <c r="S167">
        <v>0</v>
      </c>
      <c r="T167">
        <v>47</v>
      </c>
      <c r="X167">
        <f t="shared" si="2"/>
        <v>0</v>
      </c>
    </row>
    <row r="168" spans="1:24" x14ac:dyDescent="0.25">
      <c r="A168" t="s">
        <v>557</v>
      </c>
      <c r="B168" t="s">
        <v>391</v>
      </c>
      <c r="C168">
        <v>27</v>
      </c>
      <c r="D168">
        <v>0</v>
      </c>
      <c r="E168">
        <v>0</v>
      </c>
      <c r="F168">
        <v>0</v>
      </c>
      <c r="G168">
        <v>0</v>
      </c>
      <c r="H168">
        <v>1</v>
      </c>
      <c r="I168">
        <v>0</v>
      </c>
      <c r="J168">
        <v>0</v>
      </c>
      <c r="K168">
        <v>0</v>
      </c>
      <c r="L168">
        <v>1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2</v>
      </c>
      <c r="S168">
        <v>0</v>
      </c>
      <c r="T168">
        <v>0</v>
      </c>
      <c r="X168">
        <f t="shared" si="2"/>
        <v>0</v>
      </c>
    </row>
    <row r="169" spans="1:24" x14ac:dyDescent="0.25">
      <c r="A169" t="s">
        <v>558</v>
      </c>
      <c r="B169" t="s">
        <v>391</v>
      </c>
      <c r="C169">
        <v>27</v>
      </c>
      <c r="D169">
        <v>2.63</v>
      </c>
      <c r="E169">
        <v>2</v>
      </c>
      <c r="F169">
        <v>2</v>
      </c>
      <c r="G169">
        <v>0</v>
      </c>
      <c r="H169">
        <v>33</v>
      </c>
      <c r="I169">
        <v>2</v>
      </c>
      <c r="J169">
        <v>0</v>
      </c>
      <c r="K169">
        <v>0</v>
      </c>
      <c r="L169">
        <v>65</v>
      </c>
      <c r="M169">
        <v>64</v>
      </c>
      <c r="N169">
        <v>22</v>
      </c>
      <c r="O169">
        <v>19</v>
      </c>
      <c r="P169">
        <v>5</v>
      </c>
      <c r="Q169">
        <v>1</v>
      </c>
      <c r="R169">
        <v>14</v>
      </c>
      <c r="S169">
        <v>3</v>
      </c>
      <c r="T169">
        <v>42</v>
      </c>
      <c r="X169">
        <f t="shared" si="2"/>
        <v>0</v>
      </c>
    </row>
    <row r="170" spans="1:24" x14ac:dyDescent="0.25">
      <c r="A170" t="s">
        <v>559</v>
      </c>
      <c r="B170" t="s">
        <v>391</v>
      </c>
      <c r="C170">
        <v>27</v>
      </c>
      <c r="D170">
        <v>11.57</v>
      </c>
      <c r="E170">
        <v>0</v>
      </c>
      <c r="F170">
        <v>1</v>
      </c>
      <c r="G170">
        <v>0</v>
      </c>
      <c r="H170">
        <v>7</v>
      </c>
      <c r="I170">
        <v>0</v>
      </c>
      <c r="J170">
        <v>0</v>
      </c>
      <c r="K170">
        <v>0</v>
      </c>
      <c r="L170">
        <v>9.1</v>
      </c>
      <c r="M170">
        <v>17</v>
      </c>
      <c r="N170">
        <v>13</v>
      </c>
      <c r="O170">
        <v>12</v>
      </c>
      <c r="P170">
        <v>2</v>
      </c>
      <c r="Q170">
        <v>0</v>
      </c>
      <c r="R170">
        <v>7</v>
      </c>
      <c r="S170">
        <v>1</v>
      </c>
      <c r="T170">
        <v>8</v>
      </c>
      <c r="X170">
        <f t="shared" si="2"/>
        <v>0</v>
      </c>
    </row>
    <row r="171" spans="1:24" x14ac:dyDescent="0.25">
      <c r="A171" t="s">
        <v>560</v>
      </c>
      <c r="B171" t="s">
        <v>391</v>
      </c>
      <c r="C171">
        <v>27</v>
      </c>
      <c r="D171">
        <v>4.62</v>
      </c>
      <c r="E171">
        <v>0</v>
      </c>
      <c r="F171">
        <v>3</v>
      </c>
      <c r="G171">
        <v>2</v>
      </c>
      <c r="H171">
        <v>32</v>
      </c>
      <c r="I171">
        <v>0</v>
      </c>
      <c r="J171">
        <v>0</v>
      </c>
      <c r="K171">
        <v>0</v>
      </c>
      <c r="L171">
        <v>25.1</v>
      </c>
      <c r="M171">
        <v>28</v>
      </c>
      <c r="N171">
        <v>14</v>
      </c>
      <c r="O171">
        <v>13</v>
      </c>
      <c r="P171">
        <v>3</v>
      </c>
      <c r="Q171">
        <v>3</v>
      </c>
      <c r="R171">
        <v>8</v>
      </c>
      <c r="S171">
        <v>0</v>
      </c>
      <c r="T171">
        <v>22</v>
      </c>
      <c r="X171">
        <f t="shared" si="2"/>
        <v>0</v>
      </c>
    </row>
    <row r="172" spans="1:24" x14ac:dyDescent="0.25">
      <c r="A172" t="s">
        <v>561</v>
      </c>
      <c r="B172" t="s">
        <v>391</v>
      </c>
      <c r="C172">
        <v>27</v>
      </c>
      <c r="D172">
        <v>2.31</v>
      </c>
      <c r="E172">
        <v>1</v>
      </c>
      <c r="F172">
        <v>1</v>
      </c>
      <c r="G172">
        <v>0</v>
      </c>
      <c r="H172">
        <v>11</v>
      </c>
      <c r="I172">
        <v>1</v>
      </c>
      <c r="J172">
        <v>0</v>
      </c>
      <c r="K172">
        <v>0</v>
      </c>
      <c r="L172">
        <v>11.2</v>
      </c>
      <c r="M172">
        <v>12</v>
      </c>
      <c r="N172">
        <v>4</v>
      </c>
      <c r="O172">
        <v>3</v>
      </c>
      <c r="P172">
        <v>0</v>
      </c>
      <c r="Q172">
        <v>0</v>
      </c>
      <c r="R172">
        <v>9</v>
      </c>
      <c r="S172">
        <v>1</v>
      </c>
      <c r="T172">
        <v>8</v>
      </c>
      <c r="X172">
        <f t="shared" si="2"/>
        <v>0</v>
      </c>
    </row>
    <row r="173" spans="1:24" x14ac:dyDescent="0.25">
      <c r="A173" t="s">
        <v>562</v>
      </c>
      <c r="B173" t="s">
        <v>391</v>
      </c>
      <c r="C173">
        <v>27</v>
      </c>
      <c r="D173">
        <v>13.5</v>
      </c>
      <c r="E173">
        <v>0</v>
      </c>
      <c r="F173">
        <v>0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2</v>
      </c>
      <c r="M173">
        <v>4</v>
      </c>
      <c r="N173">
        <v>3</v>
      </c>
      <c r="O173">
        <v>3</v>
      </c>
      <c r="P173">
        <v>0</v>
      </c>
      <c r="Q173">
        <v>0</v>
      </c>
      <c r="R173">
        <v>0</v>
      </c>
      <c r="S173">
        <v>0</v>
      </c>
      <c r="T173">
        <v>1</v>
      </c>
      <c r="X173">
        <f t="shared" si="2"/>
        <v>0</v>
      </c>
    </row>
    <row r="174" spans="1:24" x14ac:dyDescent="0.25">
      <c r="A174" t="s">
        <v>563</v>
      </c>
      <c r="B174" t="s">
        <v>391</v>
      </c>
      <c r="C174">
        <v>27</v>
      </c>
      <c r="D174">
        <v>2.4700000000000002</v>
      </c>
      <c r="E174">
        <v>1</v>
      </c>
      <c r="F174">
        <v>3</v>
      </c>
      <c r="G174">
        <v>4</v>
      </c>
      <c r="H174">
        <v>53</v>
      </c>
      <c r="I174">
        <v>0</v>
      </c>
      <c r="J174">
        <v>0</v>
      </c>
      <c r="K174">
        <v>0</v>
      </c>
      <c r="L174">
        <v>47.1</v>
      </c>
      <c r="M174">
        <v>41</v>
      </c>
      <c r="N174">
        <v>15</v>
      </c>
      <c r="O174">
        <v>13</v>
      </c>
      <c r="P174">
        <v>4</v>
      </c>
      <c r="Q174">
        <v>2</v>
      </c>
      <c r="R174">
        <v>18</v>
      </c>
      <c r="S174">
        <v>2</v>
      </c>
      <c r="T174">
        <v>58</v>
      </c>
      <c r="X174">
        <f t="shared" si="2"/>
        <v>0</v>
      </c>
    </row>
    <row r="175" spans="1:24" x14ac:dyDescent="0.25">
      <c r="A175" t="s">
        <v>564</v>
      </c>
      <c r="B175" t="s">
        <v>391</v>
      </c>
      <c r="C175">
        <v>27</v>
      </c>
      <c r="D175">
        <v>3.9</v>
      </c>
      <c r="E175">
        <v>5</v>
      </c>
      <c r="F175">
        <v>3</v>
      </c>
      <c r="G175">
        <v>1</v>
      </c>
      <c r="H175">
        <v>55</v>
      </c>
      <c r="I175">
        <v>0</v>
      </c>
      <c r="J175">
        <v>0</v>
      </c>
      <c r="K175">
        <v>0</v>
      </c>
      <c r="L175">
        <v>67</v>
      </c>
      <c r="M175">
        <v>62</v>
      </c>
      <c r="N175">
        <v>31</v>
      </c>
      <c r="O175">
        <v>29</v>
      </c>
      <c r="P175">
        <v>4</v>
      </c>
      <c r="Q175">
        <v>2</v>
      </c>
      <c r="R175">
        <v>32</v>
      </c>
      <c r="S175">
        <v>2</v>
      </c>
      <c r="T175">
        <v>58</v>
      </c>
      <c r="X175">
        <f t="shared" si="2"/>
        <v>0</v>
      </c>
    </row>
    <row r="176" spans="1:24" x14ac:dyDescent="0.25">
      <c r="A176" t="s">
        <v>565</v>
      </c>
      <c r="B176" t="s">
        <v>391</v>
      </c>
      <c r="C176">
        <v>27</v>
      </c>
      <c r="D176">
        <v>7.04</v>
      </c>
      <c r="E176">
        <v>0</v>
      </c>
      <c r="F176">
        <v>0</v>
      </c>
      <c r="G176">
        <v>0</v>
      </c>
      <c r="H176">
        <v>6</v>
      </c>
      <c r="I176">
        <v>0</v>
      </c>
      <c r="J176">
        <v>0</v>
      </c>
      <c r="K176">
        <v>0</v>
      </c>
      <c r="L176">
        <v>7.2</v>
      </c>
      <c r="M176">
        <v>13</v>
      </c>
      <c r="N176">
        <v>6</v>
      </c>
      <c r="O176">
        <v>6</v>
      </c>
      <c r="P176">
        <v>1</v>
      </c>
      <c r="Q176">
        <v>1</v>
      </c>
      <c r="R176">
        <v>1</v>
      </c>
      <c r="S176">
        <v>0</v>
      </c>
      <c r="T176">
        <v>3</v>
      </c>
      <c r="X176">
        <f t="shared" si="2"/>
        <v>0</v>
      </c>
    </row>
    <row r="177" spans="1:24" x14ac:dyDescent="0.25">
      <c r="A177" t="s">
        <v>566</v>
      </c>
      <c r="B177" t="s">
        <v>391</v>
      </c>
      <c r="C177">
        <v>27</v>
      </c>
      <c r="D177">
        <v>7.45</v>
      </c>
      <c r="E177">
        <v>1</v>
      </c>
      <c r="F177">
        <v>0</v>
      </c>
      <c r="G177">
        <v>0</v>
      </c>
      <c r="H177">
        <v>7</v>
      </c>
      <c r="I177">
        <v>0</v>
      </c>
      <c r="J177">
        <v>0</v>
      </c>
      <c r="K177">
        <v>0</v>
      </c>
      <c r="L177">
        <v>9.1999999999999993</v>
      </c>
      <c r="M177">
        <v>10</v>
      </c>
      <c r="N177">
        <v>8</v>
      </c>
      <c r="O177">
        <v>8</v>
      </c>
      <c r="P177">
        <v>1</v>
      </c>
      <c r="Q177">
        <v>1</v>
      </c>
      <c r="R177">
        <v>4</v>
      </c>
      <c r="S177">
        <v>0</v>
      </c>
      <c r="T177">
        <v>8</v>
      </c>
      <c r="X177">
        <f t="shared" si="2"/>
        <v>0</v>
      </c>
    </row>
    <row r="178" spans="1:24" x14ac:dyDescent="0.25">
      <c r="A178" t="s">
        <v>567</v>
      </c>
      <c r="B178" t="s">
        <v>391</v>
      </c>
      <c r="C178">
        <v>27</v>
      </c>
      <c r="D178">
        <v>4.5</v>
      </c>
      <c r="E178">
        <v>0</v>
      </c>
      <c r="F178">
        <v>0</v>
      </c>
      <c r="G178">
        <v>0</v>
      </c>
      <c r="H178">
        <v>1</v>
      </c>
      <c r="I178">
        <v>0</v>
      </c>
      <c r="J178">
        <v>0</v>
      </c>
      <c r="K178">
        <v>0</v>
      </c>
      <c r="L178">
        <v>2</v>
      </c>
      <c r="M178">
        <v>1</v>
      </c>
      <c r="N178">
        <v>1</v>
      </c>
      <c r="O178">
        <v>1</v>
      </c>
      <c r="P178">
        <v>0</v>
      </c>
      <c r="Q178">
        <v>0</v>
      </c>
      <c r="R178">
        <v>3</v>
      </c>
      <c r="S178">
        <v>0</v>
      </c>
      <c r="T178">
        <v>0</v>
      </c>
      <c r="X178">
        <f t="shared" si="2"/>
        <v>0</v>
      </c>
    </row>
    <row r="179" spans="1:24" x14ac:dyDescent="0.25">
      <c r="A179" t="s">
        <v>568</v>
      </c>
      <c r="B179" t="s">
        <v>391</v>
      </c>
      <c r="C179">
        <v>27</v>
      </c>
      <c r="D179">
        <v>3.28</v>
      </c>
      <c r="E179">
        <v>0</v>
      </c>
      <c r="F179">
        <v>1</v>
      </c>
      <c r="G179">
        <v>0</v>
      </c>
      <c r="H179">
        <v>25</v>
      </c>
      <c r="I179">
        <v>0</v>
      </c>
      <c r="J179">
        <v>0</v>
      </c>
      <c r="K179">
        <v>0</v>
      </c>
      <c r="L179">
        <v>35.200000000000003</v>
      </c>
      <c r="M179">
        <v>37</v>
      </c>
      <c r="N179">
        <v>15</v>
      </c>
      <c r="O179">
        <v>13</v>
      </c>
      <c r="P179">
        <v>1</v>
      </c>
      <c r="Q179">
        <v>1</v>
      </c>
      <c r="R179">
        <v>17</v>
      </c>
      <c r="S179">
        <v>0</v>
      </c>
      <c r="T179">
        <v>28</v>
      </c>
      <c r="X179">
        <f t="shared" si="2"/>
        <v>0</v>
      </c>
    </row>
    <row r="180" spans="1:24" x14ac:dyDescent="0.25">
      <c r="A180" t="s">
        <v>569</v>
      </c>
      <c r="B180" t="s">
        <v>391</v>
      </c>
      <c r="C180">
        <v>27</v>
      </c>
      <c r="D180">
        <v>3.6</v>
      </c>
      <c r="E180">
        <v>1</v>
      </c>
      <c r="F180">
        <v>0</v>
      </c>
      <c r="G180">
        <v>0</v>
      </c>
      <c r="H180">
        <v>28</v>
      </c>
      <c r="I180">
        <v>0</v>
      </c>
      <c r="J180">
        <v>0</v>
      </c>
      <c r="K180">
        <v>0</v>
      </c>
      <c r="L180">
        <v>35</v>
      </c>
      <c r="M180">
        <v>28</v>
      </c>
      <c r="N180">
        <v>14</v>
      </c>
      <c r="O180">
        <v>14</v>
      </c>
      <c r="P180">
        <v>5</v>
      </c>
      <c r="Q180">
        <v>1</v>
      </c>
      <c r="R180">
        <v>5</v>
      </c>
      <c r="S180">
        <v>0</v>
      </c>
      <c r="T180">
        <v>30</v>
      </c>
      <c r="X180">
        <f t="shared" si="2"/>
        <v>0</v>
      </c>
    </row>
    <row r="181" spans="1:24" x14ac:dyDescent="0.25">
      <c r="A181" t="s">
        <v>570</v>
      </c>
      <c r="B181" t="s">
        <v>391</v>
      </c>
      <c r="C181">
        <v>27</v>
      </c>
      <c r="D181">
        <v>4.3899999999999997</v>
      </c>
      <c r="E181">
        <v>3</v>
      </c>
      <c r="F181">
        <v>8</v>
      </c>
      <c r="G181">
        <v>2</v>
      </c>
      <c r="H181">
        <v>72</v>
      </c>
      <c r="I181">
        <v>3</v>
      </c>
      <c r="J181">
        <v>0</v>
      </c>
      <c r="K181">
        <v>0</v>
      </c>
      <c r="L181">
        <v>69.2</v>
      </c>
      <c r="M181">
        <v>75</v>
      </c>
      <c r="N181">
        <v>36</v>
      </c>
      <c r="O181">
        <v>34</v>
      </c>
      <c r="P181">
        <v>12</v>
      </c>
      <c r="Q181">
        <v>5</v>
      </c>
      <c r="R181">
        <v>25</v>
      </c>
      <c r="S181">
        <v>6</v>
      </c>
      <c r="T181">
        <v>74</v>
      </c>
      <c r="X181">
        <f t="shared" si="2"/>
        <v>0</v>
      </c>
    </row>
    <row r="182" spans="1:24" x14ac:dyDescent="0.25">
      <c r="A182" t="s">
        <v>571</v>
      </c>
      <c r="B182" t="s">
        <v>391</v>
      </c>
      <c r="C182">
        <v>27</v>
      </c>
      <c r="D182">
        <v>4.24</v>
      </c>
      <c r="E182">
        <v>1</v>
      </c>
      <c r="F182">
        <v>2</v>
      </c>
      <c r="G182">
        <v>0</v>
      </c>
      <c r="H182">
        <v>18</v>
      </c>
      <c r="I182">
        <v>3</v>
      </c>
      <c r="J182">
        <v>0</v>
      </c>
      <c r="K182">
        <v>0</v>
      </c>
      <c r="L182">
        <v>17</v>
      </c>
      <c r="M182">
        <v>8</v>
      </c>
      <c r="N182">
        <v>9</v>
      </c>
      <c r="O182">
        <v>8</v>
      </c>
      <c r="P182">
        <v>1</v>
      </c>
      <c r="Q182">
        <v>1</v>
      </c>
      <c r="R182">
        <v>19</v>
      </c>
      <c r="S182">
        <v>0</v>
      </c>
      <c r="T182">
        <v>22</v>
      </c>
      <c r="X182">
        <f t="shared" si="2"/>
        <v>0</v>
      </c>
    </row>
    <row r="183" spans="1:24" x14ac:dyDescent="0.25">
      <c r="A183" t="s">
        <v>572</v>
      </c>
      <c r="B183" t="s">
        <v>391</v>
      </c>
      <c r="C183">
        <v>27</v>
      </c>
      <c r="D183">
        <v>7.71</v>
      </c>
      <c r="E183">
        <v>0</v>
      </c>
      <c r="F183">
        <v>4</v>
      </c>
      <c r="G183">
        <v>1</v>
      </c>
      <c r="H183">
        <v>32</v>
      </c>
      <c r="I183">
        <v>0</v>
      </c>
      <c r="J183">
        <v>0</v>
      </c>
      <c r="K183">
        <v>0</v>
      </c>
      <c r="L183">
        <v>30.1</v>
      </c>
      <c r="M183">
        <v>36</v>
      </c>
      <c r="N183">
        <v>30</v>
      </c>
      <c r="O183">
        <v>26</v>
      </c>
      <c r="P183">
        <v>6</v>
      </c>
      <c r="Q183">
        <v>1</v>
      </c>
      <c r="R183">
        <v>16</v>
      </c>
      <c r="S183">
        <v>2</v>
      </c>
      <c r="T183">
        <v>34</v>
      </c>
      <c r="X183">
        <f t="shared" si="2"/>
        <v>0</v>
      </c>
    </row>
    <row r="184" spans="1:24" x14ac:dyDescent="0.25">
      <c r="A184" t="s">
        <v>573</v>
      </c>
      <c r="B184" t="s">
        <v>391</v>
      </c>
      <c r="C184">
        <v>27</v>
      </c>
      <c r="D184">
        <v>5.4</v>
      </c>
      <c r="E184">
        <v>0</v>
      </c>
      <c r="F184">
        <v>0</v>
      </c>
      <c r="G184">
        <v>0</v>
      </c>
      <c r="H184">
        <v>5</v>
      </c>
      <c r="I184">
        <v>0</v>
      </c>
      <c r="J184">
        <v>0</v>
      </c>
      <c r="K184">
        <v>0</v>
      </c>
      <c r="L184">
        <v>3.1</v>
      </c>
      <c r="M184">
        <v>5</v>
      </c>
      <c r="N184">
        <v>2</v>
      </c>
      <c r="O184">
        <v>2</v>
      </c>
      <c r="P184">
        <v>1</v>
      </c>
      <c r="Q184">
        <v>0</v>
      </c>
      <c r="R184">
        <v>1</v>
      </c>
      <c r="S184">
        <v>0</v>
      </c>
      <c r="T184">
        <v>3</v>
      </c>
      <c r="X184">
        <f t="shared" si="2"/>
        <v>0</v>
      </c>
    </row>
    <row r="185" spans="1:24" x14ac:dyDescent="0.25">
      <c r="A185" t="s">
        <v>574</v>
      </c>
      <c r="B185" t="s">
        <v>391</v>
      </c>
      <c r="C185">
        <v>27</v>
      </c>
      <c r="D185">
        <v>2.63</v>
      </c>
      <c r="E185">
        <v>4</v>
      </c>
      <c r="F185">
        <v>5</v>
      </c>
      <c r="G185">
        <v>0</v>
      </c>
      <c r="H185">
        <v>44</v>
      </c>
      <c r="I185">
        <v>1</v>
      </c>
      <c r="J185">
        <v>0</v>
      </c>
      <c r="K185">
        <v>0</v>
      </c>
      <c r="L185">
        <v>54.2</v>
      </c>
      <c r="M185">
        <v>44</v>
      </c>
      <c r="N185">
        <v>18</v>
      </c>
      <c r="O185">
        <v>16</v>
      </c>
      <c r="P185">
        <v>3</v>
      </c>
      <c r="Q185">
        <v>6</v>
      </c>
      <c r="R185">
        <v>21</v>
      </c>
      <c r="S185">
        <v>3</v>
      </c>
      <c r="T185">
        <v>43</v>
      </c>
      <c r="X185">
        <f t="shared" si="2"/>
        <v>0</v>
      </c>
    </row>
    <row r="186" spans="1:24" x14ac:dyDescent="0.25">
      <c r="A186" t="s">
        <v>575</v>
      </c>
      <c r="B186" t="s">
        <v>389</v>
      </c>
      <c r="C186">
        <v>27</v>
      </c>
      <c r="D186">
        <v>8.65</v>
      </c>
      <c r="E186">
        <v>0</v>
      </c>
      <c r="F186">
        <v>3</v>
      </c>
      <c r="G186">
        <v>0</v>
      </c>
      <c r="H186">
        <v>6</v>
      </c>
      <c r="I186">
        <v>6</v>
      </c>
      <c r="J186">
        <v>0</v>
      </c>
      <c r="K186">
        <v>0</v>
      </c>
      <c r="L186">
        <v>26</v>
      </c>
      <c r="M186">
        <v>32</v>
      </c>
      <c r="N186">
        <v>26</v>
      </c>
      <c r="O186">
        <v>25</v>
      </c>
      <c r="P186">
        <v>6</v>
      </c>
      <c r="Q186">
        <v>1</v>
      </c>
      <c r="R186">
        <v>11</v>
      </c>
      <c r="S186">
        <v>0</v>
      </c>
      <c r="T186">
        <v>23</v>
      </c>
      <c r="X186">
        <f t="shared" si="2"/>
        <v>0</v>
      </c>
    </row>
    <row r="187" spans="1:24" x14ac:dyDescent="0.25">
      <c r="A187" t="s">
        <v>576</v>
      </c>
      <c r="B187" t="s">
        <v>391</v>
      </c>
      <c r="C187">
        <v>27</v>
      </c>
      <c r="D187">
        <v>7.18</v>
      </c>
      <c r="E187">
        <v>0</v>
      </c>
      <c r="F187">
        <v>2</v>
      </c>
      <c r="G187">
        <v>0</v>
      </c>
      <c r="H187">
        <v>8</v>
      </c>
      <c r="I187">
        <v>3</v>
      </c>
      <c r="J187">
        <v>0</v>
      </c>
      <c r="K187">
        <v>0</v>
      </c>
      <c r="L187">
        <v>31.1</v>
      </c>
      <c r="M187">
        <v>34</v>
      </c>
      <c r="N187">
        <v>26</v>
      </c>
      <c r="O187">
        <v>25</v>
      </c>
      <c r="P187">
        <v>8</v>
      </c>
      <c r="Q187">
        <v>2</v>
      </c>
      <c r="R187">
        <v>6</v>
      </c>
      <c r="S187">
        <v>0</v>
      </c>
      <c r="T187">
        <v>26</v>
      </c>
      <c r="X187">
        <f t="shared" si="2"/>
        <v>0</v>
      </c>
    </row>
    <row r="188" spans="1:24" x14ac:dyDescent="0.25">
      <c r="A188" t="s">
        <v>577</v>
      </c>
      <c r="B188" t="s">
        <v>389</v>
      </c>
      <c r="C188">
        <v>27</v>
      </c>
      <c r="D188">
        <v>6.33</v>
      </c>
      <c r="E188">
        <v>6</v>
      </c>
      <c r="F188">
        <v>8</v>
      </c>
      <c r="G188">
        <v>0</v>
      </c>
      <c r="H188">
        <v>15</v>
      </c>
      <c r="I188">
        <v>15</v>
      </c>
      <c r="J188">
        <v>0</v>
      </c>
      <c r="K188">
        <v>0</v>
      </c>
      <c r="L188">
        <v>75.099999999999994</v>
      </c>
      <c r="M188">
        <v>96</v>
      </c>
      <c r="N188">
        <v>60</v>
      </c>
      <c r="O188">
        <v>53</v>
      </c>
      <c r="P188">
        <v>16</v>
      </c>
      <c r="Q188">
        <v>3</v>
      </c>
      <c r="R188">
        <v>17</v>
      </c>
      <c r="S188">
        <v>0</v>
      </c>
      <c r="T188">
        <v>62</v>
      </c>
      <c r="X188">
        <f t="shared" si="2"/>
        <v>0</v>
      </c>
    </row>
    <row r="189" spans="1:24" x14ac:dyDescent="0.25">
      <c r="A189" t="s">
        <v>578</v>
      </c>
      <c r="B189" t="s">
        <v>391</v>
      </c>
      <c r="C189">
        <v>27</v>
      </c>
      <c r="D189">
        <v>3.13</v>
      </c>
      <c r="E189">
        <v>0</v>
      </c>
      <c r="F189">
        <v>0</v>
      </c>
      <c r="G189">
        <v>0</v>
      </c>
      <c r="H189">
        <v>17</v>
      </c>
      <c r="I189">
        <v>0</v>
      </c>
      <c r="J189">
        <v>0</v>
      </c>
      <c r="K189">
        <v>0</v>
      </c>
      <c r="L189">
        <v>23</v>
      </c>
      <c r="M189">
        <v>17</v>
      </c>
      <c r="N189">
        <v>8</v>
      </c>
      <c r="O189">
        <v>8</v>
      </c>
      <c r="P189">
        <v>4</v>
      </c>
      <c r="Q189">
        <v>1</v>
      </c>
      <c r="R189">
        <v>7</v>
      </c>
      <c r="S189">
        <v>1</v>
      </c>
      <c r="T189">
        <v>30</v>
      </c>
      <c r="X189">
        <f t="shared" si="2"/>
        <v>0</v>
      </c>
    </row>
    <row r="190" spans="1:24" x14ac:dyDescent="0.25">
      <c r="A190" t="s">
        <v>579</v>
      </c>
      <c r="B190" t="s">
        <v>391</v>
      </c>
      <c r="C190">
        <v>27</v>
      </c>
      <c r="D190">
        <v>4.05</v>
      </c>
      <c r="E190">
        <v>0</v>
      </c>
      <c r="F190">
        <v>0</v>
      </c>
      <c r="G190">
        <v>0</v>
      </c>
      <c r="H190">
        <v>2</v>
      </c>
      <c r="I190">
        <v>0</v>
      </c>
      <c r="J190">
        <v>0</v>
      </c>
      <c r="K190">
        <v>0</v>
      </c>
      <c r="L190">
        <v>6.2</v>
      </c>
      <c r="M190">
        <v>6</v>
      </c>
      <c r="N190">
        <v>3</v>
      </c>
      <c r="O190">
        <v>3</v>
      </c>
      <c r="P190">
        <v>3</v>
      </c>
      <c r="Q190">
        <v>1</v>
      </c>
      <c r="R190">
        <v>1</v>
      </c>
      <c r="S190">
        <v>0</v>
      </c>
      <c r="T190">
        <v>8</v>
      </c>
      <c r="X190">
        <f t="shared" si="2"/>
        <v>0</v>
      </c>
    </row>
    <row r="191" spans="1:24" x14ac:dyDescent="0.25">
      <c r="A191" t="s">
        <v>580</v>
      </c>
      <c r="B191" t="s">
        <v>391</v>
      </c>
      <c r="C191">
        <v>27</v>
      </c>
      <c r="D191">
        <v>27</v>
      </c>
      <c r="E191">
        <v>0</v>
      </c>
      <c r="F191">
        <v>0</v>
      </c>
      <c r="G191">
        <v>0</v>
      </c>
      <c r="H191">
        <v>1</v>
      </c>
      <c r="I191">
        <v>0</v>
      </c>
      <c r="J191">
        <v>0</v>
      </c>
      <c r="K191">
        <v>0</v>
      </c>
      <c r="L191">
        <v>1</v>
      </c>
      <c r="M191">
        <v>3</v>
      </c>
      <c r="N191">
        <v>3</v>
      </c>
      <c r="O191">
        <v>3</v>
      </c>
      <c r="P191">
        <v>0</v>
      </c>
      <c r="Q191">
        <v>0</v>
      </c>
      <c r="R191">
        <v>1</v>
      </c>
      <c r="S191">
        <v>0</v>
      </c>
      <c r="T191">
        <v>2</v>
      </c>
      <c r="X191">
        <f t="shared" si="2"/>
        <v>0</v>
      </c>
    </row>
    <row r="192" spans="1:24" x14ac:dyDescent="0.25">
      <c r="A192" t="s">
        <v>581</v>
      </c>
      <c r="B192" t="s">
        <v>391</v>
      </c>
      <c r="C192">
        <v>27</v>
      </c>
      <c r="D192">
        <v>4.82</v>
      </c>
      <c r="E192">
        <v>0</v>
      </c>
      <c r="F192">
        <v>0</v>
      </c>
      <c r="G192">
        <v>0</v>
      </c>
      <c r="H192">
        <v>7</v>
      </c>
      <c r="I192">
        <v>0</v>
      </c>
      <c r="J192">
        <v>0</v>
      </c>
      <c r="K192">
        <v>0</v>
      </c>
      <c r="L192">
        <v>9.1</v>
      </c>
      <c r="M192">
        <v>9</v>
      </c>
      <c r="N192">
        <v>5</v>
      </c>
      <c r="O192">
        <v>5</v>
      </c>
      <c r="P192">
        <v>1</v>
      </c>
      <c r="Q192">
        <v>0</v>
      </c>
      <c r="R192">
        <v>7</v>
      </c>
      <c r="S192">
        <v>0</v>
      </c>
      <c r="T192">
        <v>10</v>
      </c>
      <c r="X192">
        <f t="shared" si="2"/>
        <v>0</v>
      </c>
    </row>
    <row r="193" spans="1:24" x14ac:dyDescent="0.25">
      <c r="A193" t="s">
        <v>582</v>
      </c>
      <c r="B193" t="s">
        <v>391</v>
      </c>
      <c r="C193">
        <v>27</v>
      </c>
      <c r="D193">
        <v>1.59</v>
      </c>
      <c r="E193">
        <v>0</v>
      </c>
      <c r="F193">
        <v>1</v>
      </c>
      <c r="G193">
        <v>0</v>
      </c>
      <c r="H193">
        <v>10</v>
      </c>
      <c r="I193">
        <v>0</v>
      </c>
      <c r="J193">
        <v>0</v>
      </c>
      <c r="K193">
        <v>0</v>
      </c>
      <c r="L193">
        <v>11.1</v>
      </c>
      <c r="M193">
        <v>11</v>
      </c>
      <c r="N193">
        <v>2</v>
      </c>
      <c r="O193">
        <v>2</v>
      </c>
      <c r="P193">
        <v>1</v>
      </c>
      <c r="Q193">
        <v>0</v>
      </c>
      <c r="R193">
        <v>7</v>
      </c>
      <c r="S193">
        <v>0</v>
      </c>
      <c r="T193">
        <v>10</v>
      </c>
      <c r="X193">
        <f t="shared" si="2"/>
        <v>0</v>
      </c>
    </row>
    <row r="194" spans="1:24" x14ac:dyDescent="0.25">
      <c r="A194" t="s">
        <v>583</v>
      </c>
      <c r="B194" t="s">
        <v>391</v>
      </c>
      <c r="C194">
        <v>27</v>
      </c>
      <c r="D194">
        <v>5.13</v>
      </c>
      <c r="E194">
        <v>1</v>
      </c>
      <c r="F194">
        <v>0</v>
      </c>
      <c r="G194">
        <v>0</v>
      </c>
      <c r="H194">
        <v>29</v>
      </c>
      <c r="I194">
        <v>0</v>
      </c>
      <c r="J194">
        <v>0</v>
      </c>
      <c r="K194">
        <v>0</v>
      </c>
      <c r="L194">
        <v>33.1</v>
      </c>
      <c r="M194">
        <v>36</v>
      </c>
      <c r="N194">
        <v>20</v>
      </c>
      <c r="O194">
        <v>19</v>
      </c>
      <c r="P194">
        <v>6</v>
      </c>
      <c r="Q194">
        <v>6</v>
      </c>
      <c r="R194">
        <v>14</v>
      </c>
      <c r="S194">
        <v>0</v>
      </c>
      <c r="T194">
        <v>23</v>
      </c>
      <c r="X194">
        <f t="shared" si="2"/>
        <v>0</v>
      </c>
    </row>
    <row r="195" spans="1:24" x14ac:dyDescent="0.25">
      <c r="A195" t="s">
        <v>584</v>
      </c>
      <c r="B195" t="s">
        <v>416</v>
      </c>
      <c r="C195">
        <v>27</v>
      </c>
      <c r="D195">
        <v>3</v>
      </c>
      <c r="E195">
        <v>0</v>
      </c>
      <c r="F195">
        <v>1</v>
      </c>
      <c r="G195">
        <v>1</v>
      </c>
      <c r="H195">
        <v>3</v>
      </c>
      <c r="I195">
        <v>0</v>
      </c>
      <c r="J195">
        <v>0</v>
      </c>
      <c r="K195">
        <v>0</v>
      </c>
      <c r="L195">
        <v>3</v>
      </c>
      <c r="M195">
        <v>4</v>
      </c>
      <c r="N195">
        <v>2</v>
      </c>
      <c r="O195">
        <v>1</v>
      </c>
      <c r="P195">
        <v>0</v>
      </c>
      <c r="Q195">
        <v>0</v>
      </c>
      <c r="R195">
        <v>3</v>
      </c>
      <c r="S195">
        <v>0</v>
      </c>
      <c r="T195">
        <v>0</v>
      </c>
      <c r="X195">
        <f t="shared" ref="X195:X258" si="3">(V195*2)+W195</f>
        <v>0</v>
      </c>
    </row>
    <row r="196" spans="1:24" x14ac:dyDescent="0.25">
      <c r="A196" t="s">
        <v>585</v>
      </c>
      <c r="B196" t="s">
        <v>391</v>
      </c>
      <c r="C196">
        <v>27</v>
      </c>
      <c r="D196">
        <v>5.73</v>
      </c>
      <c r="E196">
        <v>0</v>
      </c>
      <c r="F196">
        <v>0</v>
      </c>
      <c r="G196">
        <v>1</v>
      </c>
      <c r="H196">
        <v>12</v>
      </c>
      <c r="I196">
        <v>0</v>
      </c>
      <c r="J196">
        <v>0</v>
      </c>
      <c r="K196">
        <v>0</v>
      </c>
      <c r="L196">
        <v>22</v>
      </c>
      <c r="M196">
        <v>23</v>
      </c>
      <c r="N196">
        <v>14</v>
      </c>
      <c r="O196">
        <v>14</v>
      </c>
      <c r="P196">
        <v>3</v>
      </c>
      <c r="Q196">
        <v>1</v>
      </c>
      <c r="R196">
        <v>10</v>
      </c>
      <c r="S196">
        <v>0</v>
      </c>
      <c r="T196">
        <v>21</v>
      </c>
      <c r="X196">
        <f t="shared" si="3"/>
        <v>0</v>
      </c>
    </row>
    <row r="197" spans="1:24" x14ac:dyDescent="0.25">
      <c r="A197" t="s">
        <v>586</v>
      </c>
      <c r="B197" t="s">
        <v>391</v>
      </c>
      <c r="C197">
        <v>27</v>
      </c>
      <c r="D197">
        <v>4.58</v>
      </c>
      <c r="E197">
        <v>1</v>
      </c>
      <c r="F197">
        <v>0</v>
      </c>
      <c r="G197">
        <v>0</v>
      </c>
      <c r="H197">
        <v>12</v>
      </c>
      <c r="I197">
        <v>0</v>
      </c>
      <c r="J197">
        <v>0</v>
      </c>
      <c r="K197">
        <v>0</v>
      </c>
      <c r="L197">
        <v>17.2</v>
      </c>
      <c r="M197">
        <v>17</v>
      </c>
      <c r="N197">
        <v>10</v>
      </c>
      <c r="O197">
        <v>9</v>
      </c>
      <c r="P197">
        <v>1</v>
      </c>
      <c r="Q197">
        <v>1</v>
      </c>
      <c r="R197">
        <v>8</v>
      </c>
      <c r="S197">
        <v>0</v>
      </c>
      <c r="T197">
        <v>16</v>
      </c>
      <c r="X197">
        <f t="shared" si="3"/>
        <v>0</v>
      </c>
    </row>
    <row r="198" spans="1:24" x14ac:dyDescent="0.25">
      <c r="A198" t="s">
        <v>587</v>
      </c>
      <c r="B198" t="s">
        <v>389</v>
      </c>
      <c r="C198">
        <v>27</v>
      </c>
      <c r="D198">
        <v>4.8899999999999997</v>
      </c>
      <c r="E198">
        <v>3</v>
      </c>
      <c r="F198">
        <v>2</v>
      </c>
      <c r="G198">
        <v>1</v>
      </c>
      <c r="H198">
        <v>10</v>
      </c>
      <c r="I198">
        <v>7</v>
      </c>
      <c r="J198">
        <v>0</v>
      </c>
      <c r="K198">
        <v>0</v>
      </c>
      <c r="L198">
        <v>42.1</v>
      </c>
      <c r="M198">
        <v>40</v>
      </c>
      <c r="N198">
        <v>25</v>
      </c>
      <c r="O198">
        <v>23</v>
      </c>
      <c r="P198">
        <v>10</v>
      </c>
      <c r="Q198">
        <v>2</v>
      </c>
      <c r="R198">
        <v>19</v>
      </c>
      <c r="S198">
        <v>0</v>
      </c>
      <c r="T198">
        <v>42</v>
      </c>
      <c r="X198">
        <f t="shared" si="3"/>
        <v>0</v>
      </c>
    </row>
    <row r="199" spans="1:24" x14ac:dyDescent="0.25">
      <c r="A199" t="s">
        <v>588</v>
      </c>
      <c r="B199" t="s">
        <v>391</v>
      </c>
      <c r="C199">
        <v>27</v>
      </c>
      <c r="D199">
        <v>3.65</v>
      </c>
      <c r="E199">
        <v>3</v>
      </c>
      <c r="F199">
        <v>2</v>
      </c>
      <c r="G199">
        <v>0</v>
      </c>
      <c r="H199">
        <v>24</v>
      </c>
      <c r="I199">
        <v>0</v>
      </c>
      <c r="J199">
        <v>0</v>
      </c>
      <c r="K199">
        <v>0</v>
      </c>
      <c r="L199">
        <v>37</v>
      </c>
      <c r="M199">
        <v>34</v>
      </c>
      <c r="N199">
        <v>15</v>
      </c>
      <c r="O199">
        <v>15</v>
      </c>
      <c r="P199">
        <v>5</v>
      </c>
      <c r="Q199">
        <v>0</v>
      </c>
      <c r="R199">
        <v>5</v>
      </c>
      <c r="S199">
        <v>0</v>
      </c>
      <c r="T199">
        <v>25</v>
      </c>
      <c r="X199">
        <f t="shared" si="3"/>
        <v>0</v>
      </c>
    </row>
    <row r="200" spans="1:24" x14ac:dyDescent="0.25">
      <c r="A200" t="s">
        <v>589</v>
      </c>
      <c r="B200" t="s">
        <v>391</v>
      </c>
      <c r="C200">
        <v>27</v>
      </c>
      <c r="D200">
        <v>10.8</v>
      </c>
      <c r="E200">
        <v>0</v>
      </c>
      <c r="F200">
        <v>1</v>
      </c>
      <c r="G200">
        <v>0</v>
      </c>
      <c r="H200">
        <v>5</v>
      </c>
      <c r="I200">
        <v>0</v>
      </c>
      <c r="J200">
        <v>0</v>
      </c>
      <c r="K200">
        <v>0</v>
      </c>
      <c r="L200">
        <v>6.2</v>
      </c>
      <c r="M200">
        <v>13</v>
      </c>
      <c r="N200">
        <v>9</v>
      </c>
      <c r="O200">
        <v>8</v>
      </c>
      <c r="P200">
        <v>4</v>
      </c>
      <c r="Q200">
        <v>0</v>
      </c>
      <c r="R200">
        <v>2</v>
      </c>
      <c r="S200">
        <v>0</v>
      </c>
      <c r="T200">
        <v>2</v>
      </c>
      <c r="X200">
        <f t="shared" si="3"/>
        <v>0</v>
      </c>
    </row>
    <row r="201" spans="1:24" x14ac:dyDescent="0.25">
      <c r="A201" t="s">
        <v>590</v>
      </c>
      <c r="B201" t="s">
        <v>391</v>
      </c>
      <c r="C201">
        <v>27</v>
      </c>
      <c r="D201">
        <v>1.17</v>
      </c>
      <c r="E201">
        <v>0</v>
      </c>
      <c r="F201">
        <v>1</v>
      </c>
      <c r="G201">
        <v>0</v>
      </c>
      <c r="H201">
        <v>5</v>
      </c>
      <c r="I201">
        <v>0</v>
      </c>
      <c r="J201">
        <v>0</v>
      </c>
      <c r="K201">
        <v>0</v>
      </c>
      <c r="L201">
        <v>7.2</v>
      </c>
      <c r="M201">
        <v>4</v>
      </c>
      <c r="N201">
        <v>2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7</v>
      </c>
      <c r="X201">
        <f t="shared" si="3"/>
        <v>0</v>
      </c>
    </row>
    <row r="202" spans="1:24" x14ac:dyDescent="0.25">
      <c r="A202" t="s">
        <v>591</v>
      </c>
      <c r="B202" t="s">
        <v>391</v>
      </c>
      <c r="C202">
        <v>27</v>
      </c>
      <c r="D202">
        <v>6</v>
      </c>
      <c r="E202">
        <v>0</v>
      </c>
      <c r="F202">
        <v>0</v>
      </c>
      <c r="G202">
        <v>0</v>
      </c>
      <c r="H202">
        <v>2</v>
      </c>
      <c r="I202">
        <v>0</v>
      </c>
      <c r="J202">
        <v>0</v>
      </c>
      <c r="K202">
        <v>0</v>
      </c>
      <c r="L202">
        <v>3</v>
      </c>
      <c r="M202">
        <v>4</v>
      </c>
      <c r="N202">
        <v>2</v>
      </c>
      <c r="O202">
        <v>2</v>
      </c>
      <c r="P202">
        <v>0</v>
      </c>
      <c r="Q202">
        <v>1</v>
      </c>
      <c r="R202">
        <v>1</v>
      </c>
      <c r="S202">
        <v>0</v>
      </c>
      <c r="T202">
        <v>2</v>
      </c>
      <c r="X202">
        <f t="shared" si="3"/>
        <v>0</v>
      </c>
    </row>
    <row r="203" spans="1:24" x14ac:dyDescent="0.25">
      <c r="A203" t="s">
        <v>592</v>
      </c>
      <c r="B203" t="s">
        <v>389</v>
      </c>
      <c r="C203">
        <v>27</v>
      </c>
      <c r="D203">
        <v>4.08</v>
      </c>
      <c r="E203">
        <v>7</v>
      </c>
      <c r="F203">
        <v>7</v>
      </c>
      <c r="G203">
        <v>0</v>
      </c>
      <c r="H203">
        <v>21</v>
      </c>
      <c r="I203">
        <v>17</v>
      </c>
      <c r="J203">
        <v>0</v>
      </c>
      <c r="K203">
        <v>0</v>
      </c>
      <c r="L203">
        <v>92.2</v>
      </c>
      <c r="M203">
        <v>81</v>
      </c>
      <c r="N203">
        <v>47</v>
      </c>
      <c r="O203">
        <v>42</v>
      </c>
      <c r="P203">
        <v>15</v>
      </c>
      <c r="Q203">
        <v>8</v>
      </c>
      <c r="R203">
        <v>37</v>
      </c>
      <c r="S203">
        <v>0</v>
      </c>
      <c r="T203">
        <v>113</v>
      </c>
      <c r="X203">
        <f t="shared" si="3"/>
        <v>0</v>
      </c>
    </row>
    <row r="204" spans="1:24" x14ac:dyDescent="0.25">
      <c r="A204" t="s">
        <v>593</v>
      </c>
      <c r="B204" t="s">
        <v>391</v>
      </c>
      <c r="C204">
        <v>27</v>
      </c>
      <c r="D204">
        <v>12</v>
      </c>
      <c r="E204">
        <v>0</v>
      </c>
      <c r="F204">
        <v>0</v>
      </c>
      <c r="G204">
        <v>0</v>
      </c>
      <c r="H204">
        <v>6</v>
      </c>
      <c r="I204">
        <v>0</v>
      </c>
      <c r="J204">
        <v>0</v>
      </c>
      <c r="K204">
        <v>0</v>
      </c>
      <c r="L204">
        <v>6</v>
      </c>
      <c r="M204">
        <v>10</v>
      </c>
      <c r="N204">
        <v>8</v>
      </c>
      <c r="O204">
        <v>8</v>
      </c>
      <c r="P204">
        <v>3</v>
      </c>
      <c r="Q204">
        <v>0</v>
      </c>
      <c r="R204">
        <v>5</v>
      </c>
      <c r="S204">
        <v>1</v>
      </c>
      <c r="T204">
        <v>7</v>
      </c>
      <c r="X204">
        <f t="shared" si="3"/>
        <v>0</v>
      </c>
    </row>
    <row r="205" spans="1:24" x14ac:dyDescent="0.25">
      <c r="A205" t="s">
        <v>594</v>
      </c>
      <c r="B205" t="s">
        <v>391</v>
      </c>
      <c r="C205">
        <v>27</v>
      </c>
      <c r="D205">
        <v>5.52</v>
      </c>
      <c r="E205">
        <v>0</v>
      </c>
      <c r="F205">
        <v>0</v>
      </c>
      <c r="G205">
        <v>0</v>
      </c>
      <c r="H205">
        <v>9</v>
      </c>
      <c r="I205">
        <v>0</v>
      </c>
      <c r="J205">
        <v>0</v>
      </c>
      <c r="K205">
        <v>0</v>
      </c>
      <c r="L205">
        <v>14.2</v>
      </c>
      <c r="M205">
        <v>15</v>
      </c>
      <c r="N205">
        <v>9</v>
      </c>
      <c r="O205">
        <v>9</v>
      </c>
      <c r="P205">
        <v>1</v>
      </c>
      <c r="Q205">
        <v>0</v>
      </c>
      <c r="R205">
        <v>5</v>
      </c>
      <c r="S205">
        <v>1</v>
      </c>
      <c r="T205">
        <v>13</v>
      </c>
      <c r="X205">
        <f t="shared" si="3"/>
        <v>0</v>
      </c>
    </row>
    <row r="206" spans="1:24" x14ac:dyDescent="0.25">
      <c r="A206" t="s">
        <v>595</v>
      </c>
      <c r="B206" t="s">
        <v>391</v>
      </c>
      <c r="C206">
        <v>27</v>
      </c>
      <c r="D206">
        <v>11.12</v>
      </c>
      <c r="E206">
        <v>0</v>
      </c>
      <c r="F206">
        <v>0</v>
      </c>
      <c r="G206">
        <v>0</v>
      </c>
      <c r="H206">
        <v>4</v>
      </c>
      <c r="I206">
        <v>0</v>
      </c>
      <c r="J206">
        <v>0</v>
      </c>
      <c r="K206">
        <v>0</v>
      </c>
      <c r="L206">
        <v>5.2</v>
      </c>
      <c r="M206">
        <v>7</v>
      </c>
      <c r="N206">
        <v>7</v>
      </c>
      <c r="O206">
        <v>7</v>
      </c>
      <c r="P206">
        <v>1</v>
      </c>
      <c r="Q206">
        <v>0</v>
      </c>
      <c r="R206">
        <v>7</v>
      </c>
      <c r="S206">
        <v>0</v>
      </c>
      <c r="T206">
        <v>4</v>
      </c>
      <c r="X206">
        <f t="shared" si="3"/>
        <v>0</v>
      </c>
    </row>
    <row r="207" spans="1:24" x14ac:dyDescent="0.25">
      <c r="A207" t="s">
        <v>596</v>
      </c>
      <c r="B207" t="s">
        <v>391</v>
      </c>
      <c r="C207">
        <v>27</v>
      </c>
      <c r="D207">
        <v>1.5</v>
      </c>
      <c r="E207">
        <v>4</v>
      </c>
      <c r="F207">
        <v>1</v>
      </c>
      <c r="G207">
        <v>0</v>
      </c>
      <c r="H207">
        <v>36</v>
      </c>
      <c r="I207">
        <v>0</v>
      </c>
      <c r="J207">
        <v>0</v>
      </c>
      <c r="K207">
        <v>0</v>
      </c>
      <c r="L207">
        <v>30</v>
      </c>
      <c r="M207">
        <v>24</v>
      </c>
      <c r="N207">
        <v>5</v>
      </c>
      <c r="O207">
        <v>5</v>
      </c>
      <c r="P207">
        <v>0</v>
      </c>
      <c r="Q207">
        <v>3</v>
      </c>
      <c r="R207">
        <v>20</v>
      </c>
      <c r="S207">
        <v>4</v>
      </c>
      <c r="T207">
        <v>22</v>
      </c>
      <c r="X207">
        <f t="shared" si="3"/>
        <v>0</v>
      </c>
    </row>
    <row r="208" spans="1:24" x14ac:dyDescent="0.25">
      <c r="A208" t="s">
        <v>597</v>
      </c>
      <c r="B208" t="s">
        <v>391</v>
      </c>
      <c r="C208">
        <v>27</v>
      </c>
      <c r="D208">
        <v>9.82</v>
      </c>
      <c r="E208">
        <v>0</v>
      </c>
      <c r="F208">
        <v>0</v>
      </c>
      <c r="G208">
        <v>0</v>
      </c>
      <c r="H208">
        <v>1</v>
      </c>
      <c r="I208">
        <v>0</v>
      </c>
      <c r="J208">
        <v>0</v>
      </c>
      <c r="K208">
        <v>0</v>
      </c>
      <c r="L208">
        <v>3.2</v>
      </c>
      <c r="M208">
        <v>9</v>
      </c>
      <c r="N208">
        <v>4</v>
      </c>
      <c r="O208">
        <v>4</v>
      </c>
      <c r="P208">
        <v>0</v>
      </c>
      <c r="Q208">
        <v>0</v>
      </c>
      <c r="R208">
        <v>1</v>
      </c>
      <c r="S208">
        <v>0</v>
      </c>
      <c r="T208">
        <v>4</v>
      </c>
      <c r="X208">
        <f t="shared" si="3"/>
        <v>0</v>
      </c>
    </row>
    <row r="209" spans="1:24" x14ac:dyDescent="0.25">
      <c r="A209" t="s">
        <v>598</v>
      </c>
      <c r="B209" t="s">
        <v>391</v>
      </c>
      <c r="C209">
        <v>27</v>
      </c>
      <c r="D209">
        <v>3.12</v>
      </c>
      <c r="E209">
        <v>3</v>
      </c>
      <c r="F209">
        <v>0</v>
      </c>
      <c r="G209">
        <v>0</v>
      </c>
      <c r="H209">
        <v>23</v>
      </c>
      <c r="I209">
        <v>0</v>
      </c>
      <c r="J209">
        <v>0</v>
      </c>
      <c r="K209">
        <v>0</v>
      </c>
      <c r="L209">
        <v>34.200000000000003</v>
      </c>
      <c r="M209">
        <v>21</v>
      </c>
      <c r="N209">
        <v>12</v>
      </c>
      <c r="O209">
        <v>12</v>
      </c>
      <c r="P209">
        <v>4</v>
      </c>
      <c r="Q209">
        <v>5</v>
      </c>
      <c r="R209">
        <v>20</v>
      </c>
      <c r="S209">
        <v>1</v>
      </c>
      <c r="T209">
        <v>30</v>
      </c>
      <c r="X209">
        <f t="shared" si="3"/>
        <v>0</v>
      </c>
    </row>
    <row r="210" spans="1:24" x14ac:dyDescent="0.25">
      <c r="A210" t="s">
        <v>599</v>
      </c>
      <c r="B210" t="s">
        <v>391</v>
      </c>
      <c r="C210">
        <v>27</v>
      </c>
      <c r="D210">
        <v>6.98</v>
      </c>
      <c r="E210">
        <v>1</v>
      </c>
      <c r="F210">
        <v>1</v>
      </c>
      <c r="G210">
        <v>0</v>
      </c>
      <c r="H210">
        <v>23</v>
      </c>
      <c r="I210">
        <v>2</v>
      </c>
      <c r="J210">
        <v>0</v>
      </c>
      <c r="K210">
        <v>0</v>
      </c>
      <c r="L210">
        <v>38.200000000000003</v>
      </c>
      <c r="M210">
        <v>43</v>
      </c>
      <c r="N210">
        <v>30</v>
      </c>
      <c r="O210">
        <v>30</v>
      </c>
      <c r="P210">
        <v>9</v>
      </c>
      <c r="Q210">
        <v>3</v>
      </c>
      <c r="R210">
        <v>17</v>
      </c>
      <c r="S210">
        <v>0</v>
      </c>
      <c r="T210">
        <v>30</v>
      </c>
      <c r="X210">
        <f t="shared" si="3"/>
        <v>0</v>
      </c>
    </row>
    <row r="211" spans="1:24" x14ac:dyDescent="0.25">
      <c r="A211" t="s">
        <v>600</v>
      </c>
      <c r="B211" t="s">
        <v>391</v>
      </c>
      <c r="C211">
        <v>27</v>
      </c>
      <c r="D211">
        <v>3.02</v>
      </c>
      <c r="E211">
        <v>1</v>
      </c>
      <c r="F211">
        <v>1</v>
      </c>
      <c r="G211">
        <v>3</v>
      </c>
      <c r="H211">
        <v>33</v>
      </c>
      <c r="I211">
        <v>0</v>
      </c>
      <c r="J211">
        <v>0</v>
      </c>
      <c r="K211">
        <v>0</v>
      </c>
      <c r="L211">
        <v>41.2</v>
      </c>
      <c r="M211">
        <v>38</v>
      </c>
      <c r="N211">
        <v>16</v>
      </c>
      <c r="O211">
        <v>14</v>
      </c>
      <c r="P211">
        <v>4</v>
      </c>
      <c r="Q211">
        <v>3</v>
      </c>
      <c r="R211">
        <v>19</v>
      </c>
      <c r="S211">
        <v>1</v>
      </c>
      <c r="T211">
        <v>40</v>
      </c>
      <c r="X211">
        <f t="shared" si="3"/>
        <v>0</v>
      </c>
    </row>
    <row r="212" spans="1:24" x14ac:dyDescent="0.25">
      <c r="A212" t="s">
        <v>601</v>
      </c>
      <c r="B212" t="s">
        <v>389</v>
      </c>
      <c r="C212">
        <v>27</v>
      </c>
      <c r="D212">
        <v>3.57</v>
      </c>
      <c r="E212">
        <v>2</v>
      </c>
      <c r="F212">
        <v>1</v>
      </c>
      <c r="G212">
        <v>0</v>
      </c>
      <c r="H212">
        <v>9</v>
      </c>
      <c r="I212">
        <v>9</v>
      </c>
      <c r="J212">
        <v>0</v>
      </c>
      <c r="K212">
        <v>0</v>
      </c>
      <c r="L212">
        <v>40.1</v>
      </c>
      <c r="M212">
        <v>26</v>
      </c>
      <c r="N212">
        <v>17</v>
      </c>
      <c r="O212">
        <v>16</v>
      </c>
      <c r="P212">
        <v>6</v>
      </c>
      <c r="Q212">
        <v>3</v>
      </c>
      <c r="R212">
        <v>23</v>
      </c>
      <c r="S212">
        <v>0</v>
      </c>
      <c r="T212">
        <v>42</v>
      </c>
      <c r="X212">
        <f t="shared" si="3"/>
        <v>0</v>
      </c>
    </row>
    <row r="213" spans="1:24" x14ac:dyDescent="0.25">
      <c r="A213" t="s">
        <v>602</v>
      </c>
      <c r="B213" t="s">
        <v>391</v>
      </c>
      <c r="C213">
        <v>27</v>
      </c>
      <c r="D213">
        <v>7.59</v>
      </c>
      <c r="E213">
        <v>0</v>
      </c>
      <c r="F213">
        <v>1</v>
      </c>
      <c r="G213">
        <v>0</v>
      </c>
      <c r="H213">
        <v>5</v>
      </c>
      <c r="I213">
        <v>0</v>
      </c>
      <c r="J213">
        <v>0</v>
      </c>
      <c r="K213">
        <v>0</v>
      </c>
      <c r="L213">
        <v>10.199999999999999</v>
      </c>
      <c r="M213">
        <v>14</v>
      </c>
      <c r="N213">
        <v>12</v>
      </c>
      <c r="O213">
        <v>9</v>
      </c>
      <c r="P213">
        <v>0</v>
      </c>
      <c r="Q213">
        <v>0</v>
      </c>
      <c r="R213">
        <v>6</v>
      </c>
      <c r="S213">
        <v>3</v>
      </c>
      <c r="T213">
        <v>8</v>
      </c>
      <c r="X213">
        <f t="shared" si="3"/>
        <v>0</v>
      </c>
    </row>
    <row r="214" spans="1:24" x14ac:dyDescent="0.25">
      <c r="A214" t="s">
        <v>603</v>
      </c>
      <c r="B214" t="s">
        <v>391</v>
      </c>
      <c r="C214">
        <v>27</v>
      </c>
      <c r="D214">
        <v>2.78</v>
      </c>
      <c r="E214">
        <v>2</v>
      </c>
      <c r="F214">
        <v>1</v>
      </c>
      <c r="G214">
        <v>4</v>
      </c>
      <c r="H214">
        <v>54</v>
      </c>
      <c r="I214">
        <v>1</v>
      </c>
      <c r="J214">
        <v>0</v>
      </c>
      <c r="K214">
        <v>0</v>
      </c>
      <c r="L214">
        <v>77.2</v>
      </c>
      <c r="M214">
        <v>65</v>
      </c>
      <c r="N214">
        <v>26</v>
      </c>
      <c r="O214">
        <v>24</v>
      </c>
      <c r="P214">
        <v>8</v>
      </c>
      <c r="Q214">
        <v>2</v>
      </c>
      <c r="R214">
        <v>24</v>
      </c>
      <c r="S214">
        <v>0</v>
      </c>
      <c r="T214">
        <v>52</v>
      </c>
      <c r="X214">
        <f t="shared" si="3"/>
        <v>0</v>
      </c>
    </row>
    <row r="215" spans="1:24" x14ac:dyDescent="0.25">
      <c r="A215" t="s">
        <v>604</v>
      </c>
      <c r="B215" t="s">
        <v>391</v>
      </c>
      <c r="C215">
        <v>27</v>
      </c>
      <c r="D215">
        <v>4.45</v>
      </c>
      <c r="E215">
        <v>2</v>
      </c>
      <c r="F215">
        <v>0</v>
      </c>
      <c r="G215">
        <v>0</v>
      </c>
      <c r="H215">
        <v>32</v>
      </c>
      <c r="I215">
        <v>0</v>
      </c>
      <c r="J215">
        <v>0</v>
      </c>
      <c r="K215">
        <v>0</v>
      </c>
      <c r="L215">
        <v>28.1</v>
      </c>
      <c r="M215">
        <v>22</v>
      </c>
      <c r="N215">
        <v>16</v>
      </c>
      <c r="O215">
        <v>14</v>
      </c>
      <c r="P215">
        <v>7</v>
      </c>
      <c r="Q215">
        <v>2</v>
      </c>
      <c r="R215">
        <v>17</v>
      </c>
      <c r="S215">
        <v>0</v>
      </c>
      <c r="T215">
        <v>34</v>
      </c>
      <c r="X215">
        <f t="shared" si="3"/>
        <v>0</v>
      </c>
    </row>
    <row r="216" spans="1:24" x14ac:dyDescent="0.25">
      <c r="A216" t="s">
        <v>605</v>
      </c>
      <c r="B216" t="s">
        <v>391</v>
      </c>
      <c r="C216">
        <v>27</v>
      </c>
      <c r="D216">
        <v>27</v>
      </c>
      <c r="E216">
        <v>0</v>
      </c>
      <c r="F216">
        <v>0</v>
      </c>
      <c r="G216">
        <v>0</v>
      </c>
      <c r="H216">
        <v>1</v>
      </c>
      <c r="I216">
        <v>0</v>
      </c>
      <c r="J216">
        <v>0</v>
      </c>
      <c r="K216">
        <v>0</v>
      </c>
      <c r="L216">
        <v>0.2</v>
      </c>
      <c r="M216">
        <v>2</v>
      </c>
      <c r="N216">
        <v>2</v>
      </c>
      <c r="O216">
        <v>2</v>
      </c>
      <c r="P216">
        <v>0</v>
      </c>
      <c r="Q216">
        <v>0</v>
      </c>
      <c r="R216">
        <v>2</v>
      </c>
      <c r="S216">
        <v>0</v>
      </c>
      <c r="T216">
        <v>1</v>
      </c>
      <c r="X216">
        <f t="shared" si="3"/>
        <v>0</v>
      </c>
    </row>
    <row r="217" spans="1:24" x14ac:dyDescent="0.25">
      <c r="A217" t="s">
        <v>606</v>
      </c>
      <c r="B217" t="s">
        <v>391</v>
      </c>
      <c r="C217">
        <v>27</v>
      </c>
      <c r="D217">
        <v>14.4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5</v>
      </c>
      <c r="M217">
        <v>10</v>
      </c>
      <c r="N217">
        <v>8</v>
      </c>
      <c r="O217">
        <v>8</v>
      </c>
      <c r="P217">
        <v>1</v>
      </c>
      <c r="Q217">
        <v>0</v>
      </c>
      <c r="R217">
        <v>1</v>
      </c>
      <c r="S217">
        <v>0</v>
      </c>
      <c r="T217">
        <v>4</v>
      </c>
      <c r="X217">
        <f t="shared" si="3"/>
        <v>0</v>
      </c>
    </row>
    <row r="218" spans="1:24" x14ac:dyDescent="0.25">
      <c r="A218" t="s">
        <v>607</v>
      </c>
      <c r="B218" t="s">
        <v>391</v>
      </c>
      <c r="C218">
        <v>27</v>
      </c>
      <c r="D218">
        <v>2.4500000000000002</v>
      </c>
      <c r="E218">
        <v>0</v>
      </c>
      <c r="F218">
        <v>0</v>
      </c>
      <c r="G218">
        <v>1</v>
      </c>
      <c r="H218">
        <v>5</v>
      </c>
      <c r="I218">
        <v>0</v>
      </c>
      <c r="J218">
        <v>0</v>
      </c>
      <c r="K218">
        <v>0</v>
      </c>
      <c r="L218">
        <v>11</v>
      </c>
      <c r="M218">
        <v>10</v>
      </c>
      <c r="N218">
        <v>3</v>
      </c>
      <c r="O218">
        <v>3</v>
      </c>
      <c r="P218">
        <v>1</v>
      </c>
      <c r="Q218">
        <v>0</v>
      </c>
      <c r="R218">
        <v>6</v>
      </c>
      <c r="S218">
        <v>0</v>
      </c>
      <c r="T218">
        <v>8</v>
      </c>
      <c r="X218">
        <f t="shared" si="3"/>
        <v>0</v>
      </c>
    </row>
    <row r="219" spans="1:24" x14ac:dyDescent="0.25">
      <c r="A219" t="s">
        <v>608</v>
      </c>
      <c r="B219" t="s">
        <v>391</v>
      </c>
      <c r="C219">
        <v>27</v>
      </c>
      <c r="D219">
        <v>5.33</v>
      </c>
      <c r="E219">
        <v>0</v>
      </c>
      <c r="F219">
        <v>1</v>
      </c>
      <c r="G219">
        <v>0</v>
      </c>
      <c r="H219">
        <v>19</v>
      </c>
      <c r="I219">
        <v>1</v>
      </c>
      <c r="J219">
        <v>0</v>
      </c>
      <c r="K219">
        <v>0</v>
      </c>
      <c r="L219">
        <v>27</v>
      </c>
      <c r="M219">
        <v>20</v>
      </c>
      <c r="N219">
        <v>16</v>
      </c>
      <c r="O219">
        <v>16</v>
      </c>
      <c r="P219">
        <v>4</v>
      </c>
      <c r="Q219">
        <v>3</v>
      </c>
      <c r="R219">
        <v>17</v>
      </c>
      <c r="S219">
        <v>0</v>
      </c>
      <c r="T219">
        <v>25</v>
      </c>
      <c r="X219">
        <f t="shared" si="3"/>
        <v>0</v>
      </c>
    </row>
    <row r="220" spans="1:24" x14ac:dyDescent="0.25">
      <c r="A220" t="s">
        <v>609</v>
      </c>
      <c r="B220" t="s">
        <v>391</v>
      </c>
      <c r="C220">
        <v>27</v>
      </c>
      <c r="D220">
        <v>7.03</v>
      </c>
      <c r="E220">
        <v>0</v>
      </c>
      <c r="F220">
        <v>0</v>
      </c>
      <c r="G220">
        <v>0</v>
      </c>
      <c r="H220">
        <v>22</v>
      </c>
      <c r="I220">
        <v>0</v>
      </c>
      <c r="J220">
        <v>0</v>
      </c>
      <c r="K220">
        <v>0</v>
      </c>
      <c r="L220">
        <v>24.1</v>
      </c>
      <c r="M220">
        <v>28</v>
      </c>
      <c r="N220">
        <v>19</v>
      </c>
      <c r="O220">
        <v>19</v>
      </c>
      <c r="P220">
        <v>6</v>
      </c>
      <c r="Q220">
        <v>1</v>
      </c>
      <c r="R220">
        <v>17</v>
      </c>
      <c r="S220">
        <v>0</v>
      </c>
      <c r="T220">
        <v>25</v>
      </c>
      <c r="X220">
        <f t="shared" si="3"/>
        <v>0</v>
      </c>
    </row>
    <row r="221" spans="1:24" x14ac:dyDescent="0.25">
      <c r="A221" t="s">
        <v>610</v>
      </c>
      <c r="B221" t="s">
        <v>391</v>
      </c>
      <c r="C221">
        <v>27</v>
      </c>
      <c r="D221">
        <v>6</v>
      </c>
      <c r="E221">
        <v>1</v>
      </c>
      <c r="F221">
        <v>0</v>
      </c>
      <c r="G221">
        <v>0</v>
      </c>
      <c r="H221">
        <v>10</v>
      </c>
      <c r="I221">
        <v>0</v>
      </c>
      <c r="J221">
        <v>0</v>
      </c>
      <c r="K221">
        <v>0</v>
      </c>
      <c r="L221">
        <v>9</v>
      </c>
      <c r="M221">
        <v>10</v>
      </c>
      <c r="N221">
        <v>6</v>
      </c>
      <c r="O221">
        <v>6</v>
      </c>
      <c r="P221">
        <v>3</v>
      </c>
      <c r="Q221">
        <v>1</v>
      </c>
      <c r="R221">
        <v>2</v>
      </c>
      <c r="S221">
        <v>0</v>
      </c>
      <c r="T221">
        <v>6</v>
      </c>
      <c r="X221">
        <f t="shared" si="3"/>
        <v>0</v>
      </c>
    </row>
    <row r="222" spans="1:24" x14ac:dyDescent="0.25">
      <c r="A222" t="s">
        <v>611</v>
      </c>
      <c r="B222" t="s">
        <v>391</v>
      </c>
      <c r="C222">
        <v>27</v>
      </c>
      <c r="D222">
        <v>9.15</v>
      </c>
      <c r="E222">
        <v>0</v>
      </c>
      <c r="F222">
        <v>2</v>
      </c>
      <c r="G222">
        <v>0</v>
      </c>
      <c r="H222">
        <v>7</v>
      </c>
      <c r="I222">
        <v>2</v>
      </c>
      <c r="J222">
        <v>0</v>
      </c>
      <c r="K222">
        <v>0</v>
      </c>
      <c r="L222">
        <v>19.2</v>
      </c>
      <c r="M222">
        <v>26</v>
      </c>
      <c r="N222">
        <v>20</v>
      </c>
      <c r="O222">
        <v>20</v>
      </c>
      <c r="P222">
        <v>9</v>
      </c>
      <c r="Q222">
        <v>1</v>
      </c>
      <c r="R222">
        <v>7</v>
      </c>
      <c r="S222">
        <v>0</v>
      </c>
      <c r="T222">
        <v>18</v>
      </c>
      <c r="X222">
        <f t="shared" si="3"/>
        <v>0</v>
      </c>
    </row>
    <row r="223" spans="1:24" x14ac:dyDescent="0.25">
      <c r="A223" t="s">
        <v>612</v>
      </c>
      <c r="B223" t="s">
        <v>391</v>
      </c>
      <c r="C223">
        <v>27</v>
      </c>
      <c r="D223">
        <v>7.02</v>
      </c>
      <c r="E223">
        <v>1</v>
      </c>
      <c r="F223">
        <v>0</v>
      </c>
      <c r="G223">
        <v>0</v>
      </c>
      <c r="H223">
        <v>31</v>
      </c>
      <c r="I223">
        <v>1</v>
      </c>
      <c r="J223">
        <v>0</v>
      </c>
      <c r="K223">
        <v>0</v>
      </c>
      <c r="L223">
        <v>42.1</v>
      </c>
      <c r="M223">
        <v>55</v>
      </c>
      <c r="N223">
        <v>35</v>
      </c>
      <c r="O223">
        <v>33</v>
      </c>
      <c r="P223">
        <v>11</v>
      </c>
      <c r="Q223">
        <v>0</v>
      </c>
      <c r="R223">
        <v>20</v>
      </c>
      <c r="S223">
        <v>0</v>
      </c>
      <c r="T223">
        <v>25</v>
      </c>
      <c r="X223">
        <f t="shared" si="3"/>
        <v>0</v>
      </c>
    </row>
    <row r="224" spans="1:24" x14ac:dyDescent="0.25">
      <c r="A224" t="s">
        <v>613</v>
      </c>
      <c r="B224" t="s">
        <v>391</v>
      </c>
      <c r="C224">
        <v>27</v>
      </c>
      <c r="D224">
        <v>1.24</v>
      </c>
      <c r="E224">
        <v>2</v>
      </c>
      <c r="F224">
        <v>1</v>
      </c>
      <c r="G224">
        <v>3</v>
      </c>
      <c r="H224">
        <v>28</v>
      </c>
      <c r="I224">
        <v>0</v>
      </c>
      <c r="J224">
        <v>0</v>
      </c>
      <c r="K224">
        <v>0</v>
      </c>
      <c r="L224">
        <v>29</v>
      </c>
      <c r="M224">
        <v>19</v>
      </c>
      <c r="N224">
        <v>5</v>
      </c>
      <c r="O224">
        <v>4</v>
      </c>
      <c r="P224">
        <v>1</v>
      </c>
      <c r="Q224">
        <v>0</v>
      </c>
      <c r="R224">
        <v>10</v>
      </c>
      <c r="S224">
        <v>1</v>
      </c>
      <c r="T224">
        <v>19</v>
      </c>
      <c r="X224">
        <f t="shared" si="3"/>
        <v>0</v>
      </c>
    </row>
    <row r="225" spans="1:24" x14ac:dyDescent="0.25">
      <c r="A225" t="s">
        <v>614</v>
      </c>
      <c r="B225" t="s">
        <v>391</v>
      </c>
      <c r="C225">
        <v>27</v>
      </c>
      <c r="D225">
        <v>1.84</v>
      </c>
      <c r="E225">
        <v>0</v>
      </c>
      <c r="F225">
        <v>1</v>
      </c>
      <c r="G225">
        <v>0</v>
      </c>
      <c r="H225">
        <v>33</v>
      </c>
      <c r="I225">
        <v>0</v>
      </c>
      <c r="J225">
        <v>0</v>
      </c>
      <c r="K225">
        <v>0</v>
      </c>
      <c r="L225">
        <v>29.1</v>
      </c>
      <c r="M225">
        <v>14</v>
      </c>
      <c r="N225">
        <v>8</v>
      </c>
      <c r="O225">
        <v>6</v>
      </c>
      <c r="P225">
        <v>2</v>
      </c>
      <c r="Q225">
        <v>3</v>
      </c>
      <c r="R225">
        <v>21</v>
      </c>
      <c r="S225">
        <v>0</v>
      </c>
      <c r="T225">
        <v>42</v>
      </c>
      <c r="X225">
        <f t="shared" si="3"/>
        <v>0</v>
      </c>
    </row>
    <row r="226" spans="1:24" x14ac:dyDescent="0.25">
      <c r="A226" t="s">
        <v>615</v>
      </c>
      <c r="B226" t="s">
        <v>391</v>
      </c>
      <c r="C226">
        <v>27</v>
      </c>
      <c r="D226">
        <v>8.3800000000000008</v>
      </c>
      <c r="E226">
        <v>0</v>
      </c>
      <c r="F226">
        <v>1</v>
      </c>
      <c r="G226">
        <v>0</v>
      </c>
      <c r="H226">
        <v>30</v>
      </c>
      <c r="I226">
        <v>0</v>
      </c>
      <c r="J226">
        <v>0</v>
      </c>
      <c r="K226">
        <v>0</v>
      </c>
      <c r="L226">
        <v>29</v>
      </c>
      <c r="M226">
        <v>47</v>
      </c>
      <c r="N226">
        <v>29</v>
      </c>
      <c r="O226">
        <v>27</v>
      </c>
      <c r="P226">
        <v>7</v>
      </c>
      <c r="Q226">
        <v>1</v>
      </c>
      <c r="R226">
        <v>16</v>
      </c>
      <c r="S226">
        <v>0</v>
      </c>
      <c r="T226">
        <v>23</v>
      </c>
      <c r="X226">
        <f t="shared" si="3"/>
        <v>0</v>
      </c>
    </row>
    <row r="227" spans="1:24" x14ac:dyDescent="0.25">
      <c r="A227" t="s">
        <v>616</v>
      </c>
      <c r="B227" t="s">
        <v>391</v>
      </c>
      <c r="C227">
        <v>27</v>
      </c>
      <c r="D227">
        <v>4.5</v>
      </c>
      <c r="E227">
        <v>4</v>
      </c>
      <c r="F227">
        <v>6</v>
      </c>
      <c r="G227">
        <v>3</v>
      </c>
      <c r="H227">
        <v>69</v>
      </c>
      <c r="I227">
        <v>3</v>
      </c>
      <c r="J227">
        <v>0</v>
      </c>
      <c r="K227">
        <v>0</v>
      </c>
      <c r="L227">
        <v>72</v>
      </c>
      <c r="M227">
        <v>65</v>
      </c>
      <c r="N227">
        <v>41</v>
      </c>
      <c r="O227">
        <v>36</v>
      </c>
      <c r="P227">
        <v>7</v>
      </c>
      <c r="Q227">
        <v>4</v>
      </c>
      <c r="R227">
        <v>19</v>
      </c>
      <c r="S227">
        <v>2</v>
      </c>
      <c r="T227">
        <v>64</v>
      </c>
      <c r="X227">
        <f t="shared" si="3"/>
        <v>0</v>
      </c>
    </row>
    <row r="228" spans="1:24" x14ac:dyDescent="0.25">
      <c r="A228" t="s">
        <v>617</v>
      </c>
      <c r="B228" t="s">
        <v>391</v>
      </c>
      <c r="C228">
        <v>27</v>
      </c>
      <c r="D228">
        <v>4.38</v>
      </c>
      <c r="E228">
        <v>0</v>
      </c>
      <c r="F228">
        <v>0</v>
      </c>
      <c r="G228">
        <v>0</v>
      </c>
      <c r="H228">
        <v>13</v>
      </c>
      <c r="I228">
        <v>2</v>
      </c>
      <c r="J228">
        <v>0</v>
      </c>
      <c r="K228">
        <v>0</v>
      </c>
      <c r="L228">
        <v>24.2</v>
      </c>
      <c r="M228">
        <v>27</v>
      </c>
      <c r="N228">
        <v>16</v>
      </c>
      <c r="O228">
        <v>12</v>
      </c>
      <c r="P228">
        <v>4</v>
      </c>
      <c r="Q228">
        <v>1</v>
      </c>
      <c r="R228">
        <v>8</v>
      </c>
      <c r="S228">
        <v>0</v>
      </c>
      <c r="T228">
        <v>28</v>
      </c>
      <c r="X228">
        <f t="shared" si="3"/>
        <v>0</v>
      </c>
    </row>
    <row r="229" spans="1:24" x14ac:dyDescent="0.25">
      <c r="A229" t="s">
        <v>618</v>
      </c>
      <c r="B229" t="s">
        <v>391</v>
      </c>
      <c r="C229">
        <v>27</v>
      </c>
      <c r="D229">
        <v>3.21</v>
      </c>
      <c r="E229">
        <v>0</v>
      </c>
      <c r="F229">
        <v>2</v>
      </c>
      <c r="G229">
        <v>0</v>
      </c>
      <c r="H229">
        <v>11</v>
      </c>
      <c r="I229">
        <v>0</v>
      </c>
      <c r="J229">
        <v>0</v>
      </c>
      <c r="K229">
        <v>0</v>
      </c>
      <c r="L229">
        <v>14</v>
      </c>
      <c r="M229">
        <v>16</v>
      </c>
      <c r="N229">
        <v>5</v>
      </c>
      <c r="O229">
        <v>5</v>
      </c>
      <c r="P229">
        <v>2</v>
      </c>
      <c r="Q229">
        <v>0</v>
      </c>
      <c r="R229">
        <v>2</v>
      </c>
      <c r="S229">
        <v>0</v>
      </c>
      <c r="T229">
        <v>14</v>
      </c>
      <c r="X229">
        <f t="shared" si="3"/>
        <v>0</v>
      </c>
    </row>
    <row r="230" spans="1:24" x14ac:dyDescent="0.25">
      <c r="A230" t="s">
        <v>619</v>
      </c>
      <c r="B230" t="s">
        <v>391</v>
      </c>
      <c r="C230">
        <v>27</v>
      </c>
      <c r="D230">
        <v>7.34</v>
      </c>
      <c r="E230">
        <v>4</v>
      </c>
      <c r="F230">
        <v>2</v>
      </c>
      <c r="G230">
        <v>0</v>
      </c>
      <c r="H230">
        <v>31</v>
      </c>
      <c r="I230">
        <v>0</v>
      </c>
      <c r="J230">
        <v>0</v>
      </c>
      <c r="K230">
        <v>0</v>
      </c>
      <c r="L230">
        <v>30.2</v>
      </c>
      <c r="M230">
        <v>34</v>
      </c>
      <c r="N230">
        <v>28</v>
      </c>
      <c r="O230">
        <v>25</v>
      </c>
      <c r="P230">
        <v>5</v>
      </c>
      <c r="Q230">
        <v>3</v>
      </c>
      <c r="R230">
        <v>22</v>
      </c>
      <c r="S230">
        <v>2</v>
      </c>
      <c r="T230">
        <v>36</v>
      </c>
      <c r="X230">
        <f t="shared" si="3"/>
        <v>0</v>
      </c>
    </row>
    <row r="231" spans="1:24" x14ac:dyDescent="0.25">
      <c r="A231" t="s">
        <v>620</v>
      </c>
      <c r="B231" t="s">
        <v>391</v>
      </c>
      <c r="C231">
        <v>27</v>
      </c>
      <c r="D231">
        <v>4.24</v>
      </c>
      <c r="E231">
        <v>2</v>
      </c>
      <c r="F231">
        <v>4</v>
      </c>
      <c r="G231">
        <v>3</v>
      </c>
      <c r="H231">
        <v>36</v>
      </c>
      <c r="I231">
        <v>0</v>
      </c>
      <c r="J231">
        <v>0</v>
      </c>
      <c r="K231">
        <v>0</v>
      </c>
      <c r="L231">
        <v>34</v>
      </c>
      <c r="M231">
        <v>27</v>
      </c>
      <c r="N231">
        <v>19</v>
      </c>
      <c r="O231">
        <v>16</v>
      </c>
      <c r="P231">
        <v>3</v>
      </c>
      <c r="Q231">
        <v>0</v>
      </c>
      <c r="R231">
        <v>10</v>
      </c>
      <c r="S231">
        <v>2</v>
      </c>
      <c r="T231">
        <v>25</v>
      </c>
      <c r="X231">
        <f t="shared" si="3"/>
        <v>0</v>
      </c>
    </row>
    <row r="232" spans="1:24" x14ac:dyDescent="0.25">
      <c r="A232" t="s">
        <v>621</v>
      </c>
      <c r="B232" t="s">
        <v>391</v>
      </c>
      <c r="C232">
        <v>27</v>
      </c>
      <c r="D232">
        <v>5.0999999999999996</v>
      </c>
      <c r="E232">
        <v>3</v>
      </c>
      <c r="F232">
        <v>6</v>
      </c>
      <c r="G232">
        <v>1</v>
      </c>
      <c r="H232">
        <v>32</v>
      </c>
      <c r="I232">
        <v>8</v>
      </c>
      <c r="J232">
        <v>0</v>
      </c>
      <c r="K232">
        <v>0</v>
      </c>
      <c r="L232">
        <v>84.2</v>
      </c>
      <c r="M232">
        <v>96</v>
      </c>
      <c r="N232">
        <v>57</v>
      </c>
      <c r="O232">
        <v>48</v>
      </c>
      <c r="P232">
        <v>16</v>
      </c>
      <c r="Q232">
        <v>4</v>
      </c>
      <c r="R232">
        <v>26</v>
      </c>
      <c r="S232">
        <v>2</v>
      </c>
      <c r="T232">
        <v>66</v>
      </c>
      <c r="X232">
        <f t="shared" si="3"/>
        <v>0</v>
      </c>
    </row>
    <row r="233" spans="1:24" x14ac:dyDescent="0.25">
      <c r="A233" t="s">
        <v>622</v>
      </c>
      <c r="B233" t="s">
        <v>389</v>
      </c>
      <c r="C233">
        <v>27</v>
      </c>
      <c r="D233">
        <v>6.07</v>
      </c>
      <c r="E233">
        <v>0</v>
      </c>
      <c r="F233">
        <v>2</v>
      </c>
      <c r="G233">
        <v>0</v>
      </c>
      <c r="H233">
        <v>3</v>
      </c>
      <c r="I233">
        <v>2</v>
      </c>
      <c r="J233">
        <v>0</v>
      </c>
      <c r="K233">
        <v>0</v>
      </c>
      <c r="L233">
        <v>13.1</v>
      </c>
      <c r="M233">
        <v>13</v>
      </c>
      <c r="N233">
        <v>9</v>
      </c>
      <c r="O233">
        <v>9</v>
      </c>
      <c r="P233">
        <v>3</v>
      </c>
      <c r="Q233">
        <v>1</v>
      </c>
      <c r="R233">
        <v>7</v>
      </c>
      <c r="S233">
        <v>0</v>
      </c>
      <c r="T233">
        <v>11</v>
      </c>
      <c r="X233">
        <f t="shared" si="3"/>
        <v>0</v>
      </c>
    </row>
    <row r="234" spans="1:24" x14ac:dyDescent="0.25">
      <c r="A234" t="s">
        <v>623</v>
      </c>
      <c r="B234" t="s">
        <v>391</v>
      </c>
      <c r="C234">
        <v>27</v>
      </c>
      <c r="D234">
        <v>1.71</v>
      </c>
      <c r="E234">
        <v>0</v>
      </c>
      <c r="F234">
        <v>1</v>
      </c>
      <c r="G234">
        <v>0</v>
      </c>
      <c r="H234">
        <v>25</v>
      </c>
      <c r="I234">
        <v>0</v>
      </c>
      <c r="J234">
        <v>0</v>
      </c>
      <c r="K234">
        <v>0</v>
      </c>
      <c r="L234">
        <v>26.1</v>
      </c>
      <c r="M234">
        <v>16</v>
      </c>
      <c r="N234">
        <v>6</v>
      </c>
      <c r="O234">
        <v>5</v>
      </c>
      <c r="P234">
        <v>1</v>
      </c>
      <c r="Q234">
        <v>1</v>
      </c>
      <c r="R234">
        <v>13</v>
      </c>
      <c r="S234">
        <v>0</v>
      </c>
      <c r="T234">
        <v>24</v>
      </c>
      <c r="X234">
        <f t="shared" si="3"/>
        <v>0</v>
      </c>
    </row>
    <row r="235" spans="1:24" x14ac:dyDescent="0.25">
      <c r="A235" t="s">
        <v>624</v>
      </c>
      <c r="B235" t="s">
        <v>391</v>
      </c>
      <c r="C235">
        <v>27</v>
      </c>
      <c r="D235">
        <v>1.86</v>
      </c>
      <c r="E235">
        <v>2</v>
      </c>
      <c r="F235">
        <v>0</v>
      </c>
      <c r="G235">
        <v>1</v>
      </c>
      <c r="H235">
        <v>7</v>
      </c>
      <c r="I235">
        <v>1</v>
      </c>
      <c r="J235">
        <v>0</v>
      </c>
      <c r="K235">
        <v>0</v>
      </c>
      <c r="L235">
        <v>19.100000000000001</v>
      </c>
      <c r="M235">
        <v>15</v>
      </c>
      <c r="N235">
        <v>5</v>
      </c>
      <c r="O235">
        <v>4</v>
      </c>
      <c r="P235">
        <v>1</v>
      </c>
      <c r="Q235">
        <v>0</v>
      </c>
      <c r="R235">
        <v>10</v>
      </c>
      <c r="S235">
        <v>1</v>
      </c>
      <c r="T235">
        <v>16</v>
      </c>
      <c r="X235">
        <f t="shared" si="3"/>
        <v>0</v>
      </c>
    </row>
    <row r="236" spans="1:24" x14ac:dyDescent="0.25">
      <c r="A236" t="s">
        <v>625</v>
      </c>
      <c r="B236" t="s">
        <v>391</v>
      </c>
      <c r="C236">
        <v>27</v>
      </c>
      <c r="D236">
        <v>20.25</v>
      </c>
      <c r="E236">
        <v>0</v>
      </c>
      <c r="F236">
        <v>0</v>
      </c>
      <c r="G236">
        <v>0</v>
      </c>
      <c r="H236">
        <v>2</v>
      </c>
      <c r="I236">
        <v>0</v>
      </c>
      <c r="J236">
        <v>0</v>
      </c>
      <c r="K236">
        <v>0</v>
      </c>
      <c r="L236">
        <v>5.0999999999999996</v>
      </c>
      <c r="M236">
        <v>12</v>
      </c>
      <c r="N236">
        <v>12</v>
      </c>
      <c r="O236">
        <v>12</v>
      </c>
      <c r="P236">
        <v>3</v>
      </c>
      <c r="Q236">
        <v>1</v>
      </c>
      <c r="R236">
        <v>2</v>
      </c>
      <c r="S236">
        <v>0</v>
      </c>
      <c r="T236">
        <v>5</v>
      </c>
      <c r="X236">
        <f t="shared" si="3"/>
        <v>0</v>
      </c>
    </row>
    <row r="237" spans="1:24" x14ac:dyDescent="0.25">
      <c r="A237" t="s">
        <v>626</v>
      </c>
      <c r="B237" t="s">
        <v>391</v>
      </c>
      <c r="C237">
        <v>27</v>
      </c>
      <c r="D237">
        <v>11.81</v>
      </c>
      <c r="E237">
        <v>1</v>
      </c>
      <c r="F237">
        <v>1</v>
      </c>
      <c r="G237">
        <v>0</v>
      </c>
      <c r="H237">
        <v>14</v>
      </c>
      <c r="I237">
        <v>0</v>
      </c>
      <c r="J237">
        <v>0</v>
      </c>
      <c r="K237">
        <v>0</v>
      </c>
      <c r="L237">
        <v>10.199999999999999</v>
      </c>
      <c r="M237">
        <v>16</v>
      </c>
      <c r="N237">
        <v>16</v>
      </c>
      <c r="O237">
        <v>14</v>
      </c>
      <c r="P237">
        <v>1</v>
      </c>
      <c r="Q237">
        <v>0</v>
      </c>
      <c r="R237">
        <v>12</v>
      </c>
      <c r="S237">
        <v>2</v>
      </c>
      <c r="T237">
        <v>11</v>
      </c>
      <c r="X237">
        <f t="shared" si="3"/>
        <v>0</v>
      </c>
    </row>
    <row r="238" spans="1:24" x14ac:dyDescent="0.25">
      <c r="A238" t="s">
        <v>627</v>
      </c>
      <c r="B238" t="s">
        <v>391</v>
      </c>
      <c r="C238">
        <v>27</v>
      </c>
      <c r="D238">
        <v>2.97</v>
      </c>
      <c r="E238">
        <v>4</v>
      </c>
      <c r="F238">
        <v>3</v>
      </c>
      <c r="G238">
        <v>0</v>
      </c>
      <c r="H238">
        <v>74</v>
      </c>
      <c r="I238">
        <v>1</v>
      </c>
      <c r="J238">
        <v>0</v>
      </c>
      <c r="K238">
        <v>0</v>
      </c>
      <c r="L238">
        <v>72.2</v>
      </c>
      <c r="M238">
        <v>65</v>
      </c>
      <c r="N238">
        <v>27</v>
      </c>
      <c r="O238">
        <v>24</v>
      </c>
      <c r="P238">
        <v>6</v>
      </c>
      <c r="Q238">
        <v>2</v>
      </c>
      <c r="R238">
        <v>22</v>
      </c>
      <c r="S238">
        <v>1</v>
      </c>
      <c r="T238">
        <v>75</v>
      </c>
      <c r="X238">
        <f t="shared" si="3"/>
        <v>0</v>
      </c>
    </row>
    <row r="239" spans="1:24" x14ac:dyDescent="0.25">
      <c r="A239" t="s">
        <v>628</v>
      </c>
      <c r="B239" t="s">
        <v>391</v>
      </c>
      <c r="C239">
        <v>27</v>
      </c>
      <c r="D239">
        <v>4.68</v>
      </c>
      <c r="E239">
        <v>0</v>
      </c>
      <c r="F239">
        <v>0</v>
      </c>
      <c r="G239">
        <v>0</v>
      </c>
      <c r="H239">
        <v>26</v>
      </c>
      <c r="I239">
        <v>1</v>
      </c>
      <c r="J239">
        <v>0</v>
      </c>
      <c r="K239">
        <v>0</v>
      </c>
      <c r="L239">
        <v>25</v>
      </c>
      <c r="M239">
        <v>28</v>
      </c>
      <c r="N239">
        <v>13</v>
      </c>
      <c r="O239">
        <v>13</v>
      </c>
      <c r="P239">
        <v>4</v>
      </c>
      <c r="Q239">
        <v>2</v>
      </c>
      <c r="R239">
        <v>11</v>
      </c>
      <c r="S239">
        <v>0</v>
      </c>
      <c r="T239">
        <v>25</v>
      </c>
      <c r="X239">
        <f t="shared" si="3"/>
        <v>0</v>
      </c>
    </row>
    <row r="240" spans="1:24" x14ac:dyDescent="0.25">
      <c r="A240" t="s">
        <v>629</v>
      </c>
      <c r="B240" t="s">
        <v>391</v>
      </c>
      <c r="C240">
        <v>27</v>
      </c>
      <c r="D240">
        <v>5.6</v>
      </c>
      <c r="E240">
        <v>5</v>
      </c>
      <c r="F240">
        <v>7</v>
      </c>
      <c r="G240">
        <v>0</v>
      </c>
      <c r="H240">
        <v>39</v>
      </c>
      <c r="I240">
        <v>13</v>
      </c>
      <c r="J240">
        <v>0</v>
      </c>
      <c r="K240">
        <v>0</v>
      </c>
      <c r="L240">
        <v>98</v>
      </c>
      <c r="M240">
        <v>110</v>
      </c>
      <c r="N240">
        <v>66</v>
      </c>
      <c r="O240">
        <v>61</v>
      </c>
      <c r="P240">
        <v>11</v>
      </c>
      <c r="Q240">
        <v>1</v>
      </c>
      <c r="R240">
        <v>43</v>
      </c>
      <c r="S240">
        <v>3</v>
      </c>
      <c r="T240">
        <v>92</v>
      </c>
      <c r="X240">
        <f t="shared" si="3"/>
        <v>0</v>
      </c>
    </row>
    <row r="241" spans="1:24" x14ac:dyDescent="0.25">
      <c r="A241" t="s">
        <v>630</v>
      </c>
      <c r="B241" t="s">
        <v>391</v>
      </c>
      <c r="C241">
        <v>27</v>
      </c>
      <c r="D241">
        <v>13.5</v>
      </c>
      <c r="E241">
        <v>0</v>
      </c>
      <c r="F241">
        <v>0</v>
      </c>
      <c r="G241">
        <v>0</v>
      </c>
      <c r="H241">
        <v>10</v>
      </c>
      <c r="I241">
        <v>0</v>
      </c>
      <c r="J241">
        <v>0</v>
      </c>
      <c r="K241">
        <v>0</v>
      </c>
      <c r="L241">
        <v>12</v>
      </c>
      <c r="M241">
        <v>19</v>
      </c>
      <c r="N241">
        <v>20</v>
      </c>
      <c r="O241">
        <v>18</v>
      </c>
      <c r="P241">
        <v>3</v>
      </c>
      <c r="Q241">
        <v>1</v>
      </c>
      <c r="R241">
        <v>8</v>
      </c>
      <c r="S241">
        <v>0</v>
      </c>
      <c r="T241">
        <v>12</v>
      </c>
      <c r="X241">
        <f t="shared" si="3"/>
        <v>0</v>
      </c>
    </row>
    <row r="242" spans="1:24" x14ac:dyDescent="0.25">
      <c r="A242" t="s">
        <v>631</v>
      </c>
      <c r="B242" t="s">
        <v>391</v>
      </c>
      <c r="C242">
        <v>27</v>
      </c>
      <c r="D242">
        <v>6.65</v>
      </c>
      <c r="E242">
        <v>0</v>
      </c>
      <c r="F242">
        <v>2</v>
      </c>
      <c r="G242">
        <v>0</v>
      </c>
      <c r="H242">
        <v>20</v>
      </c>
      <c r="I242">
        <v>5</v>
      </c>
      <c r="J242">
        <v>0</v>
      </c>
      <c r="K242">
        <v>0</v>
      </c>
      <c r="L242">
        <v>47.1</v>
      </c>
      <c r="M242">
        <v>67</v>
      </c>
      <c r="N242">
        <v>37</v>
      </c>
      <c r="O242">
        <v>35</v>
      </c>
      <c r="P242">
        <v>11</v>
      </c>
      <c r="Q242">
        <v>2</v>
      </c>
      <c r="R242">
        <v>19</v>
      </c>
      <c r="S242">
        <v>0</v>
      </c>
      <c r="T242">
        <v>28</v>
      </c>
      <c r="X242">
        <f t="shared" si="3"/>
        <v>0</v>
      </c>
    </row>
    <row r="243" spans="1:24" x14ac:dyDescent="0.25">
      <c r="A243" t="s">
        <v>632</v>
      </c>
      <c r="B243" t="s">
        <v>391</v>
      </c>
      <c r="C243">
        <v>27</v>
      </c>
      <c r="D243">
        <v>3.86</v>
      </c>
      <c r="E243">
        <v>0</v>
      </c>
      <c r="F243">
        <v>1</v>
      </c>
      <c r="G243">
        <v>0</v>
      </c>
      <c r="H243">
        <v>6</v>
      </c>
      <c r="I243">
        <v>0</v>
      </c>
      <c r="J243">
        <v>0</v>
      </c>
      <c r="K243">
        <v>0</v>
      </c>
      <c r="L243">
        <v>11.2</v>
      </c>
      <c r="M243">
        <v>11</v>
      </c>
      <c r="N243">
        <v>7</v>
      </c>
      <c r="O243">
        <v>5</v>
      </c>
      <c r="P243">
        <v>0</v>
      </c>
      <c r="Q243">
        <v>1</v>
      </c>
      <c r="R243">
        <v>5</v>
      </c>
      <c r="S243">
        <v>0</v>
      </c>
      <c r="T243">
        <v>9</v>
      </c>
      <c r="X243">
        <f t="shared" si="3"/>
        <v>0</v>
      </c>
    </row>
    <row r="244" spans="1:24" x14ac:dyDescent="0.25">
      <c r="A244" t="s">
        <v>633</v>
      </c>
      <c r="B244" t="s">
        <v>391</v>
      </c>
      <c r="C244">
        <v>27</v>
      </c>
      <c r="D244">
        <v>4.5</v>
      </c>
      <c r="E244">
        <v>0</v>
      </c>
      <c r="F244">
        <v>0</v>
      </c>
      <c r="G244">
        <v>0</v>
      </c>
      <c r="H244">
        <v>7</v>
      </c>
      <c r="I244">
        <v>0</v>
      </c>
      <c r="J244">
        <v>0</v>
      </c>
      <c r="K244">
        <v>0</v>
      </c>
      <c r="L244">
        <v>10</v>
      </c>
      <c r="M244">
        <v>12</v>
      </c>
      <c r="N244">
        <v>5</v>
      </c>
      <c r="O244">
        <v>5</v>
      </c>
      <c r="P244">
        <v>1</v>
      </c>
      <c r="Q244">
        <v>0</v>
      </c>
      <c r="R244">
        <v>2</v>
      </c>
      <c r="S244">
        <v>0</v>
      </c>
      <c r="T244">
        <v>9</v>
      </c>
      <c r="X244">
        <f t="shared" si="3"/>
        <v>0</v>
      </c>
    </row>
    <row r="245" spans="1:24" x14ac:dyDescent="0.25">
      <c r="A245" t="s">
        <v>634</v>
      </c>
      <c r="B245" t="s">
        <v>391</v>
      </c>
      <c r="C245">
        <v>27</v>
      </c>
      <c r="D245">
        <v>4.74</v>
      </c>
      <c r="E245">
        <v>6</v>
      </c>
      <c r="F245">
        <v>5</v>
      </c>
      <c r="G245">
        <v>2</v>
      </c>
      <c r="H245">
        <v>62</v>
      </c>
      <c r="I245">
        <v>1</v>
      </c>
      <c r="J245">
        <v>0</v>
      </c>
      <c r="K245">
        <v>0</v>
      </c>
      <c r="L245">
        <v>57</v>
      </c>
      <c r="M245">
        <v>49</v>
      </c>
      <c r="N245">
        <v>31</v>
      </c>
      <c r="O245">
        <v>30</v>
      </c>
      <c r="P245">
        <v>12</v>
      </c>
      <c r="Q245">
        <v>4</v>
      </c>
      <c r="R245">
        <v>35</v>
      </c>
      <c r="S245">
        <v>3</v>
      </c>
      <c r="T245">
        <v>73</v>
      </c>
      <c r="X245">
        <f t="shared" si="3"/>
        <v>0</v>
      </c>
    </row>
    <row r="246" spans="1:24" x14ac:dyDescent="0.25">
      <c r="A246" t="s">
        <v>635</v>
      </c>
      <c r="B246" t="s">
        <v>391</v>
      </c>
      <c r="C246">
        <v>27</v>
      </c>
      <c r="D246">
        <v>6.14</v>
      </c>
      <c r="E246">
        <v>1</v>
      </c>
      <c r="F246">
        <v>0</v>
      </c>
      <c r="G246">
        <v>0</v>
      </c>
      <c r="H246">
        <v>7</v>
      </c>
      <c r="I246">
        <v>0</v>
      </c>
      <c r="J246">
        <v>0</v>
      </c>
      <c r="K246">
        <v>0</v>
      </c>
      <c r="L246">
        <v>7.1</v>
      </c>
      <c r="M246">
        <v>5</v>
      </c>
      <c r="N246">
        <v>5</v>
      </c>
      <c r="O246">
        <v>5</v>
      </c>
      <c r="P246">
        <v>1</v>
      </c>
      <c r="Q246">
        <v>0</v>
      </c>
      <c r="R246">
        <v>4</v>
      </c>
      <c r="S246">
        <v>0</v>
      </c>
      <c r="T246">
        <v>5</v>
      </c>
      <c r="X246">
        <f t="shared" si="3"/>
        <v>0</v>
      </c>
    </row>
    <row r="247" spans="1:24" x14ac:dyDescent="0.25">
      <c r="A247" t="s">
        <v>636</v>
      </c>
      <c r="B247" t="s">
        <v>391</v>
      </c>
      <c r="C247">
        <v>28</v>
      </c>
      <c r="D247">
        <v>3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0</v>
      </c>
      <c r="L247">
        <v>3</v>
      </c>
      <c r="M247">
        <v>2</v>
      </c>
      <c r="N247">
        <v>1</v>
      </c>
      <c r="O247">
        <v>1</v>
      </c>
      <c r="P247">
        <v>1</v>
      </c>
      <c r="Q247">
        <v>0</v>
      </c>
      <c r="R247">
        <v>2</v>
      </c>
      <c r="S247">
        <v>0</v>
      </c>
      <c r="T247">
        <v>5</v>
      </c>
      <c r="X247">
        <f t="shared" si="3"/>
        <v>0</v>
      </c>
    </row>
    <row r="248" spans="1:24" x14ac:dyDescent="0.25">
      <c r="A248" t="s">
        <v>637</v>
      </c>
      <c r="B248" t="s">
        <v>391</v>
      </c>
      <c r="C248">
        <v>28</v>
      </c>
      <c r="D248">
        <v>3.23</v>
      </c>
      <c r="E248">
        <v>2</v>
      </c>
      <c r="F248">
        <v>6</v>
      </c>
      <c r="G248">
        <v>0</v>
      </c>
      <c r="H248">
        <v>66</v>
      </c>
      <c r="I248">
        <v>0</v>
      </c>
      <c r="J248">
        <v>0</v>
      </c>
      <c r="K248">
        <v>0</v>
      </c>
      <c r="L248">
        <v>69.2</v>
      </c>
      <c r="M248">
        <v>59</v>
      </c>
      <c r="N248">
        <v>35</v>
      </c>
      <c r="O248">
        <v>25</v>
      </c>
      <c r="P248">
        <v>8</v>
      </c>
      <c r="Q248">
        <v>2</v>
      </c>
      <c r="R248">
        <v>29</v>
      </c>
      <c r="S248">
        <v>3</v>
      </c>
      <c r="T248">
        <v>74</v>
      </c>
      <c r="X248">
        <f t="shared" si="3"/>
        <v>0</v>
      </c>
    </row>
    <row r="249" spans="1:24" x14ac:dyDescent="0.25">
      <c r="A249" t="s">
        <v>638</v>
      </c>
      <c r="B249" t="s">
        <v>391</v>
      </c>
      <c r="C249">
        <v>28</v>
      </c>
      <c r="D249">
        <v>3.86</v>
      </c>
      <c r="E249">
        <v>1</v>
      </c>
      <c r="F249">
        <v>2</v>
      </c>
      <c r="G249">
        <v>0</v>
      </c>
      <c r="H249">
        <v>34</v>
      </c>
      <c r="I249">
        <v>1</v>
      </c>
      <c r="J249">
        <v>0</v>
      </c>
      <c r="K249">
        <v>0</v>
      </c>
      <c r="L249">
        <v>44.1</v>
      </c>
      <c r="M249">
        <v>37</v>
      </c>
      <c r="N249">
        <v>21</v>
      </c>
      <c r="O249">
        <v>19</v>
      </c>
      <c r="P249">
        <v>6</v>
      </c>
      <c r="Q249">
        <v>0</v>
      </c>
      <c r="R249">
        <v>17</v>
      </c>
      <c r="S249">
        <v>0</v>
      </c>
      <c r="T249">
        <v>46</v>
      </c>
      <c r="X249">
        <f t="shared" si="3"/>
        <v>0</v>
      </c>
    </row>
    <row r="250" spans="1:24" x14ac:dyDescent="0.25">
      <c r="A250" t="s">
        <v>639</v>
      </c>
      <c r="B250" t="s">
        <v>391</v>
      </c>
      <c r="C250">
        <v>28</v>
      </c>
      <c r="D250">
        <v>5.27</v>
      </c>
      <c r="E250">
        <v>0</v>
      </c>
      <c r="F250">
        <v>0</v>
      </c>
      <c r="G250">
        <v>0</v>
      </c>
      <c r="H250">
        <v>15</v>
      </c>
      <c r="I250">
        <v>0</v>
      </c>
      <c r="J250">
        <v>0</v>
      </c>
      <c r="K250">
        <v>0</v>
      </c>
      <c r="L250">
        <v>13.2</v>
      </c>
      <c r="M250">
        <v>19</v>
      </c>
      <c r="N250">
        <v>10</v>
      </c>
      <c r="O250">
        <v>8</v>
      </c>
      <c r="P250">
        <v>2</v>
      </c>
      <c r="Q250">
        <v>1</v>
      </c>
      <c r="R250">
        <v>7</v>
      </c>
      <c r="S250">
        <v>3</v>
      </c>
      <c r="T250">
        <v>18</v>
      </c>
      <c r="X250">
        <f t="shared" si="3"/>
        <v>0</v>
      </c>
    </row>
    <row r="251" spans="1:24" x14ac:dyDescent="0.25">
      <c r="A251" t="s">
        <v>640</v>
      </c>
      <c r="B251" t="s">
        <v>391</v>
      </c>
      <c r="C251">
        <v>28</v>
      </c>
      <c r="D251">
        <v>3.36</v>
      </c>
      <c r="E251">
        <v>7</v>
      </c>
      <c r="F251">
        <v>1</v>
      </c>
      <c r="G251">
        <v>0</v>
      </c>
      <c r="H251">
        <v>69</v>
      </c>
      <c r="I251">
        <v>1</v>
      </c>
      <c r="J251">
        <v>0</v>
      </c>
      <c r="K251">
        <v>0</v>
      </c>
      <c r="L251">
        <v>61.2</v>
      </c>
      <c r="M251">
        <v>58</v>
      </c>
      <c r="N251">
        <v>24</v>
      </c>
      <c r="O251">
        <v>23</v>
      </c>
      <c r="P251">
        <v>8</v>
      </c>
      <c r="Q251">
        <v>3</v>
      </c>
      <c r="R251">
        <v>18</v>
      </c>
      <c r="S251">
        <v>4</v>
      </c>
      <c r="T251">
        <v>52</v>
      </c>
      <c r="X251">
        <f t="shared" si="3"/>
        <v>0</v>
      </c>
    </row>
    <row r="252" spans="1:24" x14ac:dyDescent="0.25">
      <c r="A252" t="s">
        <v>641</v>
      </c>
      <c r="B252" t="s">
        <v>391</v>
      </c>
      <c r="C252">
        <v>28</v>
      </c>
      <c r="D252">
        <v>6.54</v>
      </c>
      <c r="E252">
        <v>0</v>
      </c>
      <c r="F252">
        <v>1</v>
      </c>
      <c r="G252">
        <v>1</v>
      </c>
      <c r="H252">
        <v>40</v>
      </c>
      <c r="I252">
        <v>0</v>
      </c>
      <c r="J252">
        <v>0</v>
      </c>
      <c r="K252">
        <v>0</v>
      </c>
      <c r="L252">
        <v>42.2</v>
      </c>
      <c r="M252">
        <v>46</v>
      </c>
      <c r="N252">
        <v>32</v>
      </c>
      <c r="O252">
        <v>31</v>
      </c>
      <c r="P252">
        <v>12</v>
      </c>
      <c r="Q252">
        <v>2</v>
      </c>
      <c r="R252">
        <v>18</v>
      </c>
      <c r="S252">
        <v>1</v>
      </c>
      <c r="T252">
        <v>35</v>
      </c>
      <c r="X252">
        <f t="shared" si="3"/>
        <v>0</v>
      </c>
    </row>
    <row r="253" spans="1:24" x14ac:dyDescent="0.25">
      <c r="A253" t="s">
        <v>642</v>
      </c>
      <c r="B253" t="s">
        <v>391</v>
      </c>
      <c r="C253">
        <v>28</v>
      </c>
      <c r="D253">
        <v>13.5</v>
      </c>
      <c r="E253">
        <v>0</v>
      </c>
      <c r="F253">
        <v>1</v>
      </c>
      <c r="G253">
        <v>0</v>
      </c>
      <c r="H253">
        <v>3</v>
      </c>
      <c r="I253">
        <v>0</v>
      </c>
      <c r="J253">
        <v>0</v>
      </c>
      <c r="K253">
        <v>0</v>
      </c>
      <c r="L253">
        <v>4.2</v>
      </c>
      <c r="M253">
        <v>6</v>
      </c>
      <c r="N253">
        <v>7</v>
      </c>
      <c r="O253">
        <v>7</v>
      </c>
      <c r="P253">
        <v>4</v>
      </c>
      <c r="Q253">
        <v>1</v>
      </c>
      <c r="R253">
        <v>2</v>
      </c>
      <c r="S253">
        <v>0</v>
      </c>
      <c r="T253">
        <v>4</v>
      </c>
      <c r="X253">
        <f t="shared" si="3"/>
        <v>0</v>
      </c>
    </row>
    <row r="254" spans="1:24" x14ac:dyDescent="0.25">
      <c r="A254" t="s">
        <v>643</v>
      </c>
      <c r="B254" t="s">
        <v>391</v>
      </c>
      <c r="C254">
        <v>28</v>
      </c>
      <c r="D254">
        <v>8.86</v>
      </c>
      <c r="E254">
        <v>0</v>
      </c>
      <c r="F254">
        <v>0</v>
      </c>
      <c r="G254">
        <v>0</v>
      </c>
      <c r="H254">
        <v>13</v>
      </c>
      <c r="I254">
        <v>1</v>
      </c>
      <c r="J254">
        <v>0</v>
      </c>
      <c r="K254">
        <v>0</v>
      </c>
      <c r="L254">
        <v>21.1</v>
      </c>
      <c r="M254">
        <v>30</v>
      </c>
      <c r="N254">
        <v>21</v>
      </c>
      <c r="O254">
        <v>21</v>
      </c>
      <c r="P254">
        <v>9</v>
      </c>
      <c r="Q254">
        <v>0</v>
      </c>
      <c r="R254">
        <v>7</v>
      </c>
      <c r="S254">
        <v>0</v>
      </c>
      <c r="T254">
        <v>22</v>
      </c>
      <c r="X254">
        <f t="shared" si="3"/>
        <v>0</v>
      </c>
    </row>
    <row r="255" spans="1:24" x14ac:dyDescent="0.25">
      <c r="A255" t="s">
        <v>644</v>
      </c>
      <c r="B255" t="s">
        <v>391</v>
      </c>
      <c r="C255">
        <v>28</v>
      </c>
      <c r="D255">
        <v>3.57</v>
      </c>
      <c r="E255">
        <v>1</v>
      </c>
      <c r="F255">
        <v>0</v>
      </c>
      <c r="G255">
        <v>1</v>
      </c>
      <c r="H255">
        <v>7</v>
      </c>
      <c r="I255">
        <v>1</v>
      </c>
      <c r="J255">
        <v>0</v>
      </c>
      <c r="K255">
        <v>0</v>
      </c>
      <c r="L255">
        <v>17.2</v>
      </c>
      <c r="M255">
        <v>23</v>
      </c>
      <c r="N255">
        <v>10</v>
      </c>
      <c r="O255">
        <v>7</v>
      </c>
      <c r="P255">
        <v>3</v>
      </c>
      <c r="Q255">
        <v>0</v>
      </c>
      <c r="R255">
        <v>5</v>
      </c>
      <c r="S255">
        <v>0</v>
      </c>
      <c r="T255">
        <v>9</v>
      </c>
      <c r="X255">
        <f t="shared" si="3"/>
        <v>0</v>
      </c>
    </row>
    <row r="256" spans="1:24" x14ac:dyDescent="0.25">
      <c r="A256" t="s">
        <v>645</v>
      </c>
      <c r="B256" t="s">
        <v>389</v>
      </c>
      <c r="C256">
        <v>28</v>
      </c>
      <c r="D256">
        <v>5.4</v>
      </c>
      <c r="E256">
        <v>0</v>
      </c>
      <c r="F256">
        <v>1</v>
      </c>
      <c r="G256">
        <v>0</v>
      </c>
      <c r="H256">
        <v>3</v>
      </c>
      <c r="I256">
        <v>2</v>
      </c>
      <c r="J256">
        <v>0</v>
      </c>
      <c r="K256">
        <v>0</v>
      </c>
      <c r="L256">
        <v>10</v>
      </c>
      <c r="M256">
        <v>9</v>
      </c>
      <c r="N256">
        <v>6</v>
      </c>
      <c r="O256">
        <v>6</v>
      </c>
      <c r="P256">
        <v>1</v>
      </c>
      <c r="Q256">
        <v>1</v>
      </c>
      <c r="R256">
        <v>7</v>
      </c>
      <c r="S256">
        <v>0</v>
      </c>
      <c r="T256">
        <v>9</v>
      </c>
      <c r="X256">
        <f t="shared" si="3"/>
        <v>0</v>
      </c>
    </row>
    <row r="257" spans="1:24" x14ac:dyDescent="0.25">
      <c r="A257" t="s">
        <v>646</v>
      </c>
      <c r="B257" t="s">
        <v>391</v>
      </c>
      <c r="C257">
        <v>28</v>
      </c>
      <c r="D257">
        <v>3.86</v>
      </c>
      <c r="E257">
        <v>1</v>
      </c>
      <c r="F257">
        <v>0</v>
      </c>
      <c r="G257">
        <v>0</v>
      </c>
      <c r="H257">
        <v>9</v>
      </c>
      <c r="I257">
        <v>0</v>
      </c>
      <c r="J257">
        <v>0</v>
      </c>
      <c r="K257">
        <v>0</v>
      </c>
      <c r="L257">
        <v>11.2</v>
      </c>
      <c r="M257">
        <v>10</v>
      </c>
      <c r="N257">
        <v>5</v>
      </c>
      <c r="O257">
        <v>5</v>
      </c>
      <c r="P257">
        <v>1</v>
      </c>
      <c r="Q257">
        <v>0</v>
      </c>
      <c r="R257">
        <v>7</v>
      </c>
      <c r="S257">
        <v>0</v>
      </c>
      <c r="T257">
        <v>5</v>
      </c>
      <c r="X257">
        <f t="shared" si="3"/>
        <v>0</v>
      </c>
    </row>
    <row r="258" spans="1:24" x14ac:dyDescent="0.25">
      <c r="A258" t="s">
        <v>647</v>
      </c>
      <c r="B258" t="s">
        <v>391</v>
      </c>
      <c r="C258">
        <v>28</v>
      </c>
      <c r="D258">
        <v>18</v>
      </c>
      <c r="E258">
        <v>0</v>
      </c>
      <c r="F258">
        <v>2</v>
      </c>
      <c r="G258">
        <v>0</v>
      </c>
      <c r="H258">
        <v>9</v>
      </c>
      <c r="I258">
        <v>0</v>
      </c>
      <c r="J258">
        <v>0</v>
      </c>
      <c r="K258">
        <v>0</v>
      </c>
      <c r="L258">
        <v>11</v>
      </c>
      <c r="M258">
        <v>22</v>
      </c>
      <c r="N258">
        <v>24</v>
      </c>
      <c r="O258">
        <v>22</v>
      </c>
      <c r="P258">
        <v>7</v>
      </c>
      <c r="Q258">
        <v>7</v>
      </c>
      <c r="R258">
        <v>6</v>
      </c>
      <c r="S258">
        <v>0</v>
      </c>
      <c r="T258">
        <v>15</v>
      </c>
      <c r="X258">
        <f t="shared" si="3"/>
        <v>0</v>
      </c>
    </row>
    <row r="259" spans="1:24" x14ac:dyDescent="0.25">
      <c r="A259" t="s">
        <v>648</v>
      </c>
      <c r="B259" t="s">
        <v>391</v>
      </c>
      <c r="C259">
        <v>28</v>
      </c>
      <c r="D259">
        <v>8.15</v>
      </c>
      <c r="E259">
        <v>1</v>
      </c>
      <c r="F259">
        <v>0</v>
      </c>
      <c r="G259">
        <v>0</v>
      </c>
      <c r="H259">
        <v>18</v>
      </c>
      <c r="I259">
        <v>0</v>
      </c>
      <c r="J259">
        <v>0</v>
      </c>
      <c r="K259">
        <v>0</v>
      </c>
      <c r="L259">
        <v>17.2</v>
      </c>
      <c r="M259">
        <v>15</v>
      </c>
      <c r="N259">
        <v>17</v>
      </c>
      <c r="O259">
        <v>16</v>
      </c>
      <c r="P259">
        <v>6</v>
      </c>
      <c r="Q259">
        <v>5</v>
      </c>
      <c r="R259">
        <v>12</v>
      </c>
      <c r="S259">
        <v>0</v>
      </c>
      <c r="T259">
        <v>17</v>
      </c>
      <c r="X259">
        <f t="shared" ref="X259:X322" si="4">(V259*2)+W259</f>
        <v>0</v>
      </c>
    </row>
    <row r="260" spans="1:24" x14ac:dyDescent="0.25">
      <c r="A260" t="s">
        <v>649</v>
      </c>
      <c r="B260" t="s">
        <v>391</v>
      </c>
      <c r="C260">
        <v>28</v>
      </c>
      <c r="D260">
        <v>0</v>
      </c>
      <c r="E260">
        <v>0</v>
      </c>
      <c r="F260">
        <v>0</v>
      </c>
      <c r="G260">
        <v>0</v>
      </c>
      <c r="H260">
        <v>1</v>
      </c>
      <c r="I260">
        <v>0</v>
      </c>
      <c r="J260">
        <v>0</v>
      </c>
      <c r="K260">
        <v>0</v>
      </c>
      <c r="L260">
        <v>1.1000000000000001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X260">
        <f t="shared" si="4"/>
        <v>0</v>
      </c>
    </row>
    <row r="261" spans="1:24" x14ac:dyDescent="0.25">
      <c r="A261" t="s">
        <v>650</v>
      </c>
      <c r="B261" t="s">
        <v>391</v>
      </c>
      <c r="C261">
        <v>28</v>
      </c>
      <c r="D261">
        <v>2.0299999999999998</v>
      </c>
      <c r="E261">
        <v>2</v>
      </c>
      <c r="F261">
        <v>1</v>
      </c>
      <c r="G261">
        <v>1</v>
      </c>
      <c r="H261">
        <v>27</v>
      </c>
      <c r="I261">
        <v>0</v>
      </c>
      <c r="J261">
        <v>0</v>
      </c>
      <c r="K261">
        <v>0</v>
      </c>
      <c r="L261">
        <v>31</v>
      </c>
      <c r="M261">
        <v>24</v>
      </c>
      <c r="N261">
        <v>8</v>
      </c>
      <c r="O261">
        <v>7</v>
      </c>
      <c r="P261">
        <v>3</v>
      </c>
      <c r="Q261">
        <v>2</v>
      </c>
      <c r="R261">
        <v>12</v>
      </c>
      <c r="S261">
        <v>0</v>
      </c>
      <c r="T261">
        <v>30</v>
      </c>
      <c r="X261">
        <f t="shared" si="4"/>
        <v>0</v>
      </c>
    </row>
    <row r="262" spans="1:24" x14ac:dyDescent="0.25">
      <c r="A262" t="s">
        <v>651</v>
      </c>
      <c r="B262" t="s">
        <v>391</v>
      </c>
      <c r="C262">
        <v>28</v>
      </c>
      <c r="D262">
        <v>0</v>
      </c>
      <c r="E262">
        <v>0</v>
      </c>
      <c r="F262">
        <v>0</v>
      </c>
      <c r="G262">
        <v>0</v>
      </c>
      <c r="H262">
        <v>1</v>
      </c>
      <c r="I262">
        <v>0</v>
      </c>
      <c r="J262">
        <v>0</v>
      </c>
      <c r="K262">
        <v>0</v>
      </c>
      <c r="L262">
        <v>3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4</v>
      </c>
      <c r="X262">
        <f t="shared" si="4"/>
        <v>0</v>
      </c>
    </row>
    <row r="263" spans="1:24" x14ac:dyDescent="0.25">
      <c r="A263" t="s">
        <v>652</v>
      </c>
      <c r="B263" t="s">
        <v>391</v>
      </c>
      <c r="C263">
        <v>28</v>
      </c>
      <c r="D263">
        <v>3.58</v>
      </c>
      <c r="E263">
        <v>5</v>
      </c>
      <c r="F263">
        <v>4</v>
      </c>
      <c r="G263">
        <v>0</v>
      </c>
      <c r="H263">
        <v>70</v>
      </c>
      <c r="I263">
        <v>0</v>
      </c>
      <c r="J263">
        <v>0</v>
      </c>
      <c r="K263">
        <v>0</v>
      </c>
      <c r="L263">
        <v>65.099999999999994</v>
      </c>
      <c r="M263">
        <v>54</v>
      </c>
      <c r="N263">
        <v>27</v>
      </c>
      <c r="O263">
        <v>26</v>
      </c>
      <c r="P263">
        <v>2</v>
      </c>
      <c r="Q263">
        <v>6</v>
      </c>
      <c r="R263">
        <v>22</v>
      </c>
      <c r="S263">
        <v>3</v>
      </c>
      <c r="T263">
        <v>51</v>
      </c>
      <c r="X263">
        <f t="shared" si="4"/>
        <v>0</v>
      </c>
    </row>
    <row r="264" spans="1:24" x14ac:dyDescent="0.25">
      <c r="A264" t="s">
        <v>653</v>
      </c>
      <c r="B264" t="s">
        <v>391</v>
      </c>
      <c r="C264">
        <v>28</v>
      </c>
      <c r="D264">
        <v>3.51</v>
      </c>
      <c r="E264">
        <v>4</v>
      </c>
      <c r="F264">
        <v>1</v>
      </c>
      <c r="G264">
        <v>1</v>
      </c>
      <c r="H264">
        <v>39</v>
      </c>
      <c r="I264">
        <v>0</v>
      </c>
      <c r="J264">
        <v>0</v>
      </c>
      <c r="K264">
        <v>0</v>
      </c>
      <c r="L264">
        <v>41</v>
      </c>
      <c r="M264">
        <v>44</v>
      </c>
      <c r="N264">
        <v>17</v>
      </c>
      <c r="O264">
        <v>16</v>
      </c>
      <c r="P264">
        <v>2</v>
      </c>
      <c r="Q264">
        <v>3</v>
      </c>
      <c r="R264">
        <v>18</v>
      </c>
      <c r="S264">
        <v>1</v>
      </c>
      <c r="T264">
        <v>40</v>
      </c>
      <c r="X264">
        <f t="shared" si="4"/>
        <v>0</v>
      </c>
    </row>
    <row r="265" spans="1:24" x14ac:dyDescent="0.25">
      <c r="A265" t="s">
        <v>654</v>
      </c>
      <c r="B265" t="s">
        <v>389</v>
      </c>
      <c r="C265">
        <v>28</v>
      </c>
      <c r="D265">
        <v>3.52</v>
      </c>
      <c r="E265">
        <v>1</v>
      </c>
      <c r="F265">
        <v>0</v>
      </c>
      <c r="G265">
        <v>0</v>
      </c>
      <c r="H265">
        <v>2</v>
      </c>
      <c r="I265">
        <v>2</v>
      </c>
      <c r="J265">
        <v>0</v>
      </c>
      <c r="K265">
        <v>0</v>
      </c>
      <c r="L265">
        <v>7.2</v>
      </c>
      <c r="M265">
        <v>3</v>
      </c>
      <c r="N265">
        <v>3</v>
      </c>
      <c r="O265">
        <v>3</v>
      </c>
      <c r="P265">
        <v>2</v>
      </c>
      <c r="Q265">
        <v>1</v>
      </c>
      <c r="R265">
        <v>1</v>
      </c>
      <c r="S265">
        <v>0</v>
      </c>
      <c r="T265">
        <v>7</v>
      </c>
      <c r="X265">
        <f t="shared" si="4"/>
        <v>0</v>
      </c>
    </row>
    <row r="266" spans="1:24" x14ac:dyDescent="0.25">
      <c r="A266" t="s">
        <v>655</v>
      </c>
      <c r="B266" t="s">
        <v>391</v>
      </c>
      <c r="C266">
        <v>28</v>
      </c>
      <c r="D266">
        <v>2.08</v>
      </c>
      <c r="E266">
        <v>0</v>
      </c>
      <c r="F266">
        <v>0</v>
      </c>
      <c r="G266">
        <v>0</v>
      </c>
      <c r="H266">
        <v>2</v>
      </c>
      <c r="I266">
        <v>0</v>
      </c>
      <c r="J266">
        <v>0</v>
      </c>
      <c r="K266">
        <v>0</v>
      </c>
      <c r="L266">
        <v>4.0999999999999996</v>
      </c>
      <c r="M266">
        <v>3</v>
      </c>
      <c r="N266">
        <v>1</v>
      </c>
      <c r="O266">
        <v>1</v>
      </c>
      <c r="P266">
        <v>1</v>
      </c>
      <c r="Q266">
        <v>0</v>
      </c>
      <c r="R266">
        <v>0</v>
      </c>
      <c r="S266">
        <v>0</v>
      </c>
      <c r="T266">
        <v>4</v>
      </c>
      <c r="X266">
        <f t="shared" si="4"/>
        <v>0</v>
      </c>
    </row>
    <row r="267" spans="1:24" x14ac:dyDescent="0.25">
      <c r="A267" t="s">
        <v>656</v>
      </c>
      <c r="B267" t="s">
        <v>391</v>
      </c>
      <c r="C267">
        <v>28</v>
      </c>
      <c r="D267">
        <v>2.57</v>
      </c>
      <c r="E267">
        <v>0</v>
      </c>
      <c r="F267">
        <v>0</v>
      </c>
      <c r="G267">
        <v>0</v>
      </c>
      <c r="H267">
        <v>3</v>
      </c>
      <c r="I267">
        <v>0</v>
      </c>
      <c r="J267">
        <v>0</v>
      </c>
      <c r="K267">
        <v>0</v>
      </c>
      <c r="L267">
        <v>7</v>
      </c>
      <c r="M267">
        <v>7</v>
      </c>
      <c r="N267">
        <v>2</v>
      </c>
      <c r="O267">
        <v>2</v>
      </c>
      <c r="P267">
        <v>1</v>
      </c>
      <c r="Q267">
        <v>1</v>
      </c>
      <c r="R267">
        <v>4</v>
      </c>
      <c r="S267">
        <v>0</v>
      </c>
      <c r="T267">
        <v>4</v>
      </c>
      <c r="X267">
        <f t="shared" si="4"/>
        <v>0</v>
      </c>
    </row>
    <row r="268" spans="1:24" x14ac:dyDescent="0.25">
      <c r="A268" t="s">
        <v>657</v>
      </c>
      <c r="B268" t="s">
        <v>391</v>
      </c>
      <c r="C268">
        <v>28</v>
      </c>
      <c r="D268">
        <v>4.5599999999999996</v>
      </c>
      <c r="E268">
        <v>0</v>
      </c>
      <c r="F268">
        <v>1</v>
      </c>
      <c r="G268">
        <v>1</v>
      </c>
      <c r="H268">
        <v>9</v>
      </c>
      <c r="I268">
        <v>1</v>
      </c>
      <c r="J268">
        <v>0</v>
      </c>
      <c r="K268">
        <v>0</v>
      </c>
      <c r="L268">
        <v>23.2</v>
      </c>
      <c r="M268">
        <v>24</v>
      </c>
      <c r="N268">
        <v>13</v>
      </c>
      <c r="O268">
        <v>12</v>
      </c>
      <c r="P268">
        <v>4</v>
      </c>
      <c r="Q268">
        <v>1</v>
      </c>
      <c r="R268">
        <v>2</v>
      </c>
      <c r="S268">
        <v>0</v>
      </c>
      <c r="T268">
        <v>23</v>
      </c>
      <c r="X268">
        <f t="shared" si="4"/>
        <v>0</v>
      </c>
    </row>
    <row r="269" spans="1:24" x14ac:dyDescent="0.25">
      <c r="A269" t="s">
        <v>658</v>
      </c>
      <c r="B269" t="s">
        <v>391</v>
      </c>
      <c r="C269">
        <v>28</v>
      </c>
      <c r="D269">
        <v>6.23</v>
      </c>
      <c r="E269">
        <v>1</v>
      </c>
      <c r="F269">
        <v>0</v>
      </c>
      <c r="G269">
        <v>0</v>
      </c>
      <c r="H269">
        <v>41</v>
      </c>
      <c r="I269">
        <v>0</v>
      </c>
      <c r="J269">
        <v>0</v>
      </c>
      <c r="K269">
        <v>0</v>
      </c>
      <c r="L269">
        <v>43.1</v>
      </c>
      <c r="M269">
        <v>50</v>
      </c>
      <c r="N269">
        <v>32</v>
      </c>
      <c r="O269">
        <v>30</v>
      </c>
      <c r="P269">
        <v>4</v>
      </c>
      <c r="Q269">
        <v>2</v>
      </c>
      <c r="R269">
        <v>22</v>
      </c>
      <c r="S269">
        <v>1</v>
      </c>
      <c r="T269">
        <v>39</v>
      </c>
      <c r="X269">
        <f t="shared" si="4"/>
        <v>0</v>
      </c>
    </row>
    <row r="270" spans="1:24" x14ac:dyDescent="0.25">
      <c r="A270" t="s">
        <v>659</v>
      </c>
      <c r="B270" t="s">
        <v>391</v>
      </c>
      <c r="C270">
        <v>28</v>
      </c>
      <c r="D270">
        <v>3.41</v>
      </c>
      <c r="E270">
        <v>4</v>
      </c>
      <c r="F270">
        <v>3</v>
      </c>
      <c r="G270">
        <v>0</v>
      </c>
      <c r="H270">
        <v>39</v>
      </c>
      <c r="I270">
        <v>0</v>
      </c>
      <c r="J270">
        <v>0</v>
      </c>
      <c r="K270">
        <v>0</v>
      </c>
      <c r="L270">
        <v>37</v>
      </c>
      <c r="M270">
        <v>27</v>
      </c>
      <c r="N270">
        <v>16</v>
      </c>
      <c r="O270">
        <v>14</v>
      </c>
      <c r="P270">
        <v>3</v>
      </c>
      <c r="Q270">
        <v>2</v>
      </c>
      <c r="R270">
        <v>30</v>
      </c>
      <c r="S270">
        <v>1</v>
      </c>
      <c r="T270">
        <v>33</v>
      </c>
      <c r="X270">
        <f t="shared" si="4"/>
        <v>0</v>
      </c>
    </row>
    <row r="271" spans="1:24" x14ac:dyDescent="0.25">
      <c r="A271" t="s">
        <v>660</v>
      </c>
      <c r="B271" t="s">
        <v>391</v>
      </c>
      <c r="C271">
        <v>28</v>
      </c>
      <c r="D271">
        <v>5.79</v>
      </c>
      <c r="E271">
        <v>0</v>
      </c>
      <c r="F271">
        <v>0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4.2</v>
      </c>
      <c r="M271">
        <v>4</v>
      </c>
      <c r="N271">
        <v>3</v>
      </c>
      <c r="O271">
        <v>3</v>
      </c>
      <c r="P271">
        <v>3</v>
      </c>
      <c r="Q271">
        <v>0</v>
      </c>
      <c r="R271">
        <v>2</v>
      </c>
      <c r="S271">
        <v>0</v>
      </c>
      <c r="T271">
        <v>5</v>
      </c>
      <c r="X271">
        <f t="shared" si="4"/>
        <v>0</v>
      </c>
    </row>
    <row r="272" spans="1:24" x14ac:dyDescent="0.25">
      <c r="A272" t="s">
        <v>661</v>
      </c>
      <c r="B272" t="s">
        <v>391</v>
      </c>
      <c r="C272">
        <v>28</v>
      </c>
      <c r="D272">
        <v>7.8</v>
      </c>
      <c r="E272">
        <v>1</v>
      </c>
      <c r="F272">
        <v>1</v>
      </c>
      <c r="G272">
        <v>0</v>
      </c>
      <c r="H272">
        <v>12</v>
      </c>
      <c r="I272">
        <v>1</v>
      </c>
      <c r="J272">
        <v>0</v>
      </c>
      <c r="K272">
        <v>0</v>
      </c>
      <c r="L272">
        <v>15</v>
      </c>
      <c r="M272">
        <v>21</v>
      </c>
      <c r="N272">
        <v>13</v>
      </c>
      <c r="O272">
        <v>13</v>
      </c>
      <c r="P272">
        <v>2</v>
      </c>
      <c r="Q272">
        <v>0</v>
      </c>
      <c r="R272">
        <v>9</v>
      </c>
      <c r="S272">
        <v>2</v>
      </c>
      <c r="T272">
        <v>11</v>
      </c>
      <c r="X272">
        <f t="shared" si="4"/>
        <v>0</v>
      </c>
    </row>
    <row r="273" spans="1:24" x14ac:dyDescent="0.25">
      <c r="A273" t="s">
        <v>662</v>
      </c>
      <c r="B273" t="s">
        <v>391</v>
      </c>
      <c r="C273">
        <v>28</v>
      </c>
      <c r="D273">
        <v>3.38</v>
      </c>
      <c r="E273">
        <v>1</v>
      </c>
      <c r="F273">
        <v>0</v>
      </c>
      <c r="G273">
        <v>0</v>
      </c>
      <c r="H273">
        <v>7</v>
      </c>
      <c r="I273">
        <v>0</v>
      </c>
      <c r="J273">
        <v>0</v>
      </c>
      <c r="K273">
        <v>0</v>
      </c>
      <c r="L273">
        <v>8</v>
      </c>
      <c r="M273">
        <v>9</v>
      </c>
      <c r="N273">
        <v>3</v>
      </c>
      <c r="O273">
        <v>3</v>
      </c>
      <c r="P273">
        <v>0</v>
      </c>
      <c r="Q273">
        <v>0</v>
      </c>
      <c r="R273">
        <v>3</v>
      </c>
      <c r="S273">
        <v>0</v>
      </c>
      <c r="T273">
        <v>5</v>
      </c>
      <c r="X273">
        <f t="shared" si="4"/>
        <v>0</v>
      </c>
    </row>
    <row r="274" spans="1:24" x14ac:dyDescent="0.25">
      <c r="A274" t="s">
        <v>663</v>
      </c>
      <c r="B274" t="s">
        <v>391</v>
      </c>
      <c r="C274">
        <v>28</v>
      </c>
      <c r="D274">
        <v>4.8</v>
      </c>
      <c r="E274">
        <v>0</v>
      </c>
      <c r="F274">
        <v>1</v>
      </c>
      <c r="G274">
        <v>0</v>
      </c>
      <c r="H274">
        <v>16</v>
      </c>
      <c r="I274">
        <v>0</v>
      </c>
      <c r="J274">
        <v>0</v>
      </c>
      <c r="K274">
        <v>0</v>
      </c>
      <c r="L274">
        <v>15</v>
      </c>
      <c r="M274">
        <v>15</v>
      </c>
      <c r="N274">
        <v>10</v>
      </c>
      <c r="O274">
        <v>8</v>
      </c>
      <c r="P274">
        <v>2</v>
      </c>
      <c r="Q274">
        <v>2</v>
      </c>
      <c r="R274">
        <v>13</v>
      </c>
      <c r="S274">
        <v>2</v>
      </c>
      <c r="T274">
        <v>19</v>
      </c>
      <c r="X274">
        <f t="shared" si="4"/>
        <v>0</v>
      </c>
    </row>
    <row r="275" spans="1:24" x14ac:dyDescent="0.25">
      <c r="A275" t="s">
        <v>664</v>
      </c>
      <c r="B275" t="s">
        <v>389</v>
      </c>
      <c r="C275">
        <v>28</v>
      </c>
      <c r="D275">
        <v>4.62</v>
      </c>
      <c r="E275">
        <v>2</v>
      </c>
      <c r="F275">
        <v>4</v>
      </c>
      <c r="G275">
        <v>0</v>
      </c>
      <c r="H275">
        <v>8</v>
      </c>
      <c r="I275">
        <v>8</v>
      </c>
      <c r="J275">
        <v>0</v>
      </c>
      <c r="K275">
        <v>0</v>
      </c>
      <c r="L275">
        <v>37</v>
      </c>
      <c r="M275">
        <v>32</v>
      </c>
      <c r="N275">
        <v>22</v>
      </c>
      <c r="O275">
        <v>19</v>
      </c>
      <c r="P275">
        <v>3</v>
      </c>
      <c r="Q275">
        <v>1</v>
      </c>
      <c r="R275">
        <v>15</v>
      </c>
      <c r="S275">
        <v>0</v>
      </c>
      <c r="T275">
        <v>34</v>
      </c>
      <c r="X275">
        <f t="shared" si="4"/>
        <v>0</v>
      </c>
    </row>
    <row r="276" spans="1:24" x14ac:dyDescent="0.25">
      <c r="A276" t="s">
        <v>665</v>
      </c>
      <c r="B276" t="s">
        <v>389</v>
      </c>
      <c r="C276">
        <v>28</v>
      </c>
      <c r="D276">
        <v>3.51</v>
      </c>
      <c r="E276">
        <v>5</v>
      </c>
      <c r="F276">
        <v>7</v>
      </c>
      <c r="G276">
        <v>0</v>
      </c>
      <c r="H276">
        <v>19</v>
      </c>
      <c r="I276">
        <v>19</v>
      </c>
      <c r="J276">
        <v>1</v>
      </c>
      <c r="K276">
        <v>1</v>
      </c>
      <c r="L276">
        <v>112.2</v>
      </c>
      <c r="M276">
        <v>98</v>
      </c>
      <c r="N276">
        <v>49</v>
      </c>
      <c r="O276">
        <v>44</v>
      </c>
      <c r="P276">
        <v>9</v>
      </c>
      <c r="Q276">
        <v>7</v>
      </c>
      <c r="R276">
        <v>31</v>
      </c>
      <c r="S276">
        <v>1</v>
      </c>
      <c r="T276">
        <v>77</v>
      </c>
      <c r="X276">
        <f t="shared" si="4"/>
        <v>0</v>
      </c>
    </row>
    <row r="277" spans="1:24" x14ac:dyDescent="0.25">
      <c r="A277" t="s">
        <v>666</v>
      </c>
      <c r="B277" t="s">
        <v>391</v>
      </c>
      <c r="C277">
        <v>28</v>
      </c>
      <c r="D277">
        <v>4.24</v>
      </c>
      <c r="E277">
        <v>2</v>
      </c>
      <c r="F277">
        <v>0</v>
      </c>
      <c r="G277">
        <v>0</v>
      </c>
      <c r="H277">
        <v>15</v>
      </c>
      <c r="I277">
        <v>0</v>
      </c>
      <c r="J277">
        <v>0</v>
      </c>
      <c r="K277">
        <v>0</v>
      </c>
      <c r="L277">
        <v>17</v>
      </c>
      <c r="M277">
        <v>14</v>
      </c>
      <c r="N277">
        <v>8</v>
      </c>
      <c r="O277">
        <v>8</v>
      </c>
      <c r="P277">
        <v>4</v>
      </c>
      <c r="Q277">
        <v>1</v>
      </c>
      <c r="R277">
        <v>7</v>
      </c>
      <c r="S277">
        <v>0</v>
      </c>
      <c r="T277">
        <v>15</v>
      </c>
      <c r="X277">
        <f t="shared" si="4"/>
        <v>0</v>
      </c>
    </row>
    <row r="278" spans="1:24" x14ac:dyDescent="0.25">
      <c r="A278" t="s">
        <v>667</v>
      </c>
      <c r="B278" t="s">
        <v>391</v>
      </c>
      <c r="C278">
        <v>28</v>
      </c>
      <c r="D278">
        <v>5.62</v>
      </c>
      <c r="E278">
        <v>4</v>
      </c>
      <c r="F278">
        <v>6</v>
      </c>
      <c r="G278">
        <v>0</v>
      </c>
      <c r="H278">
        <v>48</v>
      </c>
      <c r="I278">
        <v>1</v>
      </c>
      <c r="J278">
        <v>0</v>
      </c>
      <c r="K278">
        <v>0</v>
      </c>
      <c r="L278">
        <v>49.2</v>
      </c>
      <c r="M278">
        <v>47</v>
      </c>
      <c r="N278">
        <v>36</v>
      </c>
      <c r="O278">
        <v>31</v>
      </c>
      <c r="P278">
        <v>7</v>
      </c>
      <c r="Q278">
        <v>2</v>
      </c>
      <c r="R278">
        <v>25</v>
      </c>
      <c r="S278">
        <v>2</v>
      </c>
      <c r="T278">
        <v>55</v>
      </c>
      <c r="X278">
        <f t="shared" si="4"/>
        <v>0</v>
      </c>
    </row>
    <row r="279" spans="1:24" x14ac:dyDescent="0.25">
      <c r="A279" t="s">
        <v>668</v>
      </c>
      <c r="B279" t="s">
        <v>389</v>
      </c>
      <c r="C279">
        <v>28</v>
      </c>
      <c r="D279">
        <v>6.66</v>
      </c>
      <c r="E279">
        <v>3</v>
      </c>
      <c r="F279">
        <v>3</v>
      </c>
      <c r="G279">
        <v>0</v>
      </c>
      <c r="H279">
        <v>6</v>
      </c>
      <c r="I279">
        <v>5</v>
      </c>
      <c r="J279">
        <v>0</v>
      </c>
      <c r="K279">
        <v>0</v>
      </c>
      <c r="L279">
        <v>24.1</v>
      </c>
      <c r="M279">
        <v>25</v>
      </c>
      <c r="N279">
        <v>18</v>
      </c>
      <c r="O279">
        <v>18</v>
      </c>
      <c r="P279">
        <v>5</v>
      </c>
      <c r="Q279">
        <v>0</v>
      </c>
      <c r="R279">
        <v>12</v>
      </c>
      <c r="S279">
        <v>0</v>
      </c>
      <c r="T279">
        <v>23</v>
      </c>
      <c r="X279">
        <f t="shared" si="4"/>
        <v>0</v>
      </c>
    </row>
    <row r="280" spans="1:24" x14ac:dyDescent="0.25">
      <c r="A280" t="s">
        <v>669</v>
      </c>
      <c r="B280" t="s">
        <v>391</v>
      </c>
      <c r="C280">
        <v>28</v>
      </c>
      <c r="D280">
        <v>3.49</v>
      </c>
      <c r="E280">
        <v>5</v>
      </c>
      <c r="F280">
        <v>3</v>
      </c>
      <c r="G280">
        <v>1</v>
      </c>
      <c r="H280">
        <v>63</v>
      </c>
      <c r="I280">
        <v>0</v>
      </c>
      <c r="J280">
        <v>0</v>
      </c>
      <c r="K280">
        <v>0</v>
      </c>
      <c r="L280">
        <v>56.2</v>
      </c>
      <c r="M280">
        <v>42</v>
      </c>
      <c r="N280">
        <v>25</v>
      </c>
      <c r="O280">
        <v>22</v>
      </c>
      <c r="P280">
        <v>7</v>
      </c>
      <c r="Q280">
        <v>1</v>
      </c>
      <c r="R280">
        <v>13</v>
      </c>
      <c r="S280">
        <v>1</v>
      </c>
      <c r="T280">
        <v>46</v>
      </c>
      <c r="X280">
        <f t="shared" si="4"/>
        <v>0</v>
      </c>
    </row>
    <row r="281" spans="1:24" x14ac:dyDescent="0.25">
      <c r="A281" t="s">
        <v>670</v>
      </c>
      <c r="B281" t="s">
        <v>391</v>
      </c>
      <c r="C281">
        <v>28</v>
      </c>
      <c r="D281">
        <v>6.75</v>
      </c>
      <c r="E281">
        <v>0</v>
      </c>
      <c r="F281">
        <v>0</v>
      </c>
      <c r="G281">
        <v>0</v>
      </c>
      <c r="H281">
        <v>2</v>
      </c>
      <c r="I281">
        <v>0</v>
      </c>
      <c r="J281">
        <v>0</v>
      </c>
      <c r="K281">
        <v>0</v>
      </c>
      <c r="L281">
        <v>4</v>
      </c>
      <c r="M281">
        <v>5</v>
      </c>
      <c r="N281">
        <v>3</v>
      </c>
      <c r="O281">
        <v>3</v>
      </c>
      <c r="P281">
        <v>0</v>
      </c>
      <c r="Q281">
        <v>0</v>
      </c>
      <c r="R281">
        <v>3</v>
      </c>
      <c r="S281">
        <v>0</v>
      </c>
      <c r="T281">
        <v>5</v>
      </c>
      <c r="X281">
        <f t="shared" si="4"/>
        <v>0</v>
      </c>
    </row>
    <row r="282" spans="1:24" x14ac:dyDescent="0.25">
      <c r="A282" t="s">
        <v>671</v>
      </c>
      <c r="B282" t="s">
        <v>391</v>
      </c>
      <c r="C282">
        <v>28</v>
      </c>
      <c r="D282">
        <v>1.54</v>
      </c>
      <c r="E282">
        <v>0</v>
      </c>
      <c r="F282">
        <v>0</v>
      </c>
      <c r="G282">
        <v>0</v>
      </c>
      <c r="H282">
        <v>9</v>
      </c>
      <c r="I282">
        <v>1</v>
      </c>
      <c r="J282">
        <v>0</v>
      </c>
      <c r="K282">
        <v>0</v>
      </c>
      <c r="L282">
        <v>11.2</v>
      </c>
      <c r="M282">
        <v>10</v>
      </c>
      <c r="N282">
        <v>2</v>
      </c>
      <c r="O282">
        <v>2</v>
      </c>
      <c r="P282">
        <v>0</v>
      </c>
      <c r="Q282">
        <v>0</v>
      </c>
      <c r="R282">
        <v>3</v>
      </c>
      <c r="S282">
        <v>0</v>
      </c>
      <c r="T282">
        <v>8</v>
      </c>
      <c r="X282">
        <f t="shared" si="4"/>
        <v>0</v>
      </c>
    </row>
    <row r="283" spans="1:24" x14ac:dyDescent="0.25">
      <c r="A283" t="s">
        <v>672</v>
      </c>
      <c r="B283" t="s">
        <v>416</v>
      </c>
      <c r="C283">
        <v>28</v>
      </c>
      <c r="D283">
        <v>9</v>
      </c>
      <c r="E283">
        <v>0</v>
      </c>
      <c r="F283">
        <v>0</v>
      </c>
      <c r="G283">
        <v>1</v>
      </c>
      <c r="H283">
        <v>3</v>
      </c>
      <c r="I283">
        <v>0</v>
      </c>
      <c r="J283">
        <v>0</v>
      </c>
      <c r="K283">
        <v>0</v>
      </c>
      <c r="L283">
        <v>2</v>
      </c>
      <c r="M283">
        <v>1</v>
      </c>
      <c r="N283">
        <v>2</v>
      </c>
      <c r="O283">
        <v>2</v>
      </c>
      <c r="P283">
        <v>1</v>
      </c>
      <c r="Q283">
        <v>0</v>
      </c>
      <c r="R283">
        <v>4</v>
      </c>
      <c r="S283">
        <v>0</v>
      </c>
      <c r="T283">
        <v>2</v>
      </c>
      <c r="X283">
        <f t="shared" si="4"/>
        <v>0</v>
      </c>
    </row>
    <row r="284" spans="1:24" x14ac:dyDescent="0.25">
      <c r="A284" t="s">
        <v>673</v>
      </c>
      <c r="B284" t="s">
        <v>391</v>
      </c>
      <c r="C284">
        <v>28</v>
      </c>
      <c r="D284">
        <v>6.75</v>
      </c>
      <c r="E284">
        <v>0</v>
      </c>
      <c r="F284">
        <v>0</v>
      </c>
      <c r="G284">
        <v>0</v>
      </c>
      <c r="H284">
        <v>8</v>
      </c>
      <c r="I284">
        <v>1</v>
      </c>
      <c r="J284">
        <v>0</v>
      </c>
      <c r="K284">
        <v>0</v>
      </c>
      <c r="L284">
        <v>9.1</v>
      </c>
      <c r="M284">
        <v>12</v>
      </c>
      <c r="N284">
        <v>9</v>
      </c>
      <c r="O284">
        <v>7</v>
      </c>
      <c r="P284">
        <v>1</v>
      </c>
      <c r="Q284">
        <v>1</v>
      </c>
      <c r="R284">
        <v>6</v>
      </c>
      <c r="S284">
        <v>0</v>
      </c>
      <c r="T284">
        <v>8</v>
      </c>
      <c r="X284">
        <f t="shared" si="4"/>
        <v>0</v>
      </c>
    </row>
    <row r="285" spans="1:24" x14ac:dyDescent="0.25">
      <c r="A285" t="s">
        <v>674</v>
      </c>
      <c r="B285" t="s">
        <v>391</v>
      </c>
      <c r="C285">
        <v>28</v>
      </c>
      <c r="D285">
        <v>2.42</v>
      </c>
      <c r="E285">
        <v>3</v>
      </c>
      <c r="F285">
        <v>1</v>
      </c>
      <c r="G285">
        <v>0</v>
      </c>
      <c r="H285">
        <v>17</v>
      </c>
      <c r="I285">
        <v>0</v>
      </c>
      <c r="J285">
        <v>0</v>
      </c>
      <c r="K285">
        <v>0</v>
      </c>
      <c r="L285">
        <v>22.1</v>
      </c>
      <c r="M285">
        <v>15</v>
      </c>
      <c r="N285">
        <v>7</v>
      </c>
      <c r="O285">
        <v>6</v>
      </c>
      <c r="P285">
        <v>2</v>
      </c>
      <c r="Q285">
        <v>0</v>
      </c>
      <c r="R285">
        <v>8</v>
      </c>
      <c r="S285">
        <v>1</v>
      </c>
      <c r="T285">
        <v>17</v>
      </c>
      <c r="X285">
        <f t="shared" si="4"/>
        <v>0</v>
      </c>
    </row>
    <row r="286" spans="1:24" x14ac:dyDescent="0.25">
      <c r="A286" t="s">
        <v>675</v>
      </c>
      <c r="B286" t="s">
        <v>391</v>
      </c>
      <c r="C286">
        <v>28</v>
      </c>
      <c r="D286">
        <v>14.85</v>
      </c>
      <c r="E286">
        <v>0</v>
      </c>
      <c r="F286">
        <v>1</v>
      </c>
      <c r="G286">
        <v>0</v>
      </c>
      <c r="H286">
        <v>5</v>
      </c>
      <c r="I286">
        <v>0</v>
      </c>
      <c r="J286">
        <v>0</v>
      </c>
      <c r="K286">
        <v>0</v>
      </c>
      <c r="L286">
        <v>6.2</v>
      </c>
      <c r="M286">
        <v>15</v>
      </c>
      <c r="N286">
        <v>12</v>
      </c>
      <c r="O286">
        <v>11</v>
      </c>
      <c r="P286">
        <v>4</v>
      </c>
      <c r="Q286">
        <v>1</v>
      </c>
      <c r="R286">
        <v>2</v>
      </c>
      <c r="S286">
        <v>0</v>
      </c>
      <c r="T286">
        <v>3</v>
      </c>
      <c r="X286">
        <f t="shared" si="4"/>
        <v>0</v>
      </c>
    </row>
    <row r="287" spans="1:24" x14ac:dyDescent="0.25">
      <c r="A287" t="s">
        <v>676</v>
      </c>
      <c r="B287" t="s">
        <v>391</v>
      </c>
      <c r="C287">
        <v>28</v>
      </c>
      <c r="D287">
        <v>3.65</v>
      </c>
      <c r="E287">
        <v>2</v>
      </c>
      <c r="F287">
        <v>1</v>
      </c>
      <c r="G287">
        <v>1</v>
      </c>
      <c r="H287">
        <v>28</v>
      </c>
      <c r="I287">
        <v>0</v>
      </c>
      <c r="J287">
        <v>0</v>
      </c>
      <c r="K287">
        <v>0</v>
      </c>
      <c r="L287">
        <v>24.2</v>
      </c>
      <c r="M287">
        <v>23</v>
      </c>
      <c r="N287">
        <v>10</v>
      </c>
      <c r="O287">
        <v>10</v>
      </c>
      <c r="P287">
        <v>2</v>
      </c>
      <c r="Q287">
        <v>2</v>
      </c>
      <c r="R287">
        <v>13</v>
      </c>
      <c r="S287">
        <v>0</v>
      </c>
      <c r="T287">
        <v>27</v>
      </c>
      <c r="X287">
        <f t="shared" si="4"/>
        <v>0</v>
      </c>
    </row>
    <row r="288" spans="1:24" x14ac:dyDescent="0.25">
      <c r="A288" t="s">
        <v>677</v>
      </c>
      <c r="B288" t="s">
        <v>391</v>
      </c>
      <c r="C288">
        <v>28</v>
      </c>
      <c r="D288">
        <v>2.08</v>
      </c>
      <c r="E288">
        <v>1</v>
      </c>
      <c r="F288">
        <v>2</v>
      </c>
      <c r="G288">
        <v>0</v>
      </c>
      <c r="H288">
        <v>31</v>
      </c>
      <c r="I288">
        <v>0</v>
      </c>
      <c r="J288">
        <v>0</v>
      </c>
      <c r="K288">
        <v>0</v>
      </c>
      <c r="L288">
        <v>30.1</v>
      </c>
      <c r="M288">
        <v>26</v>
      </c>
      <c r="N288">
        <v>9</v>
      </c>
      <c r="O288">
        <v>7</v>
      </c>
      <c r="P288">
        <v>2</v>
      </c>
      <c r="Q288">
        <v>1</v>
      </c>
      <c r="R288">
        <v>6</v>
      </c>
      <c r="S288">
        <v>0</v>
      </c>
      <c r="T288">
        <v>25</v>
      </c>
      <c r="X288">
        <f t="shared" si="4"/>
        <v>0</v>
      </c>
    </row>
    <row r="289" spans="1:24" x14ac:dyDescent="0.25">
      <c r="A289" t="s">
        <v>678</v>
      </c>
      <c r="B289" t="s">
        <v>391</v>
      </c>
      <c r="C289">
        <v>28</v>
      </c>
      <c r="D289">
        <v>3.08</v>
      </c>
      <c r="E289">
        <v>3</v>
      </c>
      <c r="F289">
        <v>2</v>
      </c>
      <c r="G289">
        <v>2</v>
      </c>
      <c r="H289">
        <v>66</v>
      </c>
      <c r="I289">
        <v>1</v>
      </c>
      <c r="J289">
        <v>0</v>
      </c>
      <c r="K289">
        <v>0</v>
      </c>
      <c r="L289">
        <v>73</v>
      </c>
      <c r="M289">
        <v>50</v>
      </c>
      <c r="N289">
        <v>26</v>
      </c>
      <c r="O289">
        <v>25</v>
      </c>
      <c r="P289">
        <v>8</v>
      </c>
      <c r="Q289">
        <v>6</v>
      </c>
      <c r="R289">
        <v>34</v>
      </c>
      <c r="S289">
        <v>3</v>
      </c>
      <c r="T289">
        <v>66</v>
      </c>
      <c r="X289">
        <f t="shared" si="4"/>
        <v>0</v>
      </c>
    </row>
    <row r="290" spans="1:24" x14ac:dyDescent="0.25">
      <c r="A290" t="s">
        <v>679</v>
      </c>
      <c r="B290" t="s">
        <v>391</v>
      </c>
      <c r="C290">
        <v>28</v>
      </c>
      <c r="D290">
        <v>6.75</v>
      </c>
      <c r="E290">
        <v>0</v>
      </c>
      <c r="F290">
        <v>0</v>
      </c>
      <c r="G290">
        <v>0</v>
      </c>
      <c r="H290">
        <v>1</v>
      </c>
      <c r="I290">
        <v>0</v>
      </c>
      <c r="J290">
        <v>0</v>
      </c>
      <c r="K290">
        <v>0</v>
      </c>
      <c r="L290">
        <v>1.1000000000000001</v>
      </c>
      <c r="M290">
        <v>1</v>
      </c>
      <c r="N290">
        <v>1</v>
      </c>
      <c r="O290">
        <v>1</v>
      </c>
      <c r="P290">
        <v>1</v>
      </c>
      <c r="Q290">
        <v>0</v>
      </c>
      <c r="R290">
        <v>1</v>
      </c>
      <c r="S290">
        <v>0</v>
      </c>
      <c r="T290">
        <v>2</v>
      </c>
      <c r="X290">
        <f t="shared" si="4"/>
        <v>0</v>
      </c>
    </row>
    <row r="291" spans="1:24" x14ac:dyDescent="0.25">
      <c r="A291" t="s">
        <v>680</v>
      </c>
      <c r="B291" t="s">
        <v>391</v>
      </c>
      <c r="C291">
        <v>28</v>
      </c>
      <c r="D291">
        <v>7.84</v>
      </c>
      <c r="E291">
        <v>1</v>
      </c>
      <c r="F291">
        <v>3</v>
      </c>
      <c r="G291">
        <v>0</v>
      </c>
      <c r="H291">
        <v>20</v>
      </c>
      <c r="I291">
        <v>0</v>
      </c>
      <c r="J291">
        <v>0</v>
      </c>
      <c r="K291">
        <v>0</v>
      </c>
      <c r="L291">
        <v>20.2</v>
      </c>
      <c r="M291">
        <v>26</v>
      </c>
      <c r="N291">
        <v>21</v>
      </c>
      <c r="O291">
        <v>18</v>
      </c>
      <c r="P291">
        <v>2</v>
      </c>
      <c r="Q291">
        <v>1</v>
      </c>
      <c r="R291">
        <v>12</v>
      </c>
      <c r="S291">
        <v>1</v>
      </c>
      <c r="T291">
        <v>15</v>
      </c>
      <c r="X291">
        <f t="shared" si="4"/>
        <v>0</v>
      </c>
    </row>
    <row r="292" spans="1:24" x14ac:dyDescent="0.25">
      <c r="A292" t="s">
        <v>681</v>
      </c>
      <c r="B292" t="s">
        <v>391</v>
      </c>
      <c r="C292">
        <v>28</v>
      </c>
      <c r="D292">
        <v>8.1</v>
      </c>
      <c r="E292">
        <v>0</v>
      </c>
      <c r="F292">
        <v>0</v>
      </c>
      <c r="G292">
        <v>0</v>
      </c>
      <c r="H292">
        <v>6</v>
      </c>
      <c r="I292">
        <v>0</v>
      </c>
      <c r="J292">
        <v>0</v>
      </c>
      <c r="K292">
        <v>0</v>
      </c>
      <c r="L292">
        <v>6.2</v>
      </c>
      <c r="M292">
        <v>9</v>
      </c>
      <c r="N292">
        <v>6</v>
      </c>
      <c r="O292">
        <v>6</v>
      </c>
      <c r="P292">
        <v>2</v>
      </c>
      <c r="Q292">
        <v>0</v>
      </c>
      <c r="R292">
        <v>5</v>
      </c>
      <c r="S292">
        <v>0</v>
      </c>
      <c r="T292">
        <v>4</v>
      </c>
      <c r="X292">
        <f t="shared" si="4"/>
        <v>0</v>
      </c>
    </row>
    <row r="293" spans="1:24" x14ac:dyDescent="0.25">
      <c r="A293" t="s">
        <v>682</v>
      </c>
      <c r="B293" t="s">
        <v>391</v>
      </c>
      <c r="C293">
        <v>28</v>
      </c>
      <c r="D293">
        <v>2.2000000000000002</v>
      </c>
      <c r="E293">
        <v>0</v>
      </c>
      <c r="F293">
        <v>2</v>
      </c>
      <c r="G293">
        <v>1</v>
      </c>
      <c r="H293">
        <v>19</v>
      </c>
      <c r="I293">
        <v>0</v>
      </c>
      <c r="J293">
        <v>0</v>
      </c>
      <c r="K293">
        <v>0</v>
      </c>
      <c r="L293">
        <v>16.100000000000001</v>
      </c>
      <c r="M293">
        <v>11</v>
      </c>
      <c r="N293">
        <v>7</v>
      </c>
      <c r="O293">
        <v>4</v>
      </c>
      <c r="P293">
        <v>2</v>
      </c>
      <c r="Q293">
        <v>2</v>
      </c>
      <c r="R293">
        <v>8</v>
      </c>
      <c r="S293">
        <v>0</v>
      </c>
      <c r="T293">
        <v>16</v>
      </c>
      <c r="X293">
        <f t="shared" si="4"/>
        <v>0</v>
      </c>
    </row>
    <row r="294" spans="1:24" x14ac:dyDescent="0.25">
      <c r="A294" t="s">
        <v>683</v>
      </c>
      <c r="B294" t="s">
        <v>391</v>
      </c>
      <c r="C294">
        <v>28</v>
      </c>
      <c r="D294">
        <v>3.4</v>
      </c>
      <c r="E294">
        <v>4</v>
      </c>
      <c r="F294">
        <v>3</v>
      </c>
      <c r="G294">
        <v>0</v>
      </c>
      <c r="H294">
        <v>35</v>
      </c>
      <c r="I294">
        <v>0</v>
      </c>
      <c r="J294">
        <v>0</v>
      </c>
      <c r="K294">
        <v>0</v>
      </c>
      <c r="L294">
        <v>45</v>
      </c>
      <c r="M294">
        <v>33</v>
      </c>
      <c r="N294">
        <v>18</v>
      </c>
      <c r="O294">
        <v>17</v>
      </c>
      <c r="P294">
        <v>6</v>
      </c>
      <c r="Q294">
        <v>1</v>
      </c>
      <c r="R294">
        <v>17</v>
      </c>
      <c r="S294">
        <v>2</v>
      </c>
      <c r="T294">
        <v>31</v>
      </c>
      <c r="X294">
        <f t="shared" si="4"/>
        <v>0</v>
      </c>
    </row>
    <row r="295" spans="1:24" x14ac:dyDescent="0.25">
      <c r="A295" t="s">
        <v>684</v>
      </c>
      <c r="B295" t="s">
        <v>391</v>
      </c>
      <c r="C295">
        <v>28</v>
      </c>
      <c r="D295">
        <v>3.57</v>
      </c>
      <c r="E295">
        <v>1</v>
      </c>
      <c r="F295">
        <v>1</v>
      </c>
      <c r="G295">
        <v>0</v>
      </c>
      <c r="H295">
        <v>19</v>
      </c>
      <c r="I295">
        <v>0</v>
      </c>
      <c r="J295">
        <v>0</v>
      </c>
      <c r="K295">
        <v>0</v>
      </c>
      <c r="L295">
        <v>17.2</v>
      </c>
      <c r="M295">
        <v>16</v>
      </c>
      <c r="N295">
        <v>7</v>
      </c>
      <c r="O295">
        <v>7</v>
      </c>
      <c r="P295">
        <v>1</v>
      </c>
      <c r="Q295">
        <v>2</v>
      </c>
      <c r="R295">
        <v>10</v>
      </c>
      <c r="S295">
        <v>0</v>
      </c>
      <c r="T295">
        <v>25</v>
      </c>
      <c r="X295">
        <f t="shared" si="4"/>
        <v>0</v>
      </c>
    </row>
    <row r="296" spans="1:24" x14ac:dyDescent="0.25">
      <c r="A296" t="s">
        <v>685</v>
      </c>
      <c r="B296" t="s">
        <v>391</v>
      </c>
      <c r="C296">
        <v>28</v>
      </c>
      <c r="D296">
        <v>3.18</v>
      </c>
      <c r="E296">
        <v>4</v>
      </c>
      <c r="F296">
        <v>3</v>
      </c>
      <c r="G296">
        <v>0</v>
      </c>
      <c r="H296">
        <v>59</v>
      </c>
      <c r="I296">
        <v>1</v>
      </c>
      <c r="J296">
        <v>0</v>
      </c>
      <c r="K296">
        <v>0</v>
      </c>
      <c r="L296">
        <v>65</v>
      </c>
      <c r="M296">
        <v>47</v>
      </c>
      <c r="N296">
        <v>24</v>
      </c>
      <c r="O296">
        <v>23</v>
      </c>
      <c r="P296">
        <v>10</v>
      </c>
      <c r="Q296">
        <v>7</v>
      </c>
      <c r="R296">
        <v>21</v>
      </c>
      <c r="S296">
        <v>2</v>
      </c>
      <c r="T296">
        <v>70</v>
      </c>
      <c r="X296">
        <f t="shared" si="4"/>
        <v>0</v>
      </c>
    </row>
    <row r="297" spans="1:24" x14ac:dyDescent="0.25">
      <c r="A297" t="s">
        <v>686</v>
      </c>
      <c r="B297" t="s">
        <v>391</v>
      </c>
      <c r="C297">
        <v>28</v>
      </c>
      <c r="D297">
        <v>5.21</v>
      </c>
      <c r="E297">
        <v>1</v>
      </c>
      <c r="F297">
        <v>1</v>
      </c>
      <c r="G297">
        <v>1</v>
      </c>
      <c r="H297">
        <v>15</v>
      </c>
      <c r="I297">
        <v>0</v>
      </c>
      <c r="J297">
        <v>0</v>
      </c>
      <c r="K297">
        <v>0</v>
      </c>
      <c r="L297">
        <v>19</v>
      </c>
      <c r="M297">
        <v>23</v>
      </c>
      <c r="N297">
        <v>12</v>
      </c>
      <c r="O297">
        <v>11</v>
      </c>
      <c r="P297">
        <v>3</v>
      </c>
      <c r="Q297">
        <v>3</v>
      </c>
      <c r="R297">
        <v>7</v>
      </c>
      <c r="S297">
        <v>0</v>
      </c>
      <c r="T297">
        <v>16</v>
      </c>
      <c r="X297">
        <f t="shared" si="4"/>
        <v>0</v>
      </c>
    </row>
    <row r="298" spans="1:24" x14ac:dyDescent="0.25">
      <c r="A298" t="s">
        <v>687</v>
      </c>
      <c r="B298" t="s">
        <v>391</v>
      </c>
      <c r="C298">
        <v>28</v>
      </c>
      <c r="D298">
        <v>5.4</v>
      </c>
      <c r="E298">
        <v>1</v>
      </c>
      <c r="F298">
        <v>0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8.1</v>
      </c>
      <c r="M298">
        <v>13</v>
      </c>
      <c r="N298">
        <v>5</v>
      </c>
      <c r="O298">
        <v>5</v>
      </c>
      <c r="P298">
        <v>2</v>
      </c>
      <c r="Q298">
        <v>0</v>
      </c>
      <c r="R298">
        <v>0</v>
      </c>
      <c r="S298">
        <v>0</v>
      </c>
      <c r="T298">
        <v>6</v>
      </c>
      <c r="X298">
        <f t="shared" si="4"/>
        <v>0</v>
      </c>
    </row>
    <row r="299" spans="1:24" x14ac:dyDescent="0.25">
      <c r="A299" t="s">
        <v>688</v>
      </c>
      <c r="B299" t="s">
        <v>389</v>
      </c>
      <c r="C299">
        <v>28</v>
      </c>
      <c r="D299">
        <v>7.71</v>
      </c>
      <c r="E299">
        <v>0</v>
      </c>
      <c r="F299">
        <v>1</v>
      </c>
      <c r="G299">
        <v>0</v>
      </c>
      <c r="H299">
        <v>1</v>
      </c>
      <c r="I299">
        <v>1</v>
      </c>
      <c r="J299">
        <v>0</v>
      </c>
      <c r="K299">
        <v>0</v>
      </c>
      <c r="L299">
        <v>4.2</v>
      </c>
      <c r="M299">
        <v>6</v>
      </c>
      <c r="N299">
        <v>4</v>
      </c>
      <c r="O299">
        <v>4</v>
      </c>
      <c r="P299">
        <v>1</v>
      </c>
      <c r="Q299">
        <v>0</v>
      </c>
      <c r="R299">
        <v>6</v>
      </c>
      <c r="S299">
        <v>0</v>
      </c>
      <c r="T299">
        <v>3</v>
      </c>
      <c r="X299">
        <f t="shared" si="4"/>
        <v>0</v>
      </c>
    </row>
    <row r="300" spans="1:24" x14ac:dyDescent="0.25">
      <c r="A300" t="s">
        <v>689</v>
      </c>
      <c r="B300" t="s">
        <v>389</v>
      </c>
      <c r="C300">
        <v>28</v>
      </c>
      <c r="D300">
        <v>3.35</v>
      </c>
      <c r="E300">
        <v>1</v>
      </c>
      <c r="F300">
        <v>3</v>
      </c>
      <c r="G300">
        <v>0</v>
      </c>
      <c r="H300">
        <v>9</v>
      </c>
      <c r="I300">
        <v>9</v>
      </c>
      <c r="J300">
        <v>0</v>
      </c>
      <c r="K300">
        <v>0</v>
      </c>
      <c r="L300">
        <v>53.2</v>
      </c>
      <c r="M300">
        <v>46</v>
      </c>
      <c r="N300">
        <v>20</v>
      </c>
      <c r="O300">
        <v>20</v>
      </c>
      <c r="P300">
        <v>10</v>
      </c>
      <c r="Q300">
        <v>3</v>
      </c>
      <c r="R300">
        <v>4</v>
      </c>
      <c r="S300">
        <v>0</v>
      </c>
      <c r="T300">
        <v>52</v>
      </c>
      <c r="X300">
        <f t="shared" si="4"/>
        <v>0</v>
      </c>
    </row>
    <row r="301" spans="1:24" x14ac:dyDescent="0.25">
      <c r="A301" t="s">
        <v>690</v>
      </c>
      <c r="B301" t="s">
        <v>391</v>
      </c>
      <c r="C301">
        <v>28</v>
      </c>
      <c r="D301">
        <v>5.4</v>
      </c>
      <c r="E301">
        <v>3</v>
      </c>
      <c r="F301">
        <v>1</v>
      </c>
      <c r="G301">
        <v>0</v>
      </c>
      <c r="H301">
        <v>21</v>
      </c>
      <c r="I301">
        <v>0</v>
      </c>
      <c r="J301">
        <v>0</v>
      </c>
      <c r="K301">
        <v>0</v>
      </c>
      <c r="L301">
        <v>26.2</v>
      </c>
      <c r="M301">
        <v>35</v>
      </c>
      <c r="N301">
        <v>20</v>
      </c>
      <c r="O301">
        <v>16</v>
      </c>
      <c r="P301">
        <v>2</v>
      </c>
      <c r="Q301">
        <v>1</v>
      </c>
      <c r="R301">
        <v>15</v>
      </c>
      <c r="S301">
        <v>1</v>
      </c>
      <c r="T301">
        <v>31</v>
      </c>
      <c r="X301">
        <f t="shared" si="4"/>
        <v>0</v>
      </c>
    </row>
    <row r="302" spans="1:24" x14ac:dyDescent="0.25">
      <c r="A302" t="s">
        <v>691</v>
      </c>
      <c r="B302" t="s">
        <v>391</v>
      </c>
      <c r="C302">
        <v>28</v>
      </c>
      <c r="D302">
        <v>6.44</v>
      </c>
      <c r="E302">
        <v>0</v>
      </c>
      <c r="F302">
        <v>4</v>
      </c>
      <c r="G302">
        <v>3</v>
      </c>
      <c r="H302">
        <v>22</v>
      </c>
      <c r="I302">
        <v>0</v>
      </c>
      <c r="J302">
        <v>0</v>
      </c>
      <c r="K302">
        <v>0</v>
      </c>
      <c r="L302">
        <v>36.1</v>
      </c>
      <c r="M302">
        <v>45</v>
      </c>
      <c r="N302">
        <v>28</v>
      </c>
      <c r="O302">
        <v>26</v>
      </c>
      <c r="P302">
        <v>3</v>
      </c>
      <c r="Q302">
        <v>3</v>
      </c>
      <c r="R302">
        <v>13</v>
      </c>
      <c r="S302">
        <v>1</v>
      </c>
      <c r="T302">
        <v>23</v>
      </c>
      <c r="X302">
        <f t="shared" si="4"/>
        <v>0</v>
      </c>
    </row>
    <row r="303" spans="1:24" x14ac:dyDescent="0.25">
      <c r="A303" t="s">
        <v>692</v>
      </c>
      <c r="B303" t="s">
        <v>391</v>
      </c>
      <c r="C303">
        <v>29</v>
      </c>
      <c r="D303">
        <v>6.22</v>
      </c>
      <c r="E303">
        <v>0</v>
      </c>
      <c r="F303">
        <v>2</v>
      </c>
      <c r="G303">
        <v>0</v>
      </c>
      <c r="H303">
        <v>56</v>
      </c>
      <c r="I303">
        <v>0</v>
      </c>
      <c r="J303">
        <v>0</v>
      </c>
      <c r="K303">
        <v>0</v>
      </c>
      <c r="L303">
        <v>55</v>
      </c>
      <c r="M303">
        <v>66</v>
      </c>
      <c r="N303">
        <v>44</v>
      </c>
      <c r="O303">
        <v>38</v>
      </c>
      <c r="P303">
        <v>13</v>
      </c>
      <c r="Q303">
        <v>1</v>
      </c>
      <c r="R303">
        <v>30</v>
      </c>
      <c r="S303">
        <v>1</v>
      </c>
      <c r="T303">
        <v>61</v>
      </c>
      <c r="X303">
        <f t="shared" si="4"/>
        <v>0</v>
      </c>
    </row>
    <row r="304" spans="1:24" x14ac:dyDescent="0.25">
      <c r="A304" t="s">
        <v>693</v>
      </c>
      <c r="B304" t="s">
        <v>391</v>
      </c>
      <c r="C304">
        <v>29</v>
      </c>
      <c r="D304">
        <v>4.6100000000000003</v>
      </c>
      <c r="E304">
        <v>1</v>
      </c>
      <c r="F304">
        <v>0</v>
      </c>
      <c r="G304">
        <v>2</v>
      </c>
      <c r="H304">
        <v>31</v>
      </c>
      <c r="I304">
        <v>1</v>
      </c>
      <c r="J304">
        <v>0</v>
      </c>
      <c r="K304">
        <v>0</v>
      </c>
      <c r="L304">
        <v>56.2</v>
      </c>
      <c r="M304">
        <v>47</v>
      </c>
      <c r="N304">
        <v>29</v>
      </c>
      <c r="O304">
        <v>29</v>
      </c>
      <c r="P304">
        <v>7</v>
      </c>
      <c r="Q304">
        <v>2</v>
      </c>
      <c r="R304">
        <v>16</v>
      </c>
      <c r="S304">
        <v>0</v>
      </c>
      <c r="T304">
        <v>41</v>
      </c>
      <c r="X304">
        <f t="shared" si="4"/>
        <v>0</v>
      </c>
    </row>
    <row r="305" spans="1:24" x14ac:dyDescent="0.25">
      <c r="A305" t="s">
        <v>694</v>
      </c>
      <c r="B305" t="s">
        <v>391</v>
      </c>
      <c r="C305">
        <v>29</v>
      </c>
      <c r="D305">
        <v>5.87</v>
      </c>
      <c r="E305">
        <v>2</v>
      </c>
      <c r="F305">
        <v>5</v>
      </c>
      <c r="G305">
        <v>1</v>
      </c>
      <c r="H305">
        <v>26</v>
      </c>
      <c r="I305">
        <v>10</v>
      </c>
      <c r="J305">
        <v>0</v>
      </c>
      <c r="K305">
        <v>0</v>
      </c>
      <c r="L305">
        <v>79.2</v>
      </c>
      <c r="M305">
        <v>93</v>
      </c>
      <c r="N305">
        <v>56</v>
      </c>
      <c r="O305">
        <v>52</v>
      </c>
      <c r="P305">
        <v>19</v>
      </c>
      <c r="Q305">
        <v>6</v>
      </c>
      <c r="R305">
        <v>35</v>
      </c>
      <c r="S305">
        <v>1</v>
      </c>
      <c r="T305">
        <v>68</v>
      </c>
      <c r="X305">
        <f t="shared" si="4"/>
        <v>0</v>
      </c>
    </row>
    <row r="306" spans="1:24" x14ac:dyDescent="0.25">
      <c r="A306" t="s">
        <v>695</v>
      </c>
      <c r="B306" t="s">
        <v>391</v>
      </c>
      <c r="C306">
        <v>29</v>
      </c>
      <c r="D306">
        <v>5.53</v>
      </c>
      <c r="E306">
        <v>4</v>
      </c>
      <c r="F306">
        <v>2</v>
      </c>
      <c r="G306">
        <v>0</v>
      </c>
      <c r="H306">
        <v>48</v>
      </c>
      <c r="I306">
        <v>0</v>
      </c>
      <c r="J306">
        <v>0</v>
      </c>
      <c r="K306">
        <v>0</v>
      </c>
      <c r="L306">
        <v>55.1</v>
      </c>
      <c r="M306">
        <v>60</v>
      </c>
      <c r="N306">
        <v>37</v>
      </c>
      <c r="O306">
        <v>34</v>
      </c>
      <c r="P306">
        <v>7</v>
      </c>
      <c r="Q306">
        <v>3</v>
      </c>
      <c r="R306">
        <v>25</v>
      </c>
      <c r="S306">
        <v>4</v>
      </c>
      <c r="T306">
        <v>66</v>
      </c>
      <c r="X306">
        <f t="shared" si="4"/>
        <v>0</v>
      </c>
    </row>
    <row r="307" spans="1:24" x14ac:dyDescent="0.25">
      <c r="A307" t="s">
        <v>696</v>
      </c>
      <c r="B307" t="s">
        <v>391</v>
      </c>
      <c r="C307">
        <v>29</v>
      </c>
      <c r="D307">
        <v>5.48</v>
      </c>
      <c r="E307">
        <v>3</v>
      </c>
      <c r="F307">
        <v>0</v>
      </c>
      <c r="G307">
        <v>0</v>
      </c>
      <c r="H307">
        <v>26</v>
      </c>
      <c r="I307">
        <v>2</v>
      </c>
      <c r="J307">
        <v>0</v>
      </c>
      <c r="K307">
        <v>0</v>
      </c>
      <c r="L307">
        <v>44.1</v>
      </c>
      <c r="M307">
        <v>45</v>
      </c>
      <c r="N307">
        <v>29</v>
      </c>
      <c r="O307">
        <v>27</v>
      </c>
      <c r="P307">
        <v>9</v>
      </c>
      <c r="Q307">
        <v>1</v>
      </c>
      <c r="R307">
        <v>18</v>
      </c>
      <c r="S307">
        <v>0</v>
      </c>
      <c r="T307">
        <v>35</v>
      </c>
      <c r="X307">
        <f t="shared" si="4"/>
        <v>0</v>
      </c>
    </row>
    <row r="308" spans="1:24" x14ac:dyDescent="0.25">
      <c r="A308" t="s">
        <v>697</v>
      </c>
      <c r="B308" t="s">
        <v>391</v>
      </c>
      <c r="C308">
        <v>29</v>
      </c>
      <c r="D308">
        <v>3.94</v>
      </c>
      <c r="E308">
        <v>2</v>
      </c>
      <c r="F308">
        <v>2</v>
      </c>
      <c r="G308">
        <v>0</v>
      </c>
      <c r="H308">
        <v>29</v>
      </c>
      <c r="I308">
        <v>0</v>
      </c>
      <c r="J308">
        <v>0</v>
      </c>
      <c r="K308">
        <v>0</v>
      </c>
      <c r="L308">
        <v>32</v>
      </c>
      <c r="M308">
        <v>40</v>
      </c>
      <c r="N308">
        <v>18</v>
      </c>
      <c r="O308">
        <v>14</v>
      </c>
      <c r="P308">
        <v>4</v>
      </c>
      <c r="Q308">
        <v>4</v>
      </c>
      <c r="R308">
        <v>14</v>
      </c>
      <c r="S308">
        <v>1</v>
      </c>
      <c r="T308">
        <v>30</v>
      </c>
      <c r="X308">
        <f t="shared" si="4"/>
        <v>0</v>
      </c>
    </row>
    <row r="309" spans="1:24" x14ac:dyDescent="0.25">
      <c r="A309" t="s">
        <v>698</v>
      </c>
      <c r="B309" t="s">
        <v>391</v>
      </c>
      <c r="C309">
        <v>29</v>
      </c>
      <c r="D309">
        <v>6.75</v>
      </c>
      <c r="E309">
        <v>0</v>
      </c>
      <c r="F309">
        <v>0</v>
      </c>
      <c r="G309">
        <v>0</v>
      </c>
      <c r="H309">
        <v>9</v>
      </c>
      <c r="I309">
        <v>0</v>
      </c>
      <c r="J309">
        <v>0</v>
      </c>
      <c r="K309">
        <v>0</v>
      </c>
      <c r="L309">
        <v>12</v>
      </c>
      <c r="M309">
        <v>11</v>
      </c>
      <c r="N309">
        <v>9</v>
      </c>
      <c r="O309">
        <v>9</v>
      </c>
      <c r="P309">
        <v>2</v>
      </c>
      <c r="Q309">
        <v>0</v>
      </c>
      <c r="R309">
        <v>8</v>
      </c>
      <c r="S309">
        <v>0</v>
      </c>
      <c r="T309">
        <v>13</v>
      </c>
      <c r="X309">
        <f t="shared" si="4"/>
        <v>0</v>
      </c>
    </row>
    <row r="310" spans="1:24" x14ac:dyDescent="0.25">
      <c r="A310" t="s">
        <v>699</v>
      </c>
      <c r="B310" t="s">
        <v>391</v>
      </c>
      <c r="C310">
        <v>29</v>
      </c>
      <c r="D310">
        <v>2.25</v>
      </c>
      <c r="E310">
        <v>0</v>
      </c>
      <c r="F310">
        <v>0</v>
      </c>
      <c r="G310">
        <v>0</v>
      </c>
      <c r="H310">
        <v>2</v>
      </c>
      <c r="I310">
        <v>0</v>
      </c>
      <c r="J310">
        <v>0</v>
      </c>
      <c r="K310">
        <v>0</v>
      </c>
      <c r="L310">
        <v>4</v>
      </c>
      <c r="M310">
        <v>3</v>
      </c>
      <c r="N310">
        <v>1</v>
      </c>
      <c r="O310">
        <v>1</v>
      </c>
      <c r="P310">
        <v>0</v>
      </c>
      <c r="Q310">
        <v>0</v>
      </c>
      <c r="R310">
        <v>1</v>
      </c>
      <c r="S310">
        <v>0</v>
      </c>
      <c r="T310">
        <v>3</v>
      </c>
      <c r="X310">
        <f t="shared" si="4"/>
        <v>0</v>
      </c>
    </row>
    <row r="311" spans="1:24" x14ac:dyDescent="0.25">
      <c r="A311" t="s">
        <v>700</v>
      </c>
      <c r="B311" t="s">
        <v>391</v>
      </c>
      <c r="C311">
        <v>29</v>
      </c>
      <c r="D311">
        <v>4.3600000000000003</v>
      </c>
      <c r="E311">
        <v>6</v>
      </c>
      <c r="F311">
        <v>3</v>
      </c>
      <c r="G311">
        <v>0</v>
      </c>
      <c r="H311">
        <v>65</v>
      </c>
      <c r="I311">
        <v>0</v>
      </c>
      <c r="J311">
        <v>0</v>
      </c>
      <c r="K311">
        <v>0</v>
      </c>
      <c r="L311">
        <v>66</v>
      </c>
      <c r="M311">
        <v>61</v>
      </c>
      <c r="N311">
        <v>35</v>
      </c>
      <c r="O311">
        <v>32</v>
      </c>
      <c r="P311">
        <v>7</v>
      </c>
      <c r="Q311">
        <v>2</v>
      </c>
      <c r="R311">
        <v>24</v>
      </c>
      <c r="S311">
        <v>2</v>
      </c>
      <c r="T311">
        <v>62</v>
      </c>
      <c r="X311">
        <f t="shared" si="4"/>
        <v>0</v>
      </c>
    </row>
    <row r="312" spans="1:24" x14ac:dyDescent="0.25">
      <c r="A312" t="s">
        <v>701</v>
      </c>
      <c r="B312" t="s">
        <v>391</v>
      </c>
      <c r="C312">
        <v>29</v>
      </c>
      <c r="D312">
        <v>5.08</v>
      </c>
      <c r="E312">
        <v>2</v>
      </c>
      <c r="F312">
        <v>0</v>
      </c>
      <c r="G312">
        <v>0</v>
      </c>
      <c r="H312">
        <v>30</v>
      </c>
      <c r="I312">
        <v>0</v>
      </c>
      <c r="J312">
        <v>0</v>
      </c>
      <c r="K312">
        <v>0</v>
      </c>
      <c r="L312">
        <v>33.200000000000003</v>
      </c>
      <c r="M312">
        <v>37</v>
      </c>
      <c r="N312">
        <v>19</v>
      </c>
      <c r="O312">
        <v>19</v>
      </c>
      <c r="P312">
        <v>6</v>
      </c>
      <c r="Q312">
        <v>2</v>
      </c>
      <c r="R312">
        <v>11</v>
      </c>
      <c r="S312">
        <v>0</v>
      </c>
      <c r="T312">
        <v>28</v>
      </c>
      <c r="X312">
        <f t="shared" si="4"/>
        <v>0</v>
      </c>
    </row>
    <row r="313" spans="1:24" x14ac:dyDescent="0.25">
      <c r="A313" t="s">
        <v>702</v>
      </c>
      <c r="B313" t="s">
        <v>391</v>
      </c>
      <c r="C313">
        <v>29</v>
      </c>
      <c r="D313">
        <v>5.4</v>
      </c>
      <c r="E313">
        <v>1</v>
      </c>
      <c r="F313">
        <v>0</v>
      </c>
      <c r="G313">
        <v>0</v>
      </c>
      <c r="H313">
        <v>4</v>
      </c>
      <c r="I313">
        <v>0</v>
      </c>
      <c r="J313">
        <v>0</v>
      </c>
      <c r="K313">
        <v>0</v>
      </c>
      <c r="L313">
        <v>5</v>
      </c>
      <c r="M313">
        <v>3</v>
      </c>
      <c r="N313">
        <v>3</v>
      </c>
      <c r="O313">
        <v>3</v>
      </c>
      <c r="P313">
        <v>2</v>
      </c>
      <c r="Q313">
        <v>0</v>
      </c>
      <c r="R313">
        <v>2</v>
      </c>
      <c r="S313">
        <v>0</v>
      </c>
      <c r="T313">
        <v>5</v>
      </c>
      <c r="X313">
        <f t="shared" si="4"/>
        <v>0</v>
      </c>
    </row>
    <row r="314" spans="1:24" x14ac:dyDescent="0.25">
      <c r="A314" t="s">
        <v>703</v>
      </c>
      <c r="B314" t="s">
        <v>391</v>
      </c>
      <c r="C314">
        <v>29</v>
      </c>
      <c r="D314">
        <v>9</v>
      </c>
      <c r="E314">
        <v>0</v>
      </c>
      <c r="F314">
        <v>0</v>
      </c>
      <c r="G314">
        <v>0</v>
      </c>
      <c r="H314">
        <v>3</v>
      </c>
      <c r="I314">
        <v>0</v>
      </c>
      <c r="J314">
        <v>0</v>
      </c>
      <c r="K314">
        <v>0</v>
      </c>
      <c r="L314">
        <v>8</v>
      </c>
      <c r="M314">
        <v>15</v>
      </c>
      <c r="N314">
        <v>12</v>
      </c>
      <c r="O314">
        <v>8</v>
      </c>
      <c r="P314">
        <v>1</v>
      </c>
      <c r="Q314">
        <v>2</v>
      </c>
      <c r="R314">
        <v>1</v>
      </c>
      <c r="S314">
        <v>0</v>
      </c>
      <c r="T314">
        <v>8</v>
      </c>
      <c r="X314">
        <f t="shared" si="4"/>
        <v>0</v>
      </c>
    </row>
    <row r="315" spans="1:24" x14ac:dyDescent="0.25">
      <c r="A315" t="s">
        <v>704</v>
      </c>
      <c r="B315" t="s">
        <v>391</v>
      </c>
      <c r="C315">
        <v>29</v>
      </c>
      <c r="D315">
        <v>9</v>
      </c>
      <c r="E315">
        <v>0</v>
      </c>
      <c r="F315">
        <v>0</v>
      </c>
      <c r="G315">
        <v>0</v>
      </c>
      <c r="H315">
        <v>1</v>
      </c>
      <c r="I315">
        <v>0</v>
      </c>
      <c r="J315">
        <v>0</v>
      </c>
      <c r="K315">
        <v>0</v>
      </c>
      <c r="L315">
        <v>1</v>
      </c>
      <c r="M315">
        <v>1</v>
      </c>
      <c r="N315">
        <v>1</v>
      </c>
      <c r="O315">
        <v>1</v>
      </c>
      <c r="P315">
        <v>1</v>
      </c>
      <c r="Q315">
        <v>0</v>
      </c>
      <c r="R315">
        <v>0</v>
      </c>
      <c r="S315">
        <v>0</v>
      </c>
      <c r="T315">
        <v>2</v>
      </c>
      <c r="X315">
        <f t="shared" si="4"/>
        <v>0</v>
      </c>
    </row>
    <row r="316" spans="1:24" x14ac:dyDescent="0.25">
      <c r="A316" t="s">
        <v>705</v>
      </c>
      <c r="B316" t="s">
        <v>391</v>
      </c>
      <c r="C316">
        <v>29</v>
      </c>
      <c r="D316">
        <v>5.23</v>
      </c>
      <c r="E316">
        <v>0</v>
      </c>
      <c r="F316">
        <v>1</v>
      </c>
      <c r="G316">
        <v>0</v>
      </c>
      <c r="H316">
        <v>9</v>
      </c>
      <c r="I316">
        <v>1</v>
      </c>
      <c r="J316">
        <v>0</v>
      </c>
      <c r="K316">
        <v>0</v>
      </c>
      <c r="L316">
        <v>10.1</v>
      </c>
      <c r="M316">
        <v>10</v>
      </c>
      <c r="N316">
        <v>7</v>
      </c>
      <c r="O316">
        <v>6</v>
      </c>
      <c r="P316">
        <v>0</v>
      </c>
      <c r="Q316">
        <v>0</v>
      </c>
      <c r="R316">
        <v>5</v>
      </c>
      <c r="S316">
        <v>0</v>
      </c>
      <c r="T316">
        <v>8</v>
      </c>
      <c r="X316">
        <f t="shared" si="4"/>
        <v>0</v>
      </c>
    </row>
    <row r="317" spans="1:24" x14ac:dyDescent="0.25">
      <c r="A317" t="s">
        <v>706</v>
      </c>
      <c r="B317" t="s">
        <v>391</v>
      </c>
      <c r="C317">
        <v>29</v>
      </c>
      <c r="D317">
        <v>4.58</v>
      </c>
      <c r="E317">
        <v>0</v>
      </c>
      <c r="F317">
        <v>0</v>
      </c>
      <c r="G317">
        <v>0</v>
      </c>
      <c r="H317">
        <v>18</v>
      </c>
      <c r="I317">
        <v>0</v>
      </c>
      <c r="J317">
        <v>0</v>
      </c>
      <c r="K317">
        <v>0</v>
      </c>
      <c r="L317">
        <v>19.2</v>
      </c>
      <c r="M317">
        <v>17</v>
      </c>
      <c r="N317">
        <v>13</v>
      </c>
      <c r="O317">
        <v>10</v>
      </c>
      <c r="P317">
        <v>4</v>
      </c>
      <c r="Q317">
        <v>0</v>
      </c>
      <c r="R317">
        <v>9</v>
      </c>
      <c r="S317">
        <v>0</v>
      </c>
      <c r="T317">
        <v>21</v>
      </c>
      <c r="X317">
        <f t="shared" si="4"/>
        <v>0</v>
      </c>
    </row>
    <row r="318" spans="1:24" x14ac:dyDescent="0.25">
      <c r="A318" t="s">
        <v>707</v>
      </c>
      <c r="B318" t="s">
        <v>391</v>
      </c>
      <c r="C318">
        <v>29</v>
      </c>
      <c r="D318">
        <v>7.01</v>
      </c>
      <c r="E318">
        <v>0</v>
      </c>
      <c r="F318">
        <v>2</v>
      </c>
      <c r="G318">
        <v>1</v>
      </c>
      <c r="H318">
        <v>24</v>
      </c>
      <c r="I318">
        <v>0</v>
      </c>
      <c r="J318">
        <v>0</v>
      </c>
      <c r="K318">
        <v>0</v>
      </c>
      <c r="L318">
        <v>25.2</v>
      </c>
      <c r="M318">
        <v>34</v>
      </c>
      <c r="N318">
        <v>21</v>
      </c>
      <c r="O318">
        <v>20</v>
      </c>
      <c r="P318">
        <v>4</v>
      </c>
      <c r="Q318">
        <v>2</v>
      </c>
      <c r="R318">
        <v>16</v>
      </c>
      <c r="S318">
        <v>1</v>
      </c>
      <c r="T318">
        <v>18</v>
      </c>
      <c r="X318">
        <f t="shared" si="4"/>
        <v>0</v>
      </c>
    </row>
    <row r="319" spans="1:24" x14ac:dyDescent="0.25">
      <c r="A319" t="s">
        <v>708</v>
      </c>
      <c r="B319" t="s">
        <v>389</v>
      </c>
      <c r="C319">
        <v>29</v>
      </c>
      <c r="D319">
        <v>4.17</v>
      </c>
      <c r="E319">
        <v>6</v>
      </c>
      <c r="F319">
        <v>4</v>
      </c>
      <c r="G319">
        <v>1</v>
      </c>
      <c r="H319">
        <v>21</v>
      </c>
      <c r="I319">
        <v>16</v>
      </c>
      <c r="J319">
        <v>0</v>
      </c>
      <c r="K319">
        <v>0</v>
      </c>
      <c r="L319">
        <v>110</v>
      </c>
      <c r="M319">
        <v>112</v>
      </c>
      <c r="N319">
        <v>54</v>
      </c>
      <c r="O319">
        <v>51</v>
      </c>
      <c r="P319">
        <v>8</v>
      </c>
      <c r="Q319">
        <v>4</v>
      </c>
      <c r="R319">
        <v>13</v>
      </c>
      <c r="S319">
        <v>0</v>
      </c>
      <c r="T319">
        <v>77</v>
      </c>
      <c r="X319">
        <f t="shared" si="4"/>
        <v>0</v>
      </c>
    </row>
    <row r="320" spans="1:24" x14ac:dyDescent="0.25">
      <c r="A320" t="s">
        <v>709</v>
      </c>
      <c r="B320" t="s">
        <v>391</v>
      </c>
      <c r="C320">
        <v>29</v>
      </c>
      <c r="D320">
        <v>2.0699999999999998</v>
      </c>
      <c r="E320">
        <v>4</v>
      </c>
      <c r="F320">
        <v>2</v>
      </c>
      <c r="G320">
        <v>3</v>
      </c>
      <c r="H320">
        <v>68</v>
      </c>
      <c r="I320">
        <v>1</v>
      </c>
      <c r="J320">
        <v>0</v>
      </c>
      <c r="K320">
        <v>0</v>
      </c>
      <c r="L320">
        <v>69.2</v>
      </c>
      <c r="M320">
        <v>45</v>
      </c>
      <c r="N320">
        <v>18</v>
      </c>
      <c r="O320">
        <v>16</v>
      </c>
      <c r="P320">
        <v>4</v>
      </c>
      <c r="Q320">
        <v>6</v>
      </c>
      <c r="R320">
        <v>22</v>
      </c>
      <c r="S320">
        <v>0</v>
      </c>
      <c r="T320">
        <v>75</v>
      </c>
      <c r="X320">
        <f t="shared" si="4"/>
        <v>0</v>
      </c>
    </row>
    <row r="321" spans="1:24" x14ac:dyDescent="0.25">
      <c r="A321" t="s">
        <v>710</v>
      </c>
      <c r="B321" t="s">
        <v>391</v>
      </c>
      <c r="C321">
        <v>29</v>
      </c>
      <c r="D321">
        <v>2.4500000000000002</v>
      </c>
      <c r="E321">
        <v>0</v>
      </c>
      <c r="F321">
        <v>0</v>
      </c>
      <c r="G321">
        <v>0</v>
      </c>
      <c r="H321">
        <v>14</v>
      </c>
      <c r="I321">
        <v>0</v>
      </c>
      <c r="J321">
        <v>0</v>
      </c>
      <c r="K321">
        <v>0</v>
      </c>
      <c r="L321">
        <v>11</v>
      </c>
      <c r="M321">
        <v>6</v>
      </c>
      <c r="N321">
        <v>3</v>
      </c>
      <c r="O321">
        <v>3</v>
      </c>
      <c r="P321">
        <v>0</v>
      </c>
      <c r="Q321">
        <v>0</v>
      </c>
      <c r="R321">
        <v>13</v>
      </c>
      <c r="S321">
        <v>0</v>
      </c>
      <c r="T321">
        <v>12</v>
      </c>
      <c r="X321">
        <f t="shared" si="4"/>
        <v>0</v>
      </c>
    </row>
    <row r="322" spans="1:24" x14ac:dyDescent="0.25">
      <c r="A322" t="s">
        <v>711</v>
      </c>
      <c r="B322" t="s">
        <v>391</v>
      </c>
      <c r="C322">
        <v>29</v>
      </c>
      <c r="D322">
        <v>0</v>
      </c>
      <c r="E322">
        <v>0</v>
      </c>
      <c r="F322">
        <v>0</v>
      </c>
      <c r="G322">
        <v>0</v>
      </c>
      <c r="H322">
        <v>1</v>
      </c>
      <c r="I322">
        <v>0</v>
      </c>
      <c r="J322">
        <v>0</v>
      </c>
      <c r="K322">
        <v>0</v>
      </c>
      <c r="L322">
        <v>1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1</v>
      </c>
      <c r="S322">
        <v>0</v>
      </c>
      <c r="T322">
        <v>1</v>
      </c>
      <c r="X322">
        <f t="shared" si="4"/>
        <v>0</v>
      </c>
    </row>
    <row r="323" spans="1:24" x14ac:dyDescent="0.25">
      <c r="A323" t="s">
        <v>712</v>
      </c>
      <c r="B323" t="s">
        <v>391</v>
      </c>
      <c r="C323">
        <v>29</v>
      </c>
      <c r="D323">
        <v>2.84</v>
      </c>
      <c r="E323">
        <v>2</v>
      </c>
      <c r="F323">
        <v>0</v>
      </c>
      <c r="G323">
        <v>1</v>
      </c>
      <c r="H323">
        <v>33</v>
      </c>
      <c r="I323">
        <v>8</v>
      </c>
      <c r="J323">
        <v>0</v>
      </c>
      <c r="K323">
        <v>0</v>
      </c>
      <c r="L323">
        <v>85.2</v>
      </c>
      <c r="M323">
        <v>69</v>
      </c>
      <c r="N323">
        <v>28</v>
      </c>
      <c r="O323">
        <v>27</v>
      </c>
      <c r="P323">
        <v>7</v>
      </c>
      <c r="Q323">
        <v>0</v>
      </c>
      <c r="R323">
        <v>37</v>
      </c>
      <c r="S323">
        <v>2</v>
      </c>
      <c r="T323">
        <v>76</v>
      </c>
      <c r="X323">
        <f t="shared" ref="X323:X386" si="5">(V323*2)+W323</f>
        <v>0</v>
      </c>
    </row>
    <row r="324" spans="1:24" x14ac:dyDescent="0.25">
      <c r="A324" t="s">
        <v>713</v>
      </c>
      <c r="B324" t="s">
        <v>391</v>
      </c>
      <c r="C324">
        <v>29</v>
      </c>
      <c r="D324">
        <v>5.36</v>
      </c>
      <c r="E324">
        <v>2</v>
      </c>
      <c r="F324">
        <v>3</v>
      </c>
      <c r="G324">
        <v>0</v>
      </c>
      <c r="H324">
        <v>39</v>
      </c>
      <c r="I324">
        <v>0</v>
      </c>
      <c r="J324">
        <v>0</v>
      </c>
      <c r="K324">
        <v>0</v>
      </c>
      <c r="L324">
        <v>40.1</v>
      </c>
      <c r="M324">
        <v>48</v>
      </c>
      <c r="N324">
        <v>31</v>
      </c>
      <c r="O324">
        <v>24</v>
      </c>
      <c r="P324">
        <v>7</v>
      </c>
      <c r="Q324">
        <v>2</v>
      </c>
      <c r="R324">
        <v>22</v>
      </c>
      <c r="S324">
        <v>1</v>
      </c>
      <c r="T324">
        <v>33</v>
      </c>
      <c r="X324">
        <f t="shared" si="5"/>
        <v>0</v>
      </c>
    </row>
    <row r="325" spans="1:24" x14ac:dyDescent="0.25">
      <c r="A325" t="s">
        <v>714</v>
      </c>
      <c r="B325" t="s">
        <v>391</v>
      </c>
      <c r="C325">
        <v>29</v>
      </c>
      <c r="D325">
        <v>8.49</v>
      </c>
      <c r="E325">
        <v>0</v>
      </c>
      <c r="F325">
        <v>1</v>
      </c>
      <c r="G325">
        <v>0</v>
      </c>
      <c r="H325">
        <v>10</v>
      </c>
      <c r="I325">
        <v>0</v>
      </c>
      <c r="J325">
        <v>0</v>
      </c>
      <c r="K325">
        <v>0</v>
      </c>
      <c r="L325">
        <v>11.2</v>
      </c>
      <c r="M325">
        <v>12</v>
      </c>
      <c r="N325">
        <v>12</v>
      </c>
      <c r="O325">
        <v>11</v>
      </c>
      <c r="P325">
        <v>3</v>
      </c>
      <c r="Q325">
        <v>4</v>
      </c>
      <c r="R325">
        <v>6</v>
      </c>
      <c r="S325">
        <v>0</v>
      </c>
      <c r="T325">
        <v>12</v>
      </c>
      <c r="X325">
        <f t="shared" si="5"/>
        <v>0</v>
      </c>
    </row>
    <row r="326" spans="1:24" x14ac:dyDescent="0.25">
      <c r="A326" t="s">
        <v>715</v>
      </c>
      <c r="B326" t="s">
        <v>391</v>
      </c>
      <c r="C326">
        <v>29</v>
      </c>
      <c r="D326">
        <v>0.84</v>
      </c>
      <c r="E326">
        <v>0</v>
      </c>
      <c r="F326">
        <v>0</v>
      </c>
      <c r="G326">
        <v>0</v>
      </c>
      <c r="H326">
        <v>7</v>
      </c>
      <c r="I326">
        <v>0</v>
      </c>
      <c r="J326">
        <v>0</v>
      </c>
      <c r="K326">
        <v>0</v>
      </c>
      <c r="L326">
        <v>10.199999999999999</v>
      </c>
      <c r="M326">
        <v>6</v>
      </c>
      <c r="N326">
        <v>1</v>
      </c>
      <c r="O326">
        <v>1</v>
      </c>
      <c r="P326">
        <v>0</v>
      </c>
      <c r="Q326">
        <v>0</v>
      </c>
      <c r="R326">
        <v>4</v>
      </c>
      <c r="S326">
        <v>0</v>
      </c>
      <c r="T326">
        <v>12</v>
      </c>
      <c r="X326">
        <f t="shared" si="5"/>
        <v>0</v>
      </c>
    </row>
    <row r="327" spans="1:24" x14ac:dyDescent="0.25">
      <c r="A327" t="s">
        <v>716</v>
      </c>
      <c r="B327" t="s">
        <v>391</v>
      </c>
      <c r="C327">
        <v>29</v>
      </c>
      <c r="D327">
        <v>6</v>
      </c>
      <c r="E327">
        <v>1</v>
      </c>
      <c r="F327">
        <v>0</v>
      </c>
      <c r="G327">
        <v>2</v>
      </c>
      <c r="H327">
        <v>17</v>
      </c>
      <c r="I327">
        <v>0</v>
      </c>
      <c r="J327">
        <v>0</v>
      </c>
      <c r="K327">
        <v>0</v>
      </c>
      <c r="L327">
        <v>18</v>
      </c>
      <c r="M327">
        <v>22</v>
      </c>
      <c r="N327">
        <v>15</v>
      </c>
      <c r="O327">
        <v>12</v>
      </c>
      <c r="P327">
        <v>4</v>
      </c>
      <c r="Q327">
        <v>2</v>
      </c>
      <c r="R327">
        <v>9</v>
      </c>
      <c r="S327">
        <v>0</v>
      </c>
      <c r="T327">
        <v>23</v>
      </c>
      <c r="X327">
        <f t="shared" si="5"/>
        <v>0</v>
      </c>
    </row>
    <row r="328" spans="1:24" x14ac:dyDescent="0.25">
      <c r="A328" t="s">
        <v>717</v>
      </c>
      <c r="B328" t="s">
        <v>391</v>
      </c>
      <c r="C328">
        <v>29</v>
      </c>
      <c r="D328">
        <v>2.4500000000000002</v>
      </c>
      <c r="E328">
        <v>3</v>
      </c>
      <c r="F328">
        <v>3</v>
      </c>
      <c r="G328">
        <v>0</v>
      </c>
      <c r="H328">
        <v>44</v>
      </c>
      <c r="I328">
        <v>0</v>
      </c>
      <c r="J328">
        <v>0</v>
      </c>
      <c r="K328">
        <v>0</v>
      </c>
      <c r="L328">
        <v>47.2</v>
      </c>
      <c r="M328">
        <v>35</v>
      </c>
      <c r="N328">
        <v>14</v>
      </c>
      <c r="O328">
        <v>13</v>
      </c>
      <c r="P328">
        <v>4</v>
      </c>
      <c r="Q328">
        <v>2</v>
      </c>
      <c r="R328">
        <v>19</v>
      </c>
      <c r="S328">
        <v>2</v>
      </c>
      <c r="T328">
        <v>45</v>
      </c>
      <c r="X328">
        <f t="shared" si="5"/>
        <v>0</v>
      </c>
    </row>
    <row r="329" spans="1:24" x14ac:dyDescent="0.25">
      <c r="A329" t="s">
        <v>718</v>
      </c>
      <c r="B329" t="s">
        <v>391</v>
      </c>
      <c r="C329">
        <v>29</v>
      </c>
      <c r="D329">
        <v>1.69</v>
      </c>
      <c r="E329">
        <v>0</v>
      </c>
      <c r="F329">
        <v>0</v>
      </c>
      <c r="G329">
        <v>0</v>
      </c>
      <c r="H329">
        <v>3</v>
      </c>
      <c r="I329">
        <v>0</v>
      </c>
      <c r="J329">
        <v>0</v>
      </c>
      <c r="K329">
        <v>0</v>
      </c>
      <c r="L329">
        <v>5.0999999999999996</v>
      </c>
      <c r="M329">
        <v>5</v>
      </c>
      <c r="N329">
        <v>1</v>
      </c>
      <c r="O329">
        <v>1</v>
      </c>
      <c r="P329">
        <v>0</v>
      </c>
      <c r="Q329">
        <v>0</v>
      </c>
      <c r="R329">
        <v>1</v>
      </c>
      <c r="S329">
        <v>0</v>
      </c>
      <c r="T329">
        <v>6</v>
      </c>
      <c r="X329">
        <f t="shared" si="5"/>
        <v>0</v>
      </c>
    </row>
    <row r="330" spans="1:24" x14ac:dyDescent="0.25">
      <c r="A330" t="s">
        <v>719</v>
      </c>
      <c r="B330" t="s">
        <v>391</v>
      </c>
      <c r="C330">
        <v>29</v>
      </c>
      <c r="D330">
        <v>3.24</v>
      </c>
      <c r="E330">
        <v>1</v>
      </c>
      <c r="F330">
        <v>1</v>
      </c>
      <c r="G330">
        <v>0</v>
      </c>
      <c r="H330">
        <v>18</v>
      </c>
      <c r="I330">
        <v>0</v>
      </c>
      <c r="J330">
        <v>0</v>
      </c>
      <c r="K330">
        <v>0</v>
      </c>
      <c r="L330">
        <v>16.2</v>
      </c>
      <c r="M330">
        <v>16</v>
      </c>
      <c r="N330">
        <v>8</v>
      </c>
      <c r="O330">
        <v>6</v>
      </c>
      <c r="P330">
        <v>2</v>
      </c>
      <c r="Q330">
        <v>0</v>
      </c>
      <c r="R330">
        <v>7</v>
      </c>
      <c r="S330">
        <v>1</v>
      </c>
      <c r="T330">
        <v>19</v>
      </c>
      <c r="X330">
        <f t="shared" si="5"/>
        <v>0</v>
      </c>
    </row>
    <row r="331" spans="1:24" x14ac:dyDescent="0.25">
      <c r="A331" t="s">
        <v>720</v>
      </c>
      <c r="B331" t="s">
        <v>391</v>
      </c>
      <c r="C331">
        <v>29</v>
      </c>
      <c r="D331">
        <v>12.27</v>
      </c>
      <c r="E331">
        <v>0</v>
      </c>
      <c r="F331">
        <v>1</v>
      </c>
      <c r="G331">
        <v>0</v>
      </c>
      <c r="H331">
        <v>7</v>
      </c>
      <c r="I331">
        <v>0</v>
      </c>
      <c r="J331">
        <v>0</v>
      </c>
      <c r="K331">
        <v>0</v>
      </c>
      <c r="L331">
        <v>7.1</v>
      </c>
      <c r="M331">
        <v>12</v>
      </c>
      <c r="N331">
        <v>10</v>
      </c>
      <c r="O331">
        <v>10</v>
      </c>
      <c r="P331">
        <v>3</v>
      </c>
      <c r="Q331">
        <v>0</v>
      </c>
      <c r="R331">
        <v>3</v>
      </c>
      <c r="S331">
        <v>1</v>
      </c>
      <c r="T331">
        <v>4</v>
      </c>
      <c r="X331">
        <f t="shared" si="5"/>
        <v>0</v>
      </c>
    </row>
    <row r="332" spans="1:24" x14ac:dyDescent="0.25">
      <c r="A332" t="s">
        <v>721</v>
      </c>
      <c r="B332" t="s">
        <v>391</v>
      </c>
      <c r="C332">
        <v>29</v>
      </c>
      <c r="D332">
        <v>4.66</v>
      </c>
      <c r="E332">
        <v>0</v>
      </c>
      <c r="F332">
        <v>0</v>
      </c>
      <c r="G332">
        <v>0</v>
      </c>
      <c r="H332">
        <v>10</v>
      </c>
      <c r="I332">
        <v>0</v>
      </c>
      <c r="J332">
        <v>0</v>
      </c>
      <c r="K332">
        <v>0</v>
      </c>
      <c r="L332">
        <v>9.1999999999999993</v>
      </c>
      <c r="M332">
        <v>6</v>
      </c>
      <c r="N332">
        <v>5</v>
      </c>
      <c r="O332">
        <v>5</v>
      </c>
      <c r="P332">
        <v>1</v>
      </c>
      <c r="Q332">
        <v>0</v>
      </c>
      <c r="R332">
        <v>6</v>
      </c>
      <c r="S332">
        <v>0</v>
      </c>
      <c r="T332">
        <v>11</v>
      </c>
      <c r="X332">
        <f t="shared" si="5"/>
        <v>0</v>
      </c>
    </row>
    <row r="333" spans="1:24" x14ac:dyDescent="0.25">
      <c r="A333" t="s">
        <v>722</v>
      </c>
      <c r="B333" t="s">
        <v>391</v>
      </c>
      <c r="C333">
        <v>29</v>
      </c>
      <c r="D333">
        <v>8.31</v>
      </c>
      <c r="E333">
        <v>0</v>
      </c>
      <c r="F333">
        <v>0</v>
      </c>
      <c r="G333">
        <v>0</v>
      </c>
      <c r="H333">
        <v>19</v>
      </c>
      <c r="I333">
        <v>0</v>
      </c>
      <c r="J333">
        <v>0</v>
      </c>
      <c r="K333">
        <v>0</v>
      </c>
      <c r="L333">
        <v>21.2</v>
      </c>
      <c r="M333">
        <v>28</v>
      </c>
      <c r="N333">
        <v>22</v>
      </c>
      <c r="O333">
        <v>20</v>
      </c>
      <c r="P333">
        <v>3</v>
      </c>
      <c r="Q333">
        <v>2</v>
      </c>
      <c r="R333">
        <v>18</v>
      </c>
      <c r="S333">
        <v>1</v>
      </c>
      <c r="T333">
        <v>21</v>
      </c>
      <c r="X333">
        <f t="shared" si="5"/>
        <v>0</v>
      </c>
    </row>
    <row r="334" spans="1:24" x14ac:dyDescent="0.25">
      <c r="A334" t="s">
        <v>723</v>
      </c>
      <c r="B334" t="s">
        <v>391</v>
      </c>
      <c r="C334">
        <v>29</v>
      </c>
      <c r="D334">
        <v>0</v>
      </c>
      <c r="E334">
        <v>0</v>
      </c>
      <c r="F334">
        <v>0</v>
      </c>
      <c r="G334">
        <v>0</v>
      </c>
      <c r="H334">
        <v>2</v>
      </c>
      <c r="I334">
        <v>0</v>
      </c>
      <c r="J334">
        <v>0</v>
      </c>
      <c r="K334">
        <v>0</v>
      </c>
      <c r="L334">
        <v>1.1000000000000001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2</v>
      </c>
      <c r="S334">
        <v>0</v>
      </c>
      <c r="T334">
        <v>3</v>
      </c>
      <c r="X334">
        <f t="shared" si="5"/>
        <v>0</v>
      </c>
    </row>
    <row r="335" spans="1:24" x14ac:dyDescent="0.25">
      <c r="A335" t="s">
        <v>724</v>
      </c>
      <c r="B335" t="s">
        <v>391</v>
      </c>
      <c r="C335">
        <v>29</v>
      </c>
      <c r="D335">
        <v>0</v>
      </c>
      <c r="E335">
        <v>0</v>
      </c>
      <c r="F335">
        <v>0</v>
      </c>
      <c r="G335">
        <v>0</v>
      </c>
      <c r="H335">
        <v>2</v>
      </c>
      <c r="I335">
        <v>0</v>
      </c>
      <c r="J335">
        <v>0</v>
      </c>
      <c r="K335">
        <v>0</v>
      </c>
      <c r="L335">
        <v>2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1</v>
      </c>
      <c r="S335">
        <v>0</v>
      </c>
      <c r="T335">
        <v>1</v>
      </c>
      <c r="X335">
        <f t="shared" si="5"/>
        <v>0</v>
      </c>
    </row>
    <row r="336" spans="1:24" x14ac:dyDescent="0.25">
      <c r="A336" t="s">
        <v>725</v>
      </c>
      <c r="B336" t="s">
        <v>391</v>
      </c>
      <c r="C336">
        <v>29</v>
      </c>
      <c r="D336">
        <v>4.41</v>
      </c>
      <c r="E336">
        <v>0</v>
      </c>
      <c r="F336">
        <v>1</v>
      </c>
      <c r="G336">
        <v>2</v>
      </c>
      <c r="H336">
        <v>10</v>
      </c>
      <c r="I336">
        <v>0</v>
      </c>
      <c r="J336">
        <v>0</v>
      </c>
      <c r="K336">
        <v>0</v>
      </c>
      <c r="L336">
        <v>16.100000000000001</v>
      </c>
      <c r="M336">
        <v>16</v>
      </c>
      <c r="N336">
        <v>8</v>
      </c>
      <c r="O336">
        <v>8</v>
      </c>
      <c r="P336">
        <v>0</v>
      </c>
      <c r="Q336">
        <v>0</v>
      </c>
      <c r="R336">
        <v>8</v>
      </c>
      <c r="S336">
        <v>0</v>
      </c>
      <c r="T336">
        <v>22</v>
      </c>
      <c r="X336">
        <f t="shared" si="5"/>
        <v>0</v>
      </c>
    </row>
    <row r="337" spans="1:24" x14ac:dyDescent="0.25">
      <c r="A337" t="s">
        <v>726</v>
      </c>
      <c r="B337" t="s">
        <v>391</v>
      </c>
      <c r="C337">
        <v>29</v>
      </c>
      <c r="D337">
        <v>0</v>
      </c>
      <c r="E337">
        <v>0</v>
      </c>
      <c r="F337">
        <v>0</v>
      </c>
      <c r="G337">
        <v>0</v>
      </c>
      <c r="H337">
        <v>1</v>
      </c>
      <c r="I337">
        <v>0</v>
      </c>
      <c r="J337">
        <v>0</v>
      </c>
      <c r="K337">
        <v>0</v>
      </c>
      <c r="L337">
        <v>1.2</v>
      </c>
      <c r="M337">
        <v>2</v>
      </c>
      <c r="N337">
        <v>1</v>
      </c>
      <c r="O337">
        <v>0</v>
      </c>
      <c r="P337">
        <v>0</v>
      </c>
      <c r="Q337">
        <v>0</v>
      </c>
      <c r="R337">
        <v>1</v>
      </c>
      <c r="S337">
        <v>1</v>
      </c>
      <c r="T337">
        <v>2</v>
      </c>
      <c r="X337">
        <f t="shared" si="5"/>
        <v>0</v>
      </c>
    </row>
    <row r="338" spans="1:24" x14ac:dyDescent="0.25">
      <c r="A338" t="s">
        <v>727</v>
      </c>
      <c r="B338" t="s">
        <v>391</v>
      </c>
      <c r="C338">
        <v>29</v>
      </c>
      <c r="D338">
        <v>4.3499999999999996</v>
      </c>
      <c r="E338">
        <v>0</v>
      </c>
      <c r="F338">
        <v>0</v>
      </c>
      <c r="G338">
        <v>0</v>
      </c>
      <c r="H338">
        <v>7</v>
      </c>
      <c r="I338">
        <v>0</v>
      </c>
      <c r="J338">
        <v>0</v>
      </c>
      <c r="K338">
        <v>0</v>
      </c>
      <c r="L338">
        <v>10.1</v>
      </c>
      <c r="M338">
        <v>12</v>
      </c>
      <c r="N338">
        <v>5</v>
      </c>
      <c r="O338">
        <v>5</v>
      </c>
      <c r="P338">
        <v>1</v>
      </c>
      <c r="Q338">
        <v>0</v>
      </c>
      <c r="R338">
        <v>6</v>
      </c>
      <c r="S338">
        <v>0</v>
      </c>
      <c r="T338">
        <v>10</v>
      </c>
      <c r="X338">
        <f t="shared" si="5"/>
        <v>0</v>
      </c>
    </row>
    <row r="339" spans="1:24" x14ac:dyDescent="0.25">
      <c r="A339" t="s">
        <v>728</v>
      </c>
      <c r="B339" t="s">
        <v>391</v>
      </c>
      <c r="C339">
        <v>29</v>
      </c>
      <c r="D339">
        <v>5.47</v>
      </c>
      <c r="E339">
        <v>2</v>
      </c>
      <c r="F339">
        <v>1</v>
      </c>
      <c r="G339">
        <v>0</v>
      </c>
      <c r="H339">
        <v>24</v>
      </c>
      <c r="I339">
        <v>0</v>
      </c>
      <c r="J339">
        <v>0</v>
      </c>
      <c r="K339">
        <v>0</v>
      </c>
      <c r="L339">
        <v>26.1</v>
      </c>
      <c r="M339">
        <v>32</v>
      </c>
      <c r="N339">
        <v>20</v>
      </c>
      <c r="O339">
        <v>16</v>
      </c>
      <c r="P339">
        <v>3</v>
      </c>
      <c r="Q339">
        <v>2</v>
      </c>
      <c r="R339">
        <v>6</v>
      </c>
      <c r="S339">
        <v>1</v>
      </c>
      <c r="T339">
        <v>24</v>
      </c>
      <c r="X339">
        <f t="shared" si="5"/>
        <v>0</v>
      </c>
    </row>
    <row r="340" spans="1:24" x14ac:dyDescent="0.25">
      <c r="A340" t="s">
        <v>729</v>
      </c>
      <c r="B340" t="s">
        <v>391</v>
      </c>
      <c r="C340">
        <v>29</v>
      </c>
      <c r="D340">
        <v>9</v>
      </c>
      <c r="E340">
        <v>0</v>
      </c>
      <c r="F340">
        <v>0</v>
      </c>
      <c r="G340">
        <v>0</v>
      </c>
      <c r="H340">
        <v>1</v>
      </c>
      <c r="I340">
        <v>0</v>
      </c>
      <c r="J340">
        <v>0</v>
      </c>
      <c r="K340">
        <v>0</v>
      </c>
      <c r="L340">
        <v>2</v>
      </c>
      <c r="M340">
        <v>4</v>
      </c>
      <c r="N340">
        <v>2</v>
      </c>
      <c r="O340">
        <v>2</v>
      </c>
      <c r="P340">
        <v>0</v>
      </c>
      <c r="Q340">
        <v>0</v>
      </c>
      <c r="R340">
        <v>1</v>
      </c>
      <c r="S340">
        <v>0</v>
      </c>
      <c r="T340">
        <v>3</v>
      </c>
      <c r="X340">
        <f t="shared" si="5"/>
        <v>0</v>
      </c>
    </row>
    <row r="341" spans="1:24" x14ac:dyDescent="0.25">
      <c r="A341" t="s">
        <v>730</v>
      </c>
      <c r="B341" t="s">
        <v>391</v>
      </c>
      <c r="C341">
        <v>29</v>
      </c>
      <c r="D341">
        <v>0.96</v>
      </c>
      <c r="E341">
        <v>1</v>
      </c>
      <c r="F341">
        <v>0</v>
      </c>
      <c r="G341">
        <v>0</v>
      </c>
      <c r="H341">
        <v>5</v>
      </c>
      <c r="I341">
        <v>0</v>
      </c>
      <c r="J341">
        <v>0</v>
      </c>
      <c r="K341">
        <v>0</v>
      </c>
      <c r="L341">
        <v>9.1</v>
      </c>
      <c r="M341">
        <v>5</v>
      </c>
      <c r="N341">
        <v>1</v>
      </c>
      <c r="O341">
        <v>1</v>
      </c>
      <c r="P341">
        <v>1</v>
      </c>
      <c r="Q341">
        <v>0</v>
      </c>
      <c r="R341">
        <v>4</v>
      </c>
      <c r="S341">
        <v>0</v>
      </c>
      <c r="T341">
        <v>9</v>
      </c>
      <c r="X341">
        <f t="shared" si="5"/>
        <v>0</v>
      </c>
    </row>
    <row r="342" spans="1:24" x14ac:dyDescent="0.25">
      <c r="A342" t="s">
        <v>731</v>
      </c>
      <c r="B342" t="s">
        <v>391</v>
      </c>
      <c r="C342">
        <v>29</v>
      </c>
      <c r="D342">
        <v>8.68</v>
      </c>
      <c r="E342">
        <v>0</v>
      </c>
      <c r="F342">
        <v>1</v>
      </c>
      <c r="G342">
        <v>0</v>
      </c>
      <c r="H342">
        <v>3</v>
      </c>
      <c r="I342">
        <v>1</v>
      </c>
      <c r="J342">
        <v>0</v>
      </c>
      <c r="K342">
        <v>0</v>
      </c>
      <c r="L342">
        <v>9.1</v>
      </c>
      <c r="M342">
        <v>13</v>
      </c>
      <c r="N342">
        <v>11</v>
      </c>
      <c r="O342">
        <v>9</v>
      </c>
      <c r="P342">
        <v>2</v>
      </c>
      <c r="Q342">
        <v>2</v>
      </c>
      <c r="R342">
        <v>3</v>
      </c>
      <c r="S342">
        <v>0</v>
      </c>
      <c r="T342">
        <v>6</v>
      </c>
      <c r="X342">
        <f t="shared" si="5"/>
        <v>0</v>
      </c>
    </row>
    <row r="343" spans="1:24" x14ac:dyDescent="0.25">
      <c r="A343" t="s">
        <v>732</v>
      </c>
      <c r="B343" t="s">
        <v>391</v>
      </c>
      <c r="C343">
        <v>30</v>
      </c>
      <c r="D343">
        <v>3.41</v>
      </c>
      <c r="E343">
        <v>5</v>
      </c>
      <c r="F343">
        <v>4</v>
      </c>
      <c r="G343">
        <v>8</v>
      </c>
      <c r="H343">
        <v>64</v>
      </c>
      <c r="I343">
        <v>3</v>
      </c>
      <c r="J343">
        <v>0</v>
      </c>
      <c r="K343">
        <v>0</v>
      </c>
      <c r="L343">
        <v>63.1</v>
      </c>
      <c r="M343">
        <v>54</v>
      </c>
      <c r="N343">
        <v>28</v>
      </c>
      <c r="O343">
        <v>24</v>
      </c>
      <c r="P343">
        <v>10</v>
      </c>
      <c r="Q343">
        <v>1</v>
      </c>
      <c r="R343">
        <v>33</v>
      </c>
      <c r="S343">
        <v>2</v>
      </c>
      <c r="T343">
        <v>59</v>
      </c>
      <c r="X343">
        <f t="shared" si="5"/>
        <v>0</v>
      </c>
    </row>
    <row r="344" spans="1:24" x14ac:dyDescent="0.25">
      <c r="A344" t="s">
        <v>733</v>
      </c>
      <c r="B344" t="s">
        <v>391</v>
      </c>
      <c r="C344">
        <v>30</v>
      </c>
      <c r="D344">
        <v>10.32</v>
      </c>
      <c r="E344">
        <v>1</v>
      </c>
      <c r="F344">
        <v>0</v>
      </c>
      <c r="G344">
        <v>0</v>
      </c>
      <c r="H344">
        <v>7</v>
      </c>
      <c r="I344">
        <v>0</v>
      </c>
      <c r="J344">
        <v>0</v>
      </c>
      <c r="K344">
        <v>0</v>
      </c>
      <c r="L344">
        <v>11.1</v>
      </c>
      <c r="M344">
        <v>20</v>
      </c>
      <c r="N344">
        <v>13</v>
      </c>
      <c r="O344">
        <v>13</v>
      </c>
      <c r="P344">
        <v>6</v>
      </c>
      <c r="Q344">
        <v>0</v>
      </c>
      <c r="R344">
        <v>3</v>
      </c>
      <c r="S344">
        <v>0</v>
      </c>
      <c r="T344">
        <v>11</v>
      </c>
      <c r="X344">
        <f t="shared" si="5"/>
        <v>0</v>
      </c>
    </row>
    <row r="345" spans="1:24" x14ac:dyDescent="0.25">
      <c r="A345" t="s">
        <v>734</v>
      </c>
      <c r="B345" t="s">
        <v>391</v>
      </c>
      <c r="C345">
        <v>30</v>
      </c>
      <c r="D345">
        <v>3.93</v>
      </c>
      <c r="E345">
        <v>8</v>
      </c>
      <c r="F345">
        <v>2</v>
      </c>
      <c r="G345">
        <v>3</v>
      </c>
      <c r="H345">
        <v>53</v>
      </c>
      <c r="I345">
        <v>1</v>
      </c>
      <c r="J345">
        <v>0</v>
      </c>
      <c r="K345">
        <v>0</v>
      </c>
      <c r="L345">
        <v>71</v>
      </c>
      <c r="M345">
        <v>55</v>
      </c>
      <c r="N345">
        <v>34</v>
      </c>
      <c r="O345">
        <v>31</v>
      </c>
      <c r="P345">
        <v>10</v>
      </c>
      <c r="Q345">
        <v>3</v>
      </c>
      <c r="R345">
        <v>30</v>
      </c>
      <c r="S345">
        <v>3</v>
      </c>
      <c r="T345">
        <v>75</v>
      </c>
      <c r="X345">
        <f t="shared" si="5"/>
        <v>0</v>
      </c>
    </row>
    <row r="346" spans="1:24" x14ac:dyDescent="0.25">
      <c r="A346" t="s">
        <v>735</v>
      </c>
      <c r="B346" t="s">
        <v>391</v>
      </c>
      <c r="C346">
        <v>30</v>
      </c>
      <c r="D346">
        <v>4.0599999999999996</v>
      </c>
      <c r="E346">
        <v>4</v>
      </c>
      <c r="F346">
        <v>4</v>
      </c>
      <c r="G346">
        <v>3</v>
      </c>
      <c r="H346">
        <v>73</v>
      </c>
      <c r="I346">
        <v>0</v>
      </c>
      <c r="J346">
        <v>0</v>
      </c>
      <c r="K346">
        <v>0</v>
      </c>
      <c r="L346">
        <v>68.2</v>
      </c>
      <c r="M346">
        <v>59</v>
      </c>
      <c r="N346">
        <v>33</v>
      </c>
      <c r="O346">
        <v>31</v>
      </c>
      <c r="P346">
        <v>13</v>
      </c>
      <c r="Q346">
        <v>0</v>
      </c>
      <c r="R346">
        <v>17</v>
      </c>
      <c r="S346">
        <v>0</v>
      </c>
      <c r="T346">
        <v>83</v>
      </c>
      <c r="X346">
        <f t="shared" si="5"/>
        <v>0</v>
      </c>
    </row>
    <row r="347" spans="1:24" x14ac:dyDescent="0.25">
      <c r="A347" t="s">
        <v>736</v>
      </c>
      <c r="B347" t="s">
        <v>391</v>
      </c>
      <c r="C347">
        <v>30</v>
      </c>
      <c r="D347">
        <v>2.16</v>
      </c>
      <c r="E347">
        <v>3</v>
      </c>
      <c r="F347">
        <v>5</v>
      </c>
      <c r="G347">
        <v>4</v>
      </c>
      <c r="H347">
        <v>51</v>
      </c>
      <c r="I347">
        <v>0</v>
      </c>
      <c r="J347">
        <v>0</v>
      </c>
      <c r="K347">
        <v>0</v>
      </c>
      <c r="L347">
        <v>50</v>
      </c>
      <c r="M347">
        <v>32</v>
      </c>
      <c r="N347">
        <v>13</v>
      </c>
      <c r="O347">
        <v>12</v>
      </c>
      <c r="P347">
        <v>3</v>
      </c>
      <c r="Q347">
        <v>2</v>
      </c>
      <c r="R347">
        <v>21</v>
      </c>
      <c r="S347">
        <v>2</v>
      </c>
      <c r="T347">
        <v>42</v>
      </c>
      <c r="X347">
        <f t="shared" si="5"/>
        <v>0</v>
      </c>
    </row>
    <row r="348" spans="1:24" x14ac:dyDescent="0.25">
      <c r="A348" t="s">
        <v>737</v>
      </c>
      <c r="B348" t="s">
        <v>391</v>
      </c>
      <c r="C348">
        <v>30</v>
      </c>
      <c r="D348">
        <v>4.22</v>
      </c>
      <c r="E348">
        <v>0</v>
      </c>
      <c r="F348">
        <v>0</v>
      </c>
      <c r="G348">
        <v>0</v>
      </c>
      <c r="H348">
        <v>11</v>
      </c>
      <c r="I348">
        <v>0</v>
      </c>
      <c r="J348">
        <v>0</v>
      </c>
      <c r="K348">
        <v>0</v>
      </c>
      <c r="L348">
        <v>10.199999999999999</v>
      </c>
      <c r="M348">
        <v>9</v>
      </c>
      <c r="N348">
        <v>6</v>
      </c>
      <c r="O348">
        <v>5</v>
      </c>
      <c r="P348">
        <v>2</v>
      </c>
      <c r="Q348">
        <v>0</v>
      </c>
      <c r="R348">
        <v>5</v>
      </c>
      <c r="S348">
        <v>0</v>
      </c>
      <c r="T348">
        <v>7</v>
      </c>
      <c r="X348">
        <f t="shared" si="5"/>
        <v>0</v>
      </c>
    </row>
    <row r="349" spans="1:24" x14ac:dyDescent="0.25">
      <c r="A349" t="s">
        <v>738</v>
      </c>
      <c r="B349" t="s">
        <v>391</v>
      </c>
      <c r="C349">
        <v>30</v>
      </c>
      <c r="D349">
        <v>5.55</v>
      </c>
      <c r="E349">
        <v>3</v>
      </c>
      <c r="F349">
        <v>2</v>
      </c>
      <c r="G349">
        <v>0</v>
      </c>
      <c r="H349">
        <v>43</v>
      </c>
      <c r="I349">
        <v>0</v>
      </c>
      <c r="J349">
        <v>0</v>
      </c>
      <c r="K349">
        <v>0</v>
      </c>
      <c r="L349">
        <v>47</v>
      </c>
      <c r="M349">
        <v>45</v>
      </c>
      <c r="N349">
        <v>31</v>
      </c>
      <c r="O349">
        <v>29</v>
      </c>
      <c r="P349">
        <v>11</v>
      </c>
      <c r="Q349">
        <v>0</v>
      </c>
      <c r="R349">
        <v>18</v>
      </c>
      <c r="S349">
        <v>4</v>
      </c>
      <c r="T349">
        <v>49</v>
      </c>
      <c r="X349">
        <f t="shared" si="5"/>
        <v>0</v>
      </c>
    </row>
    <row r="350" spans="1:24" x14ac:dyDescent="0.25">
      <c r="A350" t="s">
        <v>739</v>
      </c>
      <c r="B350" t="s">
        <v>389</v>
      </c>
      <c r="C350">
        <v>30</v>
      </c>
      <c r="D350">
        <v>7.71</v>
      </c>
      <c r="E350">
        <v>0</v>
      </c>
      <c r="F350">
        <v>0</v>
      </c>
      <c r="G350">
        <v>0</v>
      </c>
      <c r="H350">
        <v>2</v>
      </c>
      <c r="I350">
        <v>2</v>
      </c>
      <c r="J350">
        <v>0</v>
      </c>
      <c r="K350">
        <v>0</v>
      </c>
      <c r="L350">
        <v>7</v>
      </c>
      <c r="M350">
        <v>12</v>
      </c>
      <c r="N350">
        <v>7</v>
      </c>
      <c r="O350">
        <v>6</v>
      </c>
      <c r="P350">
        <v>0</v>
      </c>
      <c r="Q350">
        <v>0</v>
      </c>
      <c r="R350">
        <v>7</v>
      </c>
      <c r="S350">
        <v>0</v>
      </c>
      <c r="T350">
        <v>5</v>
      </c>
      <c r="X350">
        <f t="shared" si="5"/>
        <v>0</v>
      </c>
    </row>
    <row r="351" spans="1:24" x14ac:dyDescent="0.25">
      <c r="A351" t="s">
        <v>740</v>
      </c>
      <c r="B351" t="s">
        <v>391</v>
      </c>
      <c r="C351">
        <v>30</v>
      </c>
      <c r="D351">
        <v>7.5</v>
      </c>
      <c r="E351">
        <v>0</v>
      </c>
      <c r="F351">
        <v>0</v>
      </c>
      <c r="G351">
        <v>0</v>
      </c>
      <c r="H351">
        <v>6</v>
      </c>
      <c r="I351">
        <v>0</v>
      </c>
      <c r="J351">
        <v>0</v>
      </c>
      <c r="K351">
        <v>0</v>
      </c>
      <c r="L351">
        <v>6</v>
      </c>
      <c r="M351">
        <v>5</v>
      </c>
      <c r="N351">
        <v>5</v>
      </c>
      <c r="O351">
        <v>5</v>
      </c>
      <c r="P351">
        <v>1</v>
      </c>
      <c r="Q351">
        <v>1</v>
      </c>
      <c r="R351">
        <v>5</v>
      </c>
      <c r="S351">
        <v>0</v>
      </c>
      <c r="T351">
        <v>4</v>
      </c>
      <c r="X351">
        <f t="shared" si="5"/>
        <v>0</v>
      </c>
    </row>
    <row r="352" spans="1:24" x14ac:dyDescent="0.25">
      <c r="A352" t="s">
        <v>741</v>
      </c>
      <c r="B352" t="s">
        <v>389</v>
      </c>
      <c r="C352">
        <v>30</v>
      </c>
      <c r="D352">
        <v>4.8499999999999996</v>
      </c>
      <c r="E352">
        <v>4</v>
      </c>
      <c r="F352">
        <v>9</v>
      </c>
      <c r="G352">
        <v>1</v>
      </c>
      <c r="H352">
        <v>23</v>
      </c>
      <c r="I352">
        <v>18</v>
      </c>
      <c r="J352">
        <v>0</v>
      </c>
      <c r="K352">
        <v>0</v>
      </c>
      <c r="L352">
        <v>102</v>
      </c>
      <c r="M352">
        <v>96</v>
      </c>
      <c r="N352">
        <v>59</v>
      </c>
      <c r="O352">
        <v>55</v>
      </c>
      <c r="P352">
        <v>16</v>
      </c>
      <c r="Q352">
        <v>7</v>
      </c>
      <c r="R352">
        <v>33</v>
      </c>
      <c r="S352">
        <v>1</v>
      </c>
      <c r="T352">
        <v>88</v>
      </c>
      <c r="X352">
        <f t="shared" si="5"/>
        <v>0</v>
      </c>
    </row>
    <row r="353" spans="1:24" x14ac:dyDescent="0.25">
      <c r="A353" t="s">
        <v>742</v>
      </c>
      <c r="B353" t="s">
        <v>389</v>
      </c>
      <c r="C353">
        <v>30</v>
      </c>
      <c r="D353">
        <v>3.71</v>
      </c>
      <c r="E353">
        <v>3</v>
      </c>
      <c r="F353">
        <v>0</v>
      </c>
      <c r="G353">
        <v>0</v>
      </c>
      <c r="H353">
        <v>8</v>
      </c>
      <c r="I353">
        <v>5</v>
      </c>
      <c r="J353">
        <v>0</v>
      </c>
      <c r="K353">
        <v>0</v>
      </c>
      <c r="L353">
        <v>34</v>
      </c>
      <c r="M353">
        <v>40</v>
      </c>
      <c r="N353">
        <v>20</v>
      </c>
      <c r="O353">
        <v>14</v>
      </c>
      <c r="P353">
        <v>6</v>
      </c>
      <c r="Q353">
        <v>1</v>
      </c>
      <c r="R353">
        <v>9</v>
      </c>
      <c r="S353">
        <v>0</v>
      </c>
      <c r="T353">
        <v>25</v>
      </c>
      <c r="X353">
        <f t="shared" si="5"/>
        <v>0</v>
      </c>
    </row>
    <row r="354" spans="1:24" x14ac:dyDescent="0.25">
      <c r="A354" t="s">
        <v>743</v>
      </c>
      <c r="B354" t="s">
        <v>391</v>
      </c>
      <c r="C354">
        <v>30</v>
      </c>
      <c r="D354">
        <v>1.69</v>
      </c>
      <c r="E354">
        <v>0</v>
      </c>
      <c r="F354">
        <v>0</v>
      </c>
      <c r="G354">
        <v>0</v>
      </c>
      <c r="H354">
        <v>1</v>
      </c>
      <c r="I354">
        <v>0</v>
      </c>
      <c r="J354">
        <v>0</v>
      </c>
      <c r="K354">
        <v>0</v>
      </c>
      <c r="L354">
        <v>5.0999999999999996</v>
      </c>
      <c r="M354">
        <v>2</v>
      </c>
      <c r="N354">
        <v>1</v>
      </c>
      <c r="O354">
        <v>1</v>
      </c>
      <c r="P354">
        <v>1</v>
      </c>
      <c r="Q354">
        <v>0</v>
      </c>
      <c r="R354">
        <v>2</v>
      </c>
      <c r="S354">
        <v>0</v>
      </c>
      <c r="T354">
        <v>1</v>
      </c>
      <c r="X354">
        <f t="shared" si="5"/>
        <v>0</v>
      </c>
    </row>
    <row r="355" spans="1:24" x14ac:dyDescent="0.25">
      <c r="A355" t="s">
        <v>744</v>
      </c>
      <c r="B355" t="s">
        <v>391</v>
      </c>
      <c r="C355">
        <v>30</v>
      </c>
      <c r="D355">
        <v>6.97</v>
      </c>
      <c r="E355">
        <v>0</v>
      </c>
      <c r="F355">
        <v>0</v>
      </c>
      <c r="G355">
        <v>2</v>
      </c>
      <c r="H355">
        <v>12</v>
      </c>
      <c r="I355">
        <v>0</v>
      </c>
      <c r="J355">
        <v>0</v>
      </c>
      <c r="K355">
        <v>0</v>
      </c>
      <c r="L355">
        <v>20.2</v>
      </c>
      <c r="M355">
        <v>24</v>
      </c>
      <c r="N355">
        <v>17</v>
      </c>
      <c r="O355">
        <v>16</v>
      </c>
      <c r="P355">
        <v>4</v>
      </c>
      <c r="Q355">
        <v>3</v>
      </c>
      <c r="R355">
        <v>7</v>
      </c>
      <c r="S355">
        <v>1</v>
      </c>
      <c r="T355">
        <v>21</v>
      </c>
      <c r="X355">
        <f t="shared" si="5"/>
        <v>0</v>
      </c>
    </row>
    <row r="356" spans="1:24" x14ac:dyDescent="0.25">
      <c r="A356" t="s">
        <v>745</v>
      </c>
      <c r="B356" t="s">
        <v>391</v>
      </c>
      <c r="C356">
        <v>30</v>
      </c>
      <c r="D356">
        <v>2.25</v>
      </c>
      <c r="E356">
        <v>1</v>
      </c>
      <c r="F356">
        <v>0</v>
      </c>
      <c r="G356">
        <v>0</v>
      </c>
      <c r="H356">
        <v>2</v>
      </c>
      <c r="I356">
        <v>0</v>
      </c>
      <c r="J356">
        <v>0</v>
      </c>
      <c r="K356">
        <v>0</v>
      </c>
      <c r="L356">
        <v>4</v>
      </c>
      <c r="M356">
        <v>2</v>
      </c>
      <c r="N356">
        <v>1</v>
      </c>
      <c r="O356">
        <v>1</v>
      </c>
      <c r="P356">
        <v>0</v>
      </c>
      <c r="Q356">
        <v>0</v>
      </c>
      <c r="R356">
        <v>2</v>
      </c>
      <c r="S356">
        <v>0</v>
      </c>
      <c r="T356">
        <v>5</v>
      </c>
      <c r="X356">
        <f t="shared" si="5"/>
        <v>0</v>
      </c>
    </row>
    <row r="357" spans="1:24" x14ac:dyDescent="0.25">
      <c r="A357" t="s">
        <v>746</v>
      </c>
      <c r="B357" t="s">
        <v>391</v>
      </c>
      <c r="C357">
        <v>30</v>
      </c>
      <c r="D357">
        <v>4.28</v>
      </c>
      <c r="E357">
        <v>2</v>
      </c>
      <c r="F357">
        <v>1</v>
      </c>
      <c r="G357">
        <v>0</v>
      </c>
      <c r="H357">
        <v>36</v>
      </c>
      <c r="I357">
        <v>1</v>
      </c>
      <c r="J357">
        <v>0</v>
      </c>
      <c r="K357">
        <v>0</v>
      </c>
      <c r="L357">
        <v>40</v>
      </c>
      <c r="M357">
        <v>28</v>
      </c>
      <c r="N357">
        <v>20</v>
      </c>
      <c r="O357">
        <v>19</v>
      </c>
      <c r="P357">
        <v>5</v>
      </c>
      <c r="Q357">
        <v>1</v>
      </c>
      <c r="R357">
        <v>22</v>
      </c>
      <c r="S357">
        <v>1</v>
      </c>
      <c r="T357">
        <v>42</v>
      </c>
      <c r="X357">
        <f t="shared" si="5"/>
        <v>0</v>
      </c>
    </row>
    <row r="358" spans="1:24" x14ac:dyDescent="0.25">
      <c r="A358" t="s">
        <v>747</v>
      </c>
      <c r="B358" t="s">
        <v>391</v>
      </c>
      <c r="C358">
        <v>30</v>
      </c>
      <c r="D358">
        <v>0</v>
      </c>
      <c r="E358">
        <v>1</v>
      </c>
      <c r="F358">
        <v>0</v>
      </c>
      <c r="G358">
        <v>0</v>
      </c>
      <c r="H358">
        <v>12</v>
      </c>
      <c r="I358">
        <v>0</v>
      </c>
      <c r="J358">
        <v>0</v>
      </c>
      <c r="K358">
        <v>0</v>
      </c>
      <c r="L358">
        <v>10.199999999999999</v>
      </c>
      <c r="M358">
        <v>6</v>
      </c>
      <c r="N358">
        <v>0</v>
      </c>
      <c r="O358">
        <v>0</v>
      </c>
      <c r="P358">
        <v>0</v>
      </c>
      <c r="Q358">
        <v>0</v>
      </c>
      <c r="R358">
        <v>1</v>
      </c>
      <c r="S358">
        <v>0</v>
      </c>
      <c r="T358">
        <v>11</v>
      </c>
      <c r="X358">
        <f t="shared" si="5"/>
        <v>0</v>
      </c>
    </row>
    <row r="359" spans="1:24" x14ac:dyDescent="0.25">
      <c r="A359" t="s">
        <v>748</v>
      </c>
      <c r="B359" t="s">
        <v>391</v>
      </c>
      <c r="C359">
        <v>30</v>
      </c>
      <c r="D359">
        <v>5.82</v>
      </c>
      <c r="E359">
        <v>2</v>
      </c>
      <c r="F359">
        <v>1</v>
      </c>
      <c r="G359">
        <v>0</v>
      </c>
      <c r="H359">
        <v>12</v>
      </c>
      <c r="I359">
        <v>1</v>
      </c>
      <c r="J359">
        <v>0</v>
      </c>
      <c r="K359">
        <v>0</v>
      </c>
      <c r="L359">
        <v>34</v>
      </c>
      <c r="M359">
        <v>40</v>
      </c>
      <c r="N359">
        <v>23</v>
      </c>
      <c r="O359">
        <v>22</v>
      </c>
      <c r="P359">
        <v>7</v>
      </c>
      <c r="Q359">
        <v>0</v>
      </c>
      <c r="R359">
        <v>17</v>
      </c>
      <c r="S359">
        <v>2</v>
      </c>
      <c r="T359">
        <v>22</v>
      </c>
      <c r="X359">
        <f t="shared" si="5"/>
        <v>0</v>
      </c>
    </row>
    <row r="360" spans="1:24" x14ac:dyDescent="0.25">
      <c r="A360" t="s">
        <v>749</v>
      </c>
      <c r="B360" t="s">
        <v>391</v>
      </c>
      <c r="C360">
        <v>30</v>
      </c>
      <c r="D360">
        <v>5.0599999999999996</v>
      </c>
      <c r="E360">
        <v>0</v>
      </c>
      <c r="F360">
        <v>0</v>
      </c>
      <c r="G360">
        <v>0</v>
      </c>
      <c r="H360">
        <v>10</v>
      </c>
      <c r="I360">
        <v>0</v>
      </c>
      <c r="J360">
        <v>0</v>
      </c>
      <c r="K360">
        <v>0</v>
      </c>
      <c r="L360">
        <v>10.199999999999999</v>
      </c>
      <c r="M360">
        <v>12</v>
      </c>
      <c r="N360">
        <v>6</v>
      </c>
      <c r="O360">
        <v>6</v>
      </c>
      <c r="P360">
        <v>3</v>
      </c>
      <c r="Q360">
        <v>0</v>
      </c>
      <c r="R360">
        <v>8</v>
      </c>
      <c r="S360">
        <v>0</v>
      </c>
      <c r="T360">
        <v>11</v>
      </c>
      <c r="X360">
        <f t="shared" si="5"/>
        <v>0</v>
      </c>
    </row>
    <row r="361" spans="1:24" x14ac:dyDescent="0.25">
      <c r="A361" t="s">
        <v>750</v>
      </c>
      <c r="B361" t="s">
        <v>391</v>
      </c>
      <c r="C361">
        <v>30</v>
      </c>
      <c r="D361">
        <v>4.58</v>
      </c>
      <c r="E361">
        <v>1</v>
      </c>
      <c r="F361">
        <v>3</v>
      </c>
      <c r="G361">
        <v>0</v>
      </c>
      <c r="H361">
        <v>28</v>
      </c>
      <c r="I361">
        <v>0</v>
      </c>
      <c r="J361">
        <v>0</v>
      </c>
      <c r="K361">
        <v>0</v>
      </c>
      <c r="L361">
        <v>35.1</v>
      </c>
      <c r="M361">
        <v>35</v>
      </c>
      <c r="N361">
        <v>21</v>
      </c>
      <c r="O361">
        <v>18</v>
      </c>
      <c r="P361">
        <v>3</v>
      </c>
      <c r="Q361">
        <v>3</v>
      </c>
      <c r="R361">
        <v>12</v>
      </c>
      <c r="S361">
        <v>1</v>
      </c>
      <c r="T361">
        <v>35</v>
      </c>
      <c r="X361">
        <f t="shared" si="5"/>
        <v>0</v>
      </c>
    </row>
    <row r="362" spans="1:24" x14ac:dyDescent="0.25">
      <c r="A362" t="s">
        <v>751</v>
      </c>
      <c r="B362" t="s">
        <v>391</v>
      </c>
      <c r="C362">
        <v>30</v>
      </c>
      <c r="D362">
        <v>4.66</v>
      </c>
      <c r="E362">
        <v>2</v>
      </c>
      <c r="F362">
        <v>1</v>
      </c>
      <c r="G362">
        <v>0</v>
      </c>
      <c r="H362">
        <v>51</v>
      </c>
      <c r="I362">
        <v>0</v>
      </c>
      <c r="J362">
        <v>0</v>
      </c>
      <c r="K362">
        <v>0</v>
      </c>
      <c r="L362">
        <v>48.1</v>
      </c>
      <c r="M362">
        <v>65</v>
      </c>
      <c r="N362">
        <v>30</v>
      </c>
      <c r="O362">
        <v>25</v>
      </c>
      <c r="P362">
        <v>8</v>
      </c>
      <c r="Q362">
        <v>0</v>
      </c>
      <c r="R362">
        <v>14</v>
      </c>
      <c r="S362">
        <v>0</v>
      </c>
      <c r="T362">
        <v>28</v>
      </c>
      <c r="X362">
        <f t="shared" si="5"/>
        <v>0</v>
      </c>
    </row>
    <row r="363" spans="1:24" x14ac:dyDescent="0.25">
      <c r="A363" t="s">
        <v>752</v>
      </c>
      <c r="B363" t="s">
        <v>391</v>
      </c>
      <c r="C363">
        <v>30</v>
      </c>
      <c r="D363">
        <v>5.4</v>
      </c>
      <c r="E363">
        <v>0</v>
      </c>
      <c r="F363">
        <v>0</v>
      </c>
      <c r="G363">
        <v>0</v>
      </c>
      <c r="H363">
        <v>3</v>
      </c>
      <c r="I363">
        <v>0</v>
      </c>
      <c r="J363">
        <v>0</v>
      </c>
      <c r="K363">
        <v>0</v>
      </c>
      <c r="L363">
        <v>3.1</v>
      </c>
      <c r="M363">
        <v>5</v>
      </c>
      <c r="N363">
        <v>2</v>
      </c>
      <c r="O363">
        <v>2</v>
      </c>
      <c r="P363">
        <v>0</v>
      </c>
      <c r="Q363">
        <v>0</v>
      </c>
      <c r="R363">
        <v>1</v>
      </c>
      <c r="S363">
        <v>0</v>
      </c>
      <c r="T363">
        <v>3</v>
      </c>
      <c r="X363">
        <f t="shared" si="5"/>
        <v>0</v>
      </c>
    </row>
    <row r="364" spans="1:24" x14ac:dyDescent="0.25">
      <c r="A364" t="s">
        <v>753</v>
      </c>
      <c r="B364" t="s">
        <v>389</v>
      </c>
      <c r="C364">
        <v>30</v>
      </c>
      <c r="D364">
        <v>3.18</v>
      </c>
      <c r="E364">
        <v>9</v>
      </c>
      <c r="F364">
        <v>2</v>
      </c>
      <c r="G364">
        <v>0</v>
      </c>
      <c r="H364">
        <v>28</v>
      </c>
      <c r="I364">
        <v>15</v>
      </c>
      <c r="J364">
        <v>0</v>
      </c>
      <c r="K364">
        <v>0</v>
      </c>
      <c r="L364">
        <v>104.2</v>
      </c>
      <c r="M364">
        <v>90</v>
      </c>
      <c r="N364">
        <v>39</v>
      </c>
      <c r="O364">
        <v>37</v>
      </c>
      <c r="P364">
        <v>15</v>
      </c>
      <c r="Q364">
        <v>2</v>
      </c>
      <c r="R364">
        <v>26</v>
      </c>
      <c r="S364">
        <v>1</v>
      </c>
      <c r="T364">
        <v>102</v>
      </c>
      <c r="X364">
        <f t="shared" si="5"/>
        <v>0</v>
      </c>
    </row>
    <row r="365" spans="1:24" x14ac:dyDescent="0.25">
      <c r="A365" t="s">
        <v>754</v>
      </c>
      <c r="B365" t="s">
        <v>391</v>
      </c>
      <c r="C365">
        <v>30</v>
      </c>
      <c r="D365">
        <v>0.51</v>
      </c>
      <c r="E365">
        <v>1</v>
      </c>
      <c r="F365">
        <v>0</v>
      </c>
      <c r="G365">
        <v>0</v>
      </c>
      <c r="H365">
        <v>17</v>
      </c>
      <c r="I365">
        <v>0</v>
      </c>
      <c r="J365">
        <v>0</v>
      </c>
      <c r="K365">
        <v>0</v>
      </c>
      <c r="L365">
        <v>17.2</v>
      </c>
      <c r="M365">
        <v>9</v>
      </c>
      <c r="N365">
        <v>1</v>
      </c>
      <c r="O365">
        <v>1</v>
      </c>
      <c r="P365">
        <v>0</v>
      </c>
      <c r="Q365">
        <v>2</v>
      </c>
      <c r="R365">
        <v>8</v>
      </c>
      <c r="S365">
        <v>2</v>
      </c>
      <c r="T365">
        <v>23</v>
      </c>
      <c r="X365">
        <f t="shared" si="5"/>
        <v>0</v>
      </c>
    </row>
    <row r="366" spans="1:24" x14ac:dyDescent="0.25">
      <c r="A366" t="s">
        <v>755</v>
      </c>
      <c r="B366" t="s">
        <v>391</v>
      </c>
      <c r="C366">
        <v>30</v>
      </c>
      <c r="D366">
        <v>4.25</v>
      </c>
      <c r="E366">
        <v>0</v>
      </c>
      <c r="F366">
        <v>1</v>
      </c>
      <c r="G366">
        <v>1</v>
      </c>
      <c r="H366">
        <v>30</v>
      </c>
      <c r="I366">
        <v>0</v>
      </c>
      <c r="J366">
        <v>0</v>
      </c>
      <c r="K366">
        <v>0</v>
      </c>
      <c r="L366">
        <v>29.2</v>
      </c>
      <c r="M366">
        <v>34</v>
      </c>
      <c r="N366">
        <v>15</v>
      </c>
      <c r="O366">
        <v>14</v>
      </c>
      <c r="P366">
        <v>7</v>
      </c>
      <c r="Q366">
        <v>3</v>
      </c>
      <c r="R366">
        <v>10</v>
      </c>
      <c r="S366">
        <v>3</v>
      </c>
      <c r="T366">
        <v>25</v>
      </c>
      <c r="X366">
        <f t="shared" si="5"/>
        <v>0</v>
      </c>
    </row>
    <row r="367" spans="1:24" x14ac:dyDescent="0.25">
      <c r="A367" t="s">
        <v>756</v>
      </c>
      <c r="B367" t="s">
        <v>389</v>
      </c>
      <c r="C367">
        <v>30</v>
      </c>
      <c r="D367">
        <v>6.7</v>
      </c>
      <c r="E367">
        <v>3</v>
      </c>
      <c r="F367">
        <v>16</v>
      </c>
      <c r="G367">
        <v>0</v>
      </c>
      <c r="H367">
        <v>26</v>
      </c>
      <c r="I367">
        <v>26</v>
      </c>
      <c r="J367">
        <v>0</v>
      </c>
      <c r="K367">
        <v>0</v>
      </c>
      <c r="L367">
        <v>126.1</v>
      </c>
      <c r="M367">
        <v>168</v>
      </c>
      <c r="N367">
        <v>106</v>
      </c>
      <c r="O367">
        <v>94</v>
      </c>
      <c r="P367">
        <v>23</v>
      </c>
      <c r="Q367">
        <v>6</v>
      </c>
      <c r="R367">
        <v>48</v>
      </c>
      <c r="S367">
        <v>1</v>
      </c>
      <c r="T367">
        <v>83</v>
      </c>
      <c r="X367">
        <f t="shared" si="5"/>
        <v>0</v>
      </c>
    </row>
    <row r="368" spans="1:24" x14ac:dyDescent="0.25">
      <c r="A368" t="s">
        <v>757</v>
      </c>
      <c r="B368" t="s">
        <v>391</v>
      </c>
      <c r="C368">
        <v>30</v>
      </c>
      <c r="D368">
        <v>5.4</v>
      </c>
      <c r="E368">
        <v>0</v>
      </c>
      <c r="F368">
        <v>0</v>
      </c>
      <c r="G368">
        <v>0</v>
      </c>
      <c r="H368">
        <v>6</v>
      </c>
      <c r="I368">
        <v>0</v>
      </c>
      <c r="J368">
        <v>0</v>
      </c>
      <c r="K368">
        <v>0</v>
      </c>
      <c r="L368">
        <v>6.2</v>
      </c>
      <c r="M368">
        <v>4</v>
      </c>
      <c r="N368">
        <v>4</v>
      </c>
      <c r="O368">
        <v>4</v>
      </c>
      <c r="P368">
        <v>2</v>
      </c>
      <c r="Q368">
        <v>0</v>
      </c>
      <c r="R368">
        <v>3</v>
      </c>
      <c r="S368">
        <v>0</v>
      </c>
      <c r="T368">
        <v>4</v>
      </c>
      <c r="X368">
        <f t="shared" si="5"/>
        <v>0</v>
      </c>
    </row>
    <row r="369" spans="1:24" x14ac:dyDescent="0.25">
      <c r="A369" t="s">
        <v>758</v>
      </c>
      <c r="B369" t="s">
        <v>391</v>
      </c>
      <c r="C369">
        <v>30</v>
      </c>
      <c r="D369">
        <v>9.64</v>
      </c>
      <c r="E369">
        <v>0</v>
      </c>
      <c r="F369">
        <v>0</v>
      </c>
      <c r="G369">
        <v>0</v>
      </c>
      <c r="H369">
        <v>5</v>
      </c>
      <c r="I369">
        <v>0</v>
      </c>
      <c r="J369">
        <v>0</v>
      </c>
      <c r="K369">
        <v>0</v>
      </c>
      <c r="L369">
        <v>4.2</v>
      </c>
      <c r="M369">
        <v>5</v>
      </c>
      <c r="N369">
        <v>5</v>
      </c>
      <c r="O369">
        <v>5</v>
      </c>
      <c r="P369">
        <v>2</v>
      </c>
      <c r="Q369">
        <v>0</v>
      </c>
      <c r="R369">
        <v>4</v>
      </c>
      <c r="S369">
        <v>0</v>
      </c>
      <c r="T369">
        <v>5</v>
      </c>
      <c r="X369">
        <f t="shared" si="5"/>
        <v>0</v>
      </c>
    </row>
    <row r="370" spans="1:24" x14ac:dyDescent="0.25">
      <c r="A370" t="s">
        <v>759</v>
      </c>
      <c r="B370" t="s">
        <v>391</v>
      </c>
      <c r="C370">
        <v>30</v>
      </c>
      <c r="D370">
        <v>2.06</v>
      </c>
      <c r="E370">
        <v>3</v>
      </c>
      <c r="F370">
        <v>1</v>
      </c>
      <c r="G370">
        <v>6</v>
      </c>
      <c r="H370">
        <v>42</v>
      </c>
      <c r="I370">
        <v>0</v>
      </c>
      <c r="J370">
        <v>0</v>
      </c>
      <c r="K370">
        <v>0</v>
      </c>
      <c r="L370">
        <v>48</v>
      </c>
      <c r="M370">
        <v>33</v>
      </c>
      <c r="N370">
        <v>13</v>
      </c>
      <c r="O370">
        <v>11</v>
      </c>
      <c r="P370">
        <v>2</v>
      </c>
      <c r="Q370">
        <v>7</v>
      </c>
      <c r="R370">
        <v>22</v>
      </c>
      <c r="S370">
        <v>2</v>
      </c>
      <c r="T370">
        <v>45</v>
      </c>
      <c r="X370">
        <f t="shared" si="5"/>
        <v>0</v>
      </c>
    </row>
    <row r="371" spans="1:24" x14ac:dyDescent="0.25">
      <c r="A371" t="s">
        <v>760</v>
      </c>
      <c r="B371" t="s">
        <v>391</v>
      </c>
      <c r="C371">
        <v>30</v>
      </c>
      <c r="D371">
        <v>0</v>
      </c>
      <c r="E371">
        <v>0</v>
      </c>
      <c r="F371">
        <v>0</v>
      </c>
      <c r="G371">
        <v>1</v>
      </c>
      <c r="H371">
        <v>7</v>
      </c>
      <c r="I371">
        <v>0</v>
      </c>
      <c r="J371">
        <v>0</v>
      </c>
      <c r="K371">
        <v>0</v>
      </c>
      <c r="L371">
        <v>5.2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2</v>
      </c>
      <c r="S371">
        <v>0</v>
      </c>
      <c r="T371">
        <v>6</v>
      </c>
      <c r="X371">
        <f t="shared" si="5"/>
        <v>0</v>
      </c>
    </row>
    <row r="372" spans="1:24" x14ac:dyDescent="0.25">
      <c r="A372" t="s">
        <v>761</v>
      </c>
      <c r="B372" t="s">
        <v>391</v>
      </c>
      <c r="C372">
        <v>30</v>
      </c>
      <c r="D372">
        <v>16.88</v>
      </c>
      <c r="E372">
        <v>0</v>
      </c>
      <c r="F372">
        <v>0</v>
      </c>
      <c r="G372">
        <v>0</v>
      </c>
      <c r="H372">
        <v>1</v>
      </c>
      <c r="I372">
        <v>0</v>
      </c>
      <c r="J372">
        <v>0</v>
      </c>
      <c r="K372">
        <v>0</v>
      </c>
      <c r="L372">
        <v>2.2000000000000002</v>
      </c>
      <c r="M372">
        <v>6</v>
      </c>
      <c r="N372">
        <v>5</v>
      </c>
      <c r="O372">
        <v>5</v>
      </c>
      <c r="P372">
        <v>0</v>
      </c>
      <c r="Q372">
        <v>0</v>
      </c>
      <c r="R372">
        <v>2</v>
      </c>
      <c r="S372">
        <v>0</v>
      </c>
      <c r="T372">
        <v>1</v>
      </c>
      <c r="X372">
        <f t="shared" si="5"/>
        <v>0</v>
      </c>
    </row>
    <row r="373" spans="1:24" x14ac:dyDescent="0.25">
      <c r="A373" t="s">
        <v>762</v>
      </c>
      <c r="B373" t="s">
        <v>416</v>
      </c>
      <c r="C373">
        <v>30</v>
      </c>
      <c r="D373">
        <v>3.38</v>
      </c>
      <c r="E373">
        <v>0</v>
      </c>
      <c r="F373">
        <v>0</v>
      </c>
      <c r="G373">
        <v>4</v>
      </c>
      <c r="H373">
        <v>8</v>
      </c>
      <c r="I373">
        <v>0</v>
      </c>
      <c r="J373">
        <v>0</v>
      </c>
      <c r="K373">
        <v>0</v>
      </c>
      <c r="L373">
        <v>8</v>
      </c>
      <c r="M373">
        <v>8</v>
      </c>
      <c r="N373">
        <v>3</v>
      </c>
      <c r="O373">
        <v>3</v>
      </c>
      <c r="P373">
        <v>2</v>
      </c>
      <c r="Q373">
        <v>1</v>
      </c>
      <c r="R373">
        <v>2</v>
      </c>
      <c r="S373">
        <v>0</v>
      </c>
      <c r="T373">
        <v>12</v>
      </c>
      <c r="X373">
        <f t="shared" si="5"/>
        <v>0</v>
      </c>
    </row>
    <row r="374" spans="1:24" x14ac:dyDescent="0.25">
      <c r="A374" t="s">
        <v>763</v>
      </c>
      <c r="B374" t="s">
        <v>389</v>
      </c>
      <c r="C374">
        <v>30</v>
      </c>
      <c r="D374">
        <v>6.04</v>
      </c>
      <c r="E374">
        <v>4</v>
      </c>
      <c r="F374">
        <v>12</v>
      </c>
      <c r="G374">
        <v>0</v>
      </c>
      <c r="H374">
        <v>26</v>
      </c>
      <c r="I374">
        <v>26</v>
      </c>
      <c r="J374">
        <v>0</v>
      </c>
      <c r="K374">
        <v>0</v>
      </c>
      <c r="L374">
        <v>117.2</v>
      </c>
      <c r="M374">
        <v>136</v>
      </c>
      <c r="N374">
        <v>81</v>
      </c>
      <c r="O374">
        <v>79</v>
      </c>
      <c r="P374">
        <v>22</v>
      </c>
      <c r="Q374">
        <v>5</v>
      </c>
      <c r="R374">
        <v>35</v>
      </c>
      <c r="S374">
        <v>0</v>
      </c>
      <c r="T374">
        <v>85</v>
      </c>
      <c r="X374">
        <f t="shared" si="5"/>
        <v>0</v>
      </c>
    </row>
    <row r="375" spans="1:24" x14ac:dyDescent="0.25">
      <c r="A375" t="s">
        <v>764</v>
      </c>
      <c r="B375" t="s">
        <v>391</v>
      </c>
      <c r="C375">
        <v>30</v>
      </c>
      <c r="D375">
        <v>5.4</v>
      </c>
      <c r="E375">
        <v>3</v>
      </c>
      <c r="F375">
        <v>3</v>
      </c>
      <c r="G375">
        <v>0</v>
      </c>
      <c r="H375">
        <v>24</v>
      </c>
      <c r="I375">
        <v>0</v>
      </c>
      <c r="J375">
        <v>0</v>
      </c>
      <c r="K375">
        <v>0</v>
      </c>
      <c r="L375">
        <v>33.1</v>
      </c>
      <c r="M375">
        <v>33</v>
      </c>
      <c r="N375">
        <v>25</v>
      </c>
      <c r="O375">
        <v>20</v>
      </c>
      <c r="P375">
        <v>4</v>
      </c>
      <c r="Q375">
        <v>4</v>
      </c>
      <c r="R375">
        <v>16</v>
      </c>
      <c r="S375">
        <v>1</v>
      </c>
      <c r="T375">
        <v>45</v>
      </c>
      <c r="X375">
        <f t="shared" si="5"/>
        <v>0</v>
      </c>
    </row>
    <row r="376" spans="1:24" x14ac:dyDescent="0.25">
      <c r="A376" t="s">
        <v>765</v>
      </c>
      <c r="B376" t="s">
        <v>391</v>
      </c>
      <c r="C376">
        <v>30</v>
      </c>
      <c r="D376">
        <v>4.1500000000000004</v>
      </c>
      <c r="E376">
        <v>0</v>
      </c>
      <c r="F376">
        <v>0</v>
      </c>
      <c r="G376">
        <v>0</v>
      </c>
      <c r="H376">
        <v>15</v>
      </c>
      <c r="I376">
        <v>0</v>
      </c>
      <c r="J376">
        <v>0</v>
      </c>
      <c r="K376">
        <v>0</v>
      </c>
      <c r="L376">
        <v>13</v>
      </c>
      <c r="M376">
        <v>11</v>
      </c>
      <c r="N376">
        <v>7</v>
      </c>
      <c r="O376">
        <v>6</v>
      </c>
      <c r="P376">
        <v>2</v>
      </c>
      <c r="Q376">
        <v>0</v>
      </c>
      <c r="R376">
        <v>10</v>
      </c>
      <c r="S376">
        <v>0</v>
      </c>
      <c r="T376">
        <v>15</v>
      </c>
      <c r="X376">
        <f t="shared" si="5"/>
        <v>0</v>
      </c>
    </row>
    <row r="377" spans="1:24" x14ac:dyDescent="0.25">
      <c r="A377" t="s">
        <v>766</v>
      </c>
      <c r="B377" t="s">
        <v>391</v>
      </c>
      <c r="C377">
        <v>30</v>
      </c>
      <c r="D377">
        <v>8.82</v>
      </c>
      <c r="E377">
        <v>1</v>
      </c>
      <c r="F377">
        <v>0</v>
      </c>
      <c r="G377">
        <v>0</v>
      </c>
      <c r="H377">
        <v>18</v>
      </c>
      <c r="I377">
        <v>0</v>
      </c>
      <c r="J377">
        <v>0</v>
      </c>
      <c r="K377">
        <v>0</v>
      </c>
      <c r="L377">
        <v>16.100000000000001</v>
      </c>
      <c r="M377">
        <v>23</v>
      </c>
      <c r="N377">
        <v>17</v>
      </c>
      <c r="O377">
        <v>16</v>
      </c>
      <c r="P377">
        <v>3</v>
      </c>
      <c r="Q377">
        <v>0</v>
      </c>
      <c r="R377">
        <v>9</v>
      </c>
      <c r="S377">
        <v>0</v>
      </c>
      <c r="T377">
        <v>15</v>
      </c>
      <c r="X377">
        <f t="shared" si="5"/>
        <v>0</v>
      </c>
    </row>
    <row r="378" spans="1:24" x14ac:dyDescent="0.25">
      <c r="A378" t="s">
        <v>767</v>
      </c>
      <c r="B378" t="s">
        <v>389</v>
      </c>
      <c r="C378">
        <v>30</v>
      </c>
      <c r="D378">
        <v>6.65</v>
      </c>
      <c r="E378">
        <v>4</v>
      </c>
      <c r="F378">
        <v>15</v>
      </c>
      <c r="G378">
        <v>0</v>
      </c>
      <c r="H378">
        <v>30</v>
      </c>
      <c r="I378">
        <v>23</v>
      </c>
      <c r="J378">
        <v>0</v>
      </c>
      <c r="K378">
        <v>0</v>
      </c>
      <c r="L378">
        <v>130</v>
      </c>
      <c r="M378">
        <v>192</v>
      </c>
      <c r="N378">
        <v>103</v>
      </c>
      <c r="O378">
        <v>96</v>
      </c>
      <c r="P378">
        <v>22</v>
      </c>
      <c r="Q378">
        <v>8</v>
      </c>
      <c r="R378">
        <v>47</v>
      </c>
      <c r="S378">
        <v>2</v>
      </c>
      <c r="T378">
        <v>73</v>
      </c>
      <c r="X378">
        <f t="shared" si="5"/>
        <v>0</v>
      </c>
    </row>
    <row r="379" spans="1:24" x14ac:dyDescent="0.25">
      <c r="A379" t="s">
        <v>768</v>
      </c>
      <c r="B379" t="s">
        <v>391</v>
      </c>
      <c r="C379">
        <v>30</v>
      </c>
      <c r="D379">
        <v>2.84</v>
      </c>
      <c r="E379">
        <v>5</v>
      </c>
      <c r="F379">
        <v>1</v>
      </c>
      <c r="G379">
        <v>4</v>
      </c>
      <c r="H379">
        <v>44</v>
      </c>
      <c r="I379">
        <v>0</v>
      </c>
      <c r="J379">
        <v>0</v>
      </c>
      <c r="K379">
        <v>0</v>
      </c>
      <c r="L379">
        <v>50.2</v>
      </c>
      <c r="M379">
        <v>37</v>
      </c>
      <c r="N379">
        <v>18</v>
      </c>
      <c r="O379">
        <v>16</v>
      </c>
      <c r="P379">
        <v>4</v>
      </c>
      <c r="Q379">
        <v>0</v>
      </c>
      <c r="R379">
        <v>15</v>
      </c>
      <c r="S379">
        <v>0</v>
      </c>
      <c r="T379">
        <v>59</v>
      </c>
      <c r="X379">
        <f t="shared" si="5"/>
        <v>0</v>
      </c>
    </row>
    <row r="380" spans="1:24" x14ac:dyDescent="0.25">
      <c r="A380" t="s">
        <v>769</v>
      </c>
      <c r="B380" t="s">
        <v>391</v>
      </c>
      <c r="C380">
        <v>30</v>
      </c>
      <c r="D380">
        <v>2.61</v>
      </c>
      <c r="E380">
        <v>4</v>
      </c>
      <c r="F380">
        <v>3</v>
      </c>
      <c r="G380">
        <v>0</v>
      </c>
      <c r="H380">
        <v>76</v>
      </c>
      <c r="I380">
        <v>0</v>
      </c>
      <c r="J380">
        <v>0</v>
      </c>
      <c r="K380">
        <v>0</v>
      </c>
      <c r="L380">
        <v>62</v>
      </c>
      <c r="M380">
        <v>43</v>
      </c>
      <c r="N380">
        <v>19</v>
      </c>
      <c r="O380">
        <v>18</v>
      </c>
      <c r="P380">
        <v>5</v>
      </c>
      <c r="Q380">
        <v>5</v>
      </c>
      <c r="R380">
        <v>11</v>
      </c>
      <c r="S380">
        <v>1</v>
      </c>
      <c r="T380">
        <v>82</v>
      </c>
      <c r="X380">
        <f t="shared" si="5"/>
        <v>0</v>
      </c>
    </row>
    <row r="381" spans="1:24" x14ac:dyDescent="0.25">
      <c r="A381" t="s">
        <v>770</v>
      </c>
      <c r="B381" t="s">
        <v>391</v>
      </c>
      <c r="C381">
        <v>30</v>
      </c>
      <c r="D381">
        <v>5.12</v>
      </c>
      <c r="E381">
        <v>2</v>
      </c>
      <c r="F381">
        <v>1</v>
      </c>
      <c r="G381">
        <v>4</v>
      </c>
      <c r="H381">
        <v>20</v>
      </c>
      <c r="I381">
        <v>0</v>
      </c>
      <c r="J381">
        <v>0</v>
      </c>
      <c r="K381">
        <v>0</v>
      </c>
      <c r="L381">
        <v>19.100000000000001</v>
      </c>
      <c r="M381">
        <v>17</v>
      </c>
      <c r="N381">
        <v>12</v>
      </c>
      <c r="O381">
        <v>11</v>
      </c>
      <c r="P381">
        <v>1</v>
      </c>
      <c r="Q381">
        <v>0</v>
      </c>
      <c r="R381">
        <v>8</v>
      </c>
      <c r="S381">
        <v>1</v>
      </c>
      <c r="T381">
        <v>10</v>
      </c>
      <c r="X381">
        <f t="shared" si="5"/>
        <v>0</v>
      </c>
    </row>
    <row r="382" spans="1:24" x14ac:dyDescent="0.25">
      <c r="A382" t="s">
        <v>771</v>
      </c>
      <c r="B382" t="s">
        <v>391</v>
      </c>
      <c r="C382">
        <v>30</v>
      </c>
      <c r="D382">
        <v>7.71</v>
      </c>
      <c r="E382">
        <v>0</v>
      </c>
      <c r="F382">
        <v>0</v>
      </c>
      <c r="G382">
        <v>0</v>
      </c>
      <c r="H382">
        <v>2</v>
      </c>
      <c r="I382">
        <v>0</v>
      </c>
      <c r="J382">
        <v>0</v>
      </c>
      <c r="K382">
        <v>0</v>
      </c>
      <c r="L382">
        <v>2.1</v>
      </c>
      <c r="M382">
        <v>4</v>
      </c>
      <c r="N382">
        <v>2</v>
      </c>
      <c r="O382">
        <v>2</v>
      </c>
      <c r="P382">
        <v>0</v>
      </c>
      <c r="Q382">
        <v>0</v>
      </c>
      <c r="R382">
        <v>3</v>
      </c>
      <c r="S382">
        <v>0</v>
      </c>
      <c r="T382">
        <v>3</v>
      </c>
      <c r="X382">
        <f t="shared" si="5"/>
        <v>0</v>
      </c>
    </row>
    <row r="383" spans="1:24" x14ac:dyDescent="0.25">
      <c r="A383" t="s">
        <v>772</v>
      </c>
      <c r="B383" t="s">
        <v>391</v>
      </c>
      <c r="C383">
        <v>30</v>
      </c>
      <c r="D383">
        <v>7.2</v>
      </c>
      <c r="E383">
        <v>0</v>
      </c>
      <c r="F383">
        <v>0</v>
      </c>
      <c r="G383">
        <v>0</v>
      </c>
      <c r="H383">
        <v>3</v>
      </c>
      <c r="I383">
        <v>0</v>
      </c>
      <c r="J383">
        <v>0</v>
      </c>
      <c r="K383">
        <v>0</v>
      </c>
      <c r="L383">
        <v>5</v>
      </c>
      <c r="M383">
        <v>8</v>
      </c>
      <c r="N383">
        <v>4</v>
      </c>
      <c r="O383">
        <v>4</v>
      </c>
      <c r="P383">
        <v>0</v>
      </c>
      <c r="Q383">
        <v>1</v>
      </c>
      <c r="R383">
        <v>2</v>
      </c>
      <c r="S383">
        <v>0</v>
      </c>
      <c r="T383">
        <v>8</v>
      </c>
      <c r="X383">
        <f t="shared" si="5"/>
        <v>0</v>
      </c>
    </row>
    <row r="384" spans="1:24" x14ac:dyDescent="0.25">
      <c r="A384" t="s">
        <v>773</v>
      </c>
      <c r="B384" t="s">
        <v>389</v>
      </c>
      <c r="C384">
        <v>30</v>
      </c>
      <c r="D384">
        <v>2.91</v>
      </c>
      <c r="E384">
        <v>2</v>
      </c>
      <c r="F384">
        <v>1</v>
      </c>
      <c r="G384">
        <v>0</v>
      </c>
      <c r="H384">
        <v>4</v>
      </c>
      <c r="I384">
        <v>4</v>
      </c>
      <c r="J384">
        <v>0</v>
      </c>
      <c r="K384">
        <v>0</v>
      </c>
      <c r="L384">
        <v>21.2</v>
      </c>
      <c r="M384">
        <v>17</v>
      </c>
      <c r="N384">
        <v>7</v>
      </c>
      <c r="O384">
        <v>7</v>
      </c>
      <c r="P384">
        <v>4</v>
      </c>
      <c r="Q384">
        <v>0</v>
      </c>
      <c r="R384">
        <v>2</v>
      </c>
      <c r="S384">
        <v>0</v>
      </c>
      <c r="T384">
        <v>18</v>
      </c>
      <c r="X384">
        <f t="shared" si="5"/>
        <v>0</v>
      </c>
    </row>
    <row r="385" spans="1:24" x14ac:dyDescent="0.25">
      <c r="A385" t="s">
        <v>774</v>
      </c>
      <c r="B385" t="s">
        <v>391</v>
      </c>
      <c r="C385">
        <v>30</v>
      </c>
      <c r="D385">
        <v>3.42</v>
      </c>
      <c r="E385">
        <v>2</v>
      </c>
      <c r="F385">
        <v>2</v>
      </c>
      <c r="G385">
        <v>2</v>
      </c>
      <c r="H385">
        <v>59</v>
      </c>
      <c r="I385">
        <v>0</v>
      </c>
      <c r="J385">
        <v>0</v>
      </c>
      <c r="K385">
        <v>0</v>
      </c>
      <c r="L385">
        <v>55.1</v>
      </c>
      <c r="M385">
        <v>50</v>
      </c>
      <c r="N385">
        <v>21</v>
      </c>
      <c r="O385">
        <v>21</v>
      </c>
      <c r="P385">
        <v>7</v>
      </c>
      <c r="Q385">
        <v>3</v>
      </c>
      <c r="R385">
        <v>22</v>
      </c>
      <c r="S385">
        <v>2</v>
      </c>
      <c r="T385">
        <v>51</v>
      </c>
      <c r="X385">
        <f t="shared" si="5"/>
        <v>0</v>
      </c>
    </row>
    <row r="386" spans="1:24" x14ac:dyDescent="0.25">
      <c r="A386" t="s">
        <v>775</v>
      </c>
      <c r="B386" t="s">
        <v>389</v>
      </c>
      <c r="C386">
        <v>30</v>
      </c>
      <c r="D386">
        <v>7.5</v>
      </c>
      <c r="E386">
        <v>0</v>
      </c>
      <c r="F386">
        <v>1</v>
      </c>
      <c r="G386">
        <v>0</v>
      </c>
      <c r="H386">
        <v>1</v>
      </c>
      <c r="I386">
        <v>1</v>
      </c>
      <c r="J386">
        <v>0</v>
      </c>
      <c r="K386">
        <v>0</v>
      </c>
      <c r="L386">
        <v>6</v>
      </c>
      <c r="M386">
        <v>7</v>
      </c>
      <c r="N386">
        <v>6</v>
      </c>
      <c r="O386">
        <v>5</v>
      </c>
      <c r="P386">
        <v>2</v>
      </c>
      <c r="Q386">
        <v>0</v>
      </c>
      <c r="R386">
        <v>2</v>
      </c>
      <c r="S386">
        <v>0</v>
      </c>
      <c r="T386">
        <v>1</v>
      </c>
      <c r="X386">
        <f t="shared" si="5"/>
        <v>0</v>
      </c>
    </row>
    <row r="387" spans="1:24" x14ac:dyDescent="0.25">
      <c r="A387" t="s">
        <v>776</v>
      </c>
      <c r="B387" t="s">
        <v>391</v>
      </c>
      <c r="C387">
        <v>30</v>
      </c>
      <c r="D387">
        <v>11.25</v>
      </c>
      <c r="E387">
        <v>0</v>
      </c>
      <c r="F387">
        <v>1</v>
      </c>
      <c r="G387">
        <v>0</v>
      </c>
      <c r="H387">
        <v>10</v>
      </c>
      <c r="I387">
        <v>0</v>
      </c>
      <c r="J387">
        <v>0</v>
      </c>
      <c r="K387">
        <v>0</v>
      </c>
      <c r="L387">
        <v>12</v>
      </c>
      <c r="M387">
        <v>17</v>
      </c>
      <c r="N387">
        <v>15</v>
      </c>
      <c r="O387">
        <v>15</v>
      </c>
      <c r="P387">
        <v>3</v>
      </c>
      <c r="Q387">
        <v>0</v>
      </c>
      <c r="R387">
        <v>6</v>
      </c>
      <c r="S387">
        <v>1</v>
      </c>
      <c r="T387">
        <v>14</v>
      </c>
      <c r="X387">
        <f t="shared" ref="X387:X450" si="6">(V387*2)+W387</f>
        <v>0</v>
      </c>
    </row>
    <row r="388" spans="1:24" x14ac:dyDescent="0.25">
      <c r="A388" t="s">
        <v>777</v>
      </c>
      <c r="B388" t="s">
        <v>391</v>
      </c>
      <c r="C388">
        <v>31</v>
      </c>
      <c r="D388">
        <v>3.77</v>
      </c>
      <c r="E388">
        <v>5</v>
      </c>
      <c r="F388">
        <v>3</v>
      </c>
      <c r="G388">
        <v>1</v>
      </c>
      <c r="H388">
        <v>61</v>
      </c>
      <c r="I388">
        <v>2</v>
      </c>
      <c r="J388">
        <v>0</v>
      </c>
      <c r="K388">
        <v>0</v>
      </c>
      <c r="L388">
        <v>57.1</v>
      </c>
      <c r="M388">
        <v>42</v>
      </c>
      <c r="N388">
        <v>26</v>
      </c>
      <c r="O388">
        <v>24</v>
      </c>
      <c r="P388">
        <v>6</v>
      </c>
      <c r="Q388">
        <v>2</v>
      </c>
      <c r="R388">
        <v>20</v>
      </c>
      <c r="S388">
        <v>2</v>
      </c>
      <c r="T388">
        <v>47</v>
      </c>
      <c r="X388">
        <f t="shared" si="6"/>
        <v>0</v>
      </c>
    </row>
    <row r="389" spans="1:24" x14ac:dyDescent="0.25">
      <c r="A389" t="s">
        <v>778</v>
      </c>
      <c r="B389" t="s">
        <v>391</v>
      </c>
      <c r="C389">
        <v>31</v>
      </c>
      <c r="D389">
        <v>4</v>
      </c>
      <c r="E389">
        <v>4</v>
      </c>
      <c r="F389">
        <v>3</v>
      </c>
      <c r="G389">
        <v>3</v>
      </c>
      <c r="H389">
        <v>54</v>
      </c>
      <c r="I389">
        <v>0</v>
      </c>
      <c r="J389">
        <v>0</v>
      </c>
      <c r="K389">
        <v>0</v>
      </c>
      <c r="L389">
        <v>81</v>
      </c>
      <c r="M389">
        <v>83</v>
      </c>
      <c r="N389">
        <v>42</v>
      </c>
      <c r="O389">
        <v>36</v>
      </c>
      <c r="P389">
        <v>6</v>
      </c>
      <c r="Q389">
        <v>5</v>
      </c>
      <c r="R389">
        <v>25</v>
      </c>
      <c r="S389">
        <v>1</v>
      </c>
      <c r="T389">
        <v>61</v>
      </c>
      <c r="X389">
        <f t="shared" si="6"/>
        <v>0</v>
      </c>
    </row>
    <row r="390" spans="1:24" x14ac:dyDescent="0.25">
      <c r="A390" t="s">
        <v>779</v>
      </c>
      <c r="B390" t="s">
        <v>391</v>
      </c>
      <c r="C390">
        <v>31</v>
      </c>
      <c r="D390">
        <v>6.23</v>
      </c>
      <c r="E390">
        <v>0</v>
      </c>
      <c r="F390">
        <v>3</v>
      </c>
      <c r="G390">
        <v>1</v>
      </c>
      <c r="H390">
        <v>15</v>
      </c>
      <c r="I390">
        <v>4</v>
      </c>
      <c r="J390">
        <v>0</v>
      </c>
      <c r="K390">
        <v>0</v>
      </c>
      <c r="L390">
        <v>39</v>
      </c>
      <c r="M390">
        <v>47</v>
      </c>
      <c r="N390">
        <v>29</v>
      </c>
      <c r="O390">
        <v>27</v>
      </c>
      <c r="P390">
        <v>6</v>
      </c>
      <c r="Q390">
        <v>1</v>
      </c>
      <c r="R390">
        <v>12</v>
      </c>
      <c r="S390">
        <v>0</v>
      </c>
      <c r="T390">
        <v>34</v>
      </c>
      <c r="X390">
        <f t="shared" si="6"/>
        <v>0</v>
      </c>
    </row>
    <row r="391" spans="1:24" x14ac:dyDescent="0.25">
      <c r="A391" t="s">
        <v>780</v>
      </c>
      <c r="B391" t="s">
        <v>389</v>
      </c>
      <c r="C391">
        <v>31</v>
      </c>
      <c r="D391">
        <v>4.0999999999999996</v>
      </c>
      <c r="E391">
        <v>3</v>
      </c>
      <c r="F391">
        <v>4</v>
      </c>
      <c r="G391">
        <v>0</v>
      </c>
      <c r="H391">
        <v>9</v>
      </c>
      <c r="I391">
        <v>9</v>
      </c>
      <c r="J391">
        <v>0</v>
      </c>
      <c r="K391">
        <v>0</v>
      </c>
      <c r="L391">
        <v>48.1</v>
      </c>
      <c r="M391">
        <v>37</v>
      </c>
      <c r="N391">
        <v>22</v>
      </c>
      <c r="O391">
        <v>22</v>
      </c>
      <c r="P391">
        <v>7</v>
      </c>
      <c r="Q391">
        <v>0</v>
      </c>
      <c r="R391">
        <v>20</v>
      </c>
      <c r="S391">
        <v>0</v>
      </c>
      <c r="T391">
        <v>48</v>
      </c>
      <c r="X391">
        <f t="shared" si="6"/>
        <v>0</v>
      </c>
    </row>
    <row r="392" spans="1:24" x14ac:dyDescent="0.25">
      <c r="A392" t="s">
        <v>781</v>
      </c>
      <c r="B392" t="s">
        <v>391</v>
      </c>
      <c r="C392">
        <v>31</v>
      </c>
      <c r="D392">
        <v>4.63</v>
      </c>
      <c r="E392">
        <v>1</v>
      </c>
      <c r="F392">
        <v>3</v>
      </c>
      <c r="G392">
        <v>0</v>
      </c>
      <c r="H392">
        <v>39</v>
      </c>
      <c r="I392">
        <v>0</v>
      </c>
      <c r="J392">
        <v>0</v>
      </c>
      <c r="K392">
        <v>0</v>
      </c>
      <c r="L392">
        <v>35</v>
      </c>
      <c r="M392">
        <v>29</v>
      </c>
      <c r="N392">
        <v>20</v>
      </c>
      <c r="O392">
        <v>18</v>
      </c>
      <c r="P392">
        <v>4</v>
      </c>
      <c r="Q392">
        <v>1</v>
      </c>
      <c r="R392">
        <v>16</v>
      </c>
      <c r="S392">
        <v>1</v>
      </c>
      <c r="T392">
        <v>32</v>
      </c>
      <c r="X392">
        <f t="shared" si="6"/>
        <v>0</v>
      </c>
    </row>
    <row r="393" spans="1:24" x14ac:dyDescent="0.25">
      <c r="A393" t="s">
        <v>782</v>
      </c>
      <c r="B393" t="s">
        <v>391</v>
      </c>
      <c r="C393">
        <v>31</v>
      </c>
      <c r="D393">
        <v>6.02</v>
      </c>
      <c r="E393">
        <v>0</v>
      </c>
      <c r="F393">
        <v>0</v>
      </c>
      <c r="G393">
        <v>1</v>
      </c>
      <c r="H393">
        <v>25</v>
      </c>
      <c r="I393">
        <v>1</v>
      </c>
      <c r="J393">
        <v>0</v>
      </c>
      <c r="K393">
        <v>0</v>
      </c>
      <c r="L393">
        <v>43.1</v>
      </c>
      <c r="M393">
        <v>54</v>
      </c>
      <c r="N393">
        <v>33</v>
      </c>
      <c r="O393">
        <v>29</v>
      </c>
      <c r="P393">
        <v>5</v>
      </c>
      <c r="Q393">
        <v>2</v>
      </c>
      <c r="R393">
        <v>14</v>
      </c>
      <c r="S393">
        <v>1</v>
      </c>
      <c r="T393">
        <v>41</v>
      </c>
      <c r="X393">
        <f t="shared" si="6"/>
        <v>0</v>
      </c>
    </row>
    <row r="394" spans="1:24" x14ac:dyDescent="0.25">
      <c r="A394" t="s">
        <v>783</v>
      </c>
      <c r="B394" t="s">
        <v>391</v>
      </c>
      <c r="C394">
        <v>31</v>
      </c>
      <c r="D394">
        <v>3.77</v>
      </c>
      <c r="E394">
        <v>0</v>
      </c>
      <c r="F394">
        <v>0</v>
      </c>
      <c r="G394">
        <v>0</v>
      </c>
      <c r="H394">
        <v>17</v>
      </c>
      <c r="I394">
        <v>1</v>
      </c>
      <c r="J394">
        <v>0</v>
      </c>
      <c r="K394">
        <v>0</v>
      </c>
      <c r="L394">
        <v>28.2</v>
      </c>
      <c r="M394">
        <v>23</v>
      </c>
      <c r="N394">
        <v>12</v>
      </c>
      <c r="O394">
        <v>12</v>
      </c>
      <c r="P394">
        <v>0</v>
      </c>
      <c r="Q394">
        <v>1</v>
      </c>
      <c r="R394">
        <v>12</v>
      </c>
      <c r="S394">
        <v>1</v>
      </c>
      <c r="T394">
        <v>22</v>
      </c>
      <c r="X394">
        <f t="shared" si="6"/>
        <v>0</v>
      </c>
    </row>
    <row r="395" spans="1:24" x14ac:dyDescent="0.25">
      <c r="A395" t="s">
        <v>784</v>
      </c>
      <c r="B395" t="s">
        <v>391</v>
      </c>
      <c r="C395">
        <v>31</v>
      </c>
      <c r="D395">
        <v>0</v>
      </c>
      <c r="E395">
        <v>1</v>
      </c>
      <c r="F395">
        <v>0</v>
      </c>
      <c r="G395">
        <v>0</v>
      </c>
      <c r="H395">
        <v>2</v>
      </c>
      <c r="I395">
        <v>0</v>
      </c>
      <c r="J395">
        <v>0</v>
      </c>
      <c r="K395">
        <v>0</v>
      </c>
      <c r="L395">
        <v>2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3</v>
      </c>
      <c r="X395">
        <f t="shared" si="6"/>
        <v>0</v>
      </c>
    </row>
    <row r="396" spans="1:24" x14ac:dyDescent="0.25">
      <c r="A396" t="s">
        <v>785</v>
      </c>
      <c r="B396" t="s">
        <v>391</v>
      </c>
      <c r="C396">
        <v>31</v>
      </c>
      <c r="D396">
        <v>5.12</v>
      </c>
      <c r="E396">
        <v>3</v>
      </c>
      <c r="F396">
        <v>7</v>
      </c>
      <c r="G396">
        <v>2</v>
      </c>
      <c r="H396">
        <v>65</v>
      </c>
      <c r="I396">
        <v>0</v>
      </c>
      <c r="J396">
        <v>0</v>
      </c>
      <c r="K396">
        <v>0</v>
      </c>
      <c r="L396">
        <v>58</v>
      </c>
      <c r="M396">
        <v>62</v>
      </c>
      <c r="N396">
        <v>36</v>
      </c>
      <c r="O396">
        <v>33</v>
      </c>
      <c r="P396">
        <v>7</v>
      </c>
      <c r="Q396">
        <v>3</v>
      </c>
      <c r="R396">
        <v>24</v>
      </c>
      <c r="S396">
        <v>1</v>
      </c>
      <c r="T396">
        <v>53</v>
      </c>
      <c r="X396">
        <f t="shared" si="6"/>
        <v>0</v>
      </c>
    </row>
    <row r="397" spans="1:24" x14ac:dyDescent="0.25">
      <c r="A397" t="s">
        <v>786</v>
      </c>
      <c r="B397" t="s">
        <v>391</v>
      </c>
      <c r="C397">
        <v>31</v>
      </c>
      <c r="D397">
        <v>8.44</v>
      </c>
      <c r="E397">
        <v>0</v>
      </c>
      <c r="F397">
        <v>0</v>
      </c>
      <c r="G397">
        <v>0</v>
      </c>
      <c r="H397">
        <v>11</v>
      </c>
      <c r="I397">
        <v>0</v>
      </c>
      <c r="J397">
        <v>0</v>
      </c>
      <c r="K397">
        <v>0</v>
      </c>
      <c r="L397">
        <v>10.199999999999999</v>
      </c>
      <c r="M397">
        <v>16</v>
      </c>
      <c r="N397">
        <v>10</v>
      </c>
      <c r="O397">
        <v>10</v>
      </c>
      <c r="P397">
        <v>1</v>
      </c>
      <c r="Q397">
        <v>0</v>
      </c>
      <c r="R397">
        <v>3</v>
      </c>
      <c r="S397">
        <v>1</v>
      </c>
      <c r="T397">
        <v>6</v>
      </c>
      <c r="X397">
        <f t="shared" si="6"/>
        <v>0</v>
      </c>
    </row>
    <row r="398" spans="1:24" x14ac:dyDescent="0.25">
      <c r="A398" t="s">
        <v>787</v>
      </c>
      <c r="B398" t="s">
        <v>391</v>
      </c>
      <c r="C398">
        <v>31</v>
      </c>
      <c r="D398">
        <v>4.66</v>
      </c>
      <c r="E398">
        <v>4</v>
      </c>
      <c r="F398">
        <v>2</v>
      </c>
      <c r="G398">
        <v>2</v>
      </c>
      <c r="H398">
        <v>56</v>
      </c>
      <c r="I398">
        <v>0</v>
      </c>
      <c r="J398">
        <v>0</v>
      </c>
      <c r="K398">
        <v>0</v>
      </c>
      <c r="L398">
        <v>58</v>
      </c>
      <c r="M398">
        <v>43</v>
      </c>
      <c r="N398">
        <v>32</v>
      </c>
      <c r="O398">
        <v>30</v>
      </c>
      <c r="P398">
        <v>4</v>
      </c>
      <c r="Q398">
        <v>4</v>
      </c>
      <c r="R398">
        <v>34</v>
      </c>
      <c r="S398">
        <v>2</v>
      </c>
      <c r="T398">
        <v>54</v>
      </c>
      <c r="X398">
        <f t="shared" si="6"/>
        <v>0</v>
      </c>
    </row>
    <row r="399" spans="1:24" x14ac:dyDescent="0.25">
      <c r="A399" t="s">
        <v>788</v>
      </c>
      <c r="B399" t="s">
        <v>391</v>
      </c>
      <c r="C399">
        <v>31</v>
      </c>
      <c r="D399">
        <v>5.83</v>
      </c>
      <c r="E399">
        <v>0</v>
      </c>
      <c r="F399">
        <v>0</v>
      </c>
      <c r="G399">
        <v>0</v>
      </c>
      <c r="H399">
        <v>13</v>
      </c>
      <c r="I399">
        <v>0</v>
      </c>
      <c r="J399">
        <v>0</v>
      </c>
      <c r="K399">
        <v>0</v>
      </c>
      <c r="L399">
        <v>29.1</v>
      </c>
      <c r="M399">
        <v>25</v>
      </c>
      <c r="N399">
        <v>19</v>
      </c>
      <c r="O399">
        <v>19</v>
      </c>
      <c r="P399">
        <v>5</v>
      </c>
      <c r="Q399">
        <v>0</v>
      </c>
      <c r="R399">
        <v>11</v>
      </c>
      <c r="S399">
        <v>0</v>
      </c>
      <c r="T399">
        <v>26</v>
      </c>
      <c r="X399">
        <f t="shared" si="6"/>
        <v>0</v>
      </c>
    </row>
    <row r="400" spans="1:24" x14ac:dyDescent="0.25">
      <c r="A400" t="s">
        <v>789</v>
      </c>
      <c r="B400" t="s">
        <v>391</v>
      </c>
      <c r="C400">
        <v>31</v>
      </c>
      <c r="D400">
        <v>3.15</v>
      </c>
      <c r="E400">
        <v>0</v>
      </c>
      <c r="F400">
        <v>2</v>
      </c>
      <c r="G400">
        <v>0</v>
      </c>
      <c r="H400">
        <v>29</v>
      </c>
      <c r="I400">
        <v>1</v>
      </c>
      <c r="J400">
        <v>0</v>
      </c>
      <c r="K400">
        <v>0</v>
      </c>
      <c r="L400">
        <v>34.1</v>
      </c>
      <c r="M400">
        <v>31</v>
      </c>
      <c r="N400">
        <v>12</v>
      </c>
      <c r="O400">
        <v>12</v>
      </c>
      <c r="P400">
        <v>5</v>
      </c>
      <c r="Q400">
        <v>0</v>
      </c>
      <c r="R400">
        <v>10</v>
      </c>
      <c r="S400">
        <v>1</v>
      </c>
      <c r="T400">
        <v>38</v>
      </c>
      <c r="X400">
        <f t="shared" si="6"/>
        <v>0</v>
      </c>
    </row>
    <row r="401" spans="1:24" x14ac:dyDescent="0.25">
      <c r="A401" t="s">
        <v>790</v>
      </c>
      <c r="B401" t="s">
        <v>391</v>
      </c>
      <c r="C401">
        <v>31</v>
      </c>
      <c r="D401">
        <v>5.4</v>
      </c>
      <c r="E401">
        <v>0</v>
      </c>
      <c r="F401">
        <v>0</v>
      </c>
      <c r="G401">
        <v>0</v>
      </c>
      <c r="H401">
        <v>5</v>
      </c>
      <c r="I401">
        <v>0</v>
      </c>
      <c r="J401">
        <v>0</v>
      </c>
      <c r="K401">
        <v>0</v>
      </c>
      <c r="L401">
        <v>6.2</v>
      </c>
      <c r="M401">
        <v>8</v>
      </c>
      <c r="N401">
        <v>4</v>
      </c>
      <c r="O401">
        <v>4</v>
      </c>
      <c r="P401">
        <v>1</v>
      </c>
      <c r="Q401">
        <v>0</v>
      </c>
      <c r="R401">
        <v>1</v>
      </c>
      <c r="S401">
        <v>0</v>
      </c>
      <c r="T401">
        <v>3</v>
      </c>
      <c r="X401">
        <f t="shared" si="6"/>
        <v>0</v>
      </c>
    </row>
    <row r="402" spans="1:24" x14ac:dyDescent="0.25">
      <c r="A402" t="s">
        <v>791</v>
      </c>
      <c r="B402" t="s">
        <v>391</v>
      </c>
      <c r="C402">
        <v>31</v>
      </c>
      <c r="D402">
        <v>4.62</v>
      </c>
      <c r="E402">
        <v>0</v>
      </c>
      <c r="F402">
        <v>1</v>
      </c>
      <c r="G402">
        <v>0</v>
      </c>
      <c r="H402">
        <v>25</v>
      </c>
      <c r="I402">
        <v>0</v>
      </c>
      <c r="J402">
        <v>0</v>
      </c>
      <c r="K402">
        <v>0</v>
      </c>
      <c r="L402">
        <v>25.1</v>
      </c>
      <c r="M402">
        <v>26</v>
      </c>
      <c r="N402">
        <v>13</v>
      </c>
      <c r="O402">
        <v>13</v>
      </c>
      <c r="P402">
        <v>3</v>
      </c>
      <c r="Q402">
        <v>0</v>
      </c>
      <c r="R402">
        <v>8</v>
      </c>
      <c r="S402">
        <v>0</v>
      </c>
      <c r="T402">
        <v>15</v>
      </c>
      <c r="X402">
        <f t="shared" si="6"/>
        <v>0</v>
      </c>
    </row>
    <row r="403" spans="1:24" x14ac:dyDescent="0.25">
      <c r="A403" t="s">
        <v>792</v>
      </c>
      <c r="B403" t="s">
        <v>391</v>
      </c>
      <c r="C403">
        <v>31</v>
      </c>
      <c r="D403">
        <v>3.88</v>
      </c>
      <c r="E403">
        <v>4</v>
      </c>
      <c r="F403">
        <v>2</v>
      </c>
      <c r="G403">
        <v>1</v>
      </c>
      <c r="H403">
        <v>46</v>
      </c>
      <c r="I403">
        <v>5</v>
      </c>
      <c r="J403">
        <v>0</v>
      </c>
      <c r="K403">
        <v>0</v>
      </c>
      <c r="L403">
        <v>51</v>
      </c>
      <c r="M403">
        <v>40</v>
      </c>
      <c r="N403">
        <v>24</v>
      </c>
      <c r="O403">
        <v>22</v>
      </c>
      <c r="P403">
        <v>5</v>
      </c>
      <c r="Q403">
        <v>2</v>
      </c>
      <c r="R403">
        <v>24</v>
      </c>
      <c r="S403">
        <v>3</v>
      </c>
      <c r="T403">
        <v>49</v>
      </c>
      <c r="X403">
        <f t="shared" si="6"/>
        <v>0</v>
      </c>
    </row>
    <row r="404" spans="1:24" x14ac:dyDescent="0.25">
      <c r="A404" t="s">
        <v>793</v>
      </c>
      <c r="B404" t="s">
        <v>391</v>
      </c>
      <c r="C404">
        <v>31</v>
      </c>
      <c r="D404">
        <v>7.36</v>
      </c>
      <c r="E404">
        <v>1</v>
      </c>
      <c r="F404">
        <v>4</v>
      </c>
      <c r="G404">
        <v>3</v>
      </c>
      <c r="H404">
        <v>29</v>
      </c>
      <c r="I404">
        <v>0</v>
      </c>
      <c r="J404">
        <v>0</v>
      </c>
      <c r="K404">
        <v>0</v>
      </c>
      <c r="L404">
        <v>25.2</v>
      </c>
      <c r="M404">
        <v>29</v>
      </c>
      <c r="N404">
        <v>22</v>
      </c>
      <c r="O404">
        <v>21</v>
      </c>
      <c r="P404">
        <v>2</v>
      </c>
      <c r="Q404">
        <v>2</v>
      </c>
      <c r="R404">
        <v>13</v>
      </c>
      <c r="S404">
        <v>0</v>
      </c>
      <c r="T404">
        <v>29</v>
      </c>
      <c r="X404">
        <f t="shared" si="6"/>
        <v>0</v>
      </c>
    </row>
    <row r="405" spans="1:24" x14ac:dyDescent="0.25">
      <c r="A405" t="s">
        <v>794</v>
      </c>
      <c r="B405" t="s">
        <v>389</v>
      </c>
      <c r="C405">
        <v>31</v>
      </c>
      <c r="D405">
        <v>7.49</v>
      </c>
      <c r="E405">
        <v>0</v>
      </c>
      <c r="F405">
        <v>7</v>
      </c>
      <c r="G405">
        <v>0</v>
      </c>
      <c r="H405">
        <v>12</v>
      </c>
      <c r="I405">
        <v>12</v>
      </c>
      <c r="J405">
        <v>0</v>
      </c>
      <c r="K405">
        <v>0</v>
      </c>
      <c r="L405">
        <v>57.2</v>
      </c>
      <c r="M405">
        <v>82</v>
      </c>
      <c r="N405">
        <v>51</v>
      </c>
      <c r="O405">
        <v>48</v>
      </c>
      <c r="P405">
        <v>16</v>
      </c>
      <c r="Q405">
        <v>1</v>
      </c>
      <c r="R405">
        <v>17</v>
      </c>
      <c r="S405">
        <v>0</v>
      </c>
      <c r="T405">
        <v>34</v>
      </c>
      <c r="X405">
        <f t="shared" si="6"/>
        <v>0</v>
      </c>
    </row>
    <row r="406" spans="1:24" x14ac:dyDescent="0.25">
      <c r="A406" t="s">
        <v>795</v>
      </c>
      <c r="B406" t="s">
        <v>391</v>
      </c>
      <c r="C406">
        <v>31</v>
      </c>
      <c r="D406">
        <v>21.6</v>
      </c>
      <c r="E406">
        <v>0</v>
      </c>
      <c r="F406">
        <v>0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3.1</v>
      </c>
      <c r="M406">
        <v>8</v>
      </c>
      <c r="N406">
        <v>8</v>
      </c>
      <c r="O406">
        <v>8</v>
      </c>
      <c r="P406">
        <v>2</v>
      </c>
      <c r="Q406">
        <v>0</v>
      </c>
      <c r="R406">
        <v>6</v>
      </c>
      <c r="S406">
        <v>0</v>
      </c>
      <c r="T406">
        <v>5</v>
      </c>
      <c r="X406">
        <f t="shared" si="6"/>
        <v>0</v>
      </c>
    </row>
    <row r="407" spans="1:24" x14ac:dyDescent="0.25">
      <c r="A407" t="s">
        <v>796</v>
      </c>
      <c r="B407" t="s">
        <v>391</v>
      </c>
      <c r="C407">
        <v>31</v>
      </c>
      <c r="D407">
        <v>2.48</v>
      </c>
      <c r="E407">
        <v>1</v>
      </c>
      <c r="F407">
        <v>2</v>
      </c>
      <c r="G407">
        <v>0</v>
      </c>
      <c r="H407">
        <v>59</v>
      </c>
      <c r="I407">
        <v>0</v>
      </c>
      <c r="J407">
        <v>0</v>
      </c>
      <c r="K407">
        <v>0</v>
      </c>
      <c r="L407">
        <v>83.1</v>
      </c>
      <c r="M407">
        <v>72</v>
      </c>
      <c r="N407">
        <v>24</v>
      </c>
      <c r="O407">
        <v>23</v>
      </c>
      <c r="P407">
        <v>6</v>
      </c>
      <c r="Q407">
        <v>7</v>
      </c>
      <c r="R407">
        <v>26</v>
      </c>
      <c r="S407">
        <v>1</v>
      </c>
      <c r="T407">
        <v>81</v>
      </c>
      <c r="X407">
        <f t="shared" si="6"/>
        <v>0</v>
      </c>
    </row>
    <row r="408" spans="1:24" x14ac:dyDescent="0.25">
      <c r="A408" t="s">
        <v>797</v>
      </c>
      <c r="B408" t="s">
        <v>391</v>
      </c>
      <c r="C408">
        <v>31</v>
      </c>
      <c r="D408">
        <v>7.5</v>
      </c>
      <c r="E408">
        <v>0</v>
      </c>
      <c r="F408">
        <v>1</v>
      </c>
      <c r="G408">
        <v>0</v>
      </c>
      <c r="H408">
        <v>16</v>
      </c>
      <c r="I408">
        <v>0</v>
      </c>
      <c r="J408">
        <v>0</v>
      </c>
      <c r="K408">
        <v>0</v>
      </c>
      <c r="L408">
        <v>18</v>
      </c>
      <c r="M408">
        <v>20</v>
      </c>
      <c r="N408">
        <v>15</v>
      </c>
      <c r="O408">
        <v>15</v>
      </c>
      <c r="P408">
        <v>1</v>
      </c>
      <c r="Q408">
        <v>0</v>
      </c>
      <c r="R408">
        <v>15</v>
      </c>
      <c r="S408">
        <v>1</v>
      </c>
      <c r="T408">
        <v>18</v>
      </c>
      <c r="X408">
        <f t="shared" si="6"/>
        <v>0</v>
      </c>
    </row>
    <row r="409" spans="1:24" x14ac:dyDescent="0.25">
      <c r="A409" t="s">
        <v>798</v>
      </c>
      <c r="B409" t="s">
        <v>391</v>
      </c>
      <c r="C409">
        <v>31</v>
      </c>
      <c r="D409">
        <v>6</v>
      </c>
      <c r="E409">
        <v>0</v>
      </c>
      <c r="F409">
        <v>1</v>
      </c>
      <c r="G409">
        <v>0</v>
      </c>
      <c r="H409">
        <v>10</v>
      </c>
      <c r="I409">
        <v>0</v>
      </c>
      <c r="J409">
        <v>0</v>
      </c>
      <c r="K409">
        <v>0</v>
      </c>
      <c r="L409">
        <v>9</v>
      </c>
      <c r="M409">
        <v>13</v>
      </c>
      <c r="N409">
        <v>6</v>
      </c>
      <c r="O409">
        <v>6</v>
      </c>
      <c r="P409">
        <v>3</v>
      </c>
      <c r="Q409">
        <v>0</v>
      </c>
      <c r="R409">
        <v>5</v>
      </c>
      <c r="S409">
        <v>0</v>
      </c>
      <c r="T409">
        <v>8</v>
      </c>
      <c r="X409">
        <f t="shared" si="6"/>
        <v>0</v>
      </c>
    </row>
    <row r="410" spans="1:24" x14ac:dyDescent="0.25">
      <c r="A410" t="s">
        <v>799</v>
      </c>
      <c r="B410" t="s">
        <v>389</v>
      </c>
      <c r="C410">
        <v>31</v>
      </c>
      <c r="D410">
        <v>5.4</v>
      </c>
      <c r="E410">
        <v>0</v>
      </c>
      <c r="F410">
        <v>0</v>
      </c>
      <c r="G410">
        <v>0</v>
      </c>
      <c r="H410">
        <v>1</v>
      </c>
      <c r="I410">
        <v>1</v>
      </c>
      <c r="J410">
        <v>0</v>
      </c>
      <c r="K410">
        <v>0</v>
      </c>
      <c r="L410">
        <v>5</v>
      </c>
      <c r="M410">
        <v>9</v>
      </c>
      <c r="N410">
        <v>3</v>
      </c>
      <c r="O410">
        <v>3</v>
      </c>
      <c r="P410">
        <v>1</v>
      </c>
      <c r="Q410">
        <v>0</v>
      </c>
      <c r="R410">
        <v>2</v>
      </c>
      <c r="S410">
        <v>0</v>
      </c>
      <c r="T410">
        <v>1</v>
      </c>
      <c r="X410">
        <f t="shared" si="6"/>
        <v>0</v>
      </c>
    </row>
    <row r="411" spans="1:24" x14ac:dyDescent="0.25">
      <c r="A411" t="s">
        <v>800</v>
      </c>
      <c r="B411" t="s">
        <v>389</v>
      </c>
      <c r="C411">
        <v>31</v>
      </c>
      <c r="D411">
        <v>6.51</v>
      </c>
      <c r="E411">
        <v>2</v>
      </c>
      <c r="F411">
        <v>5</v>
      </c>
      <c r="G411">
        <v>0</v>
      </c>
      <c r="H411">
        <v>16</v>
      </c>
      <c r="I411">
        <v>13</v>
      </c>
      <c r="J411">
        <v>0</v>
      </c>
      <c r="K411">
        <v>0</v>
      </c>
      <c r="L411">
        <v>55.1</v>
      </c>
      <c r="M411">
        <v>61</v>
      </c>
      <c r="N411">
        <v>45</v>
      </c>
      <c r="O411">
        <v>40</v>
      </c>
      <c r="P411">
        <v>10</v>
      </c>
      <c r="Q411">
        <v>7</v>
      </c>
      <c r="R411">
        <v>39</v>
      </c>
      <c r="S411">
        <v>0</v>
      </c>
      <c r="T411">
        <v>61</v>
      </c>
      <c r="X411">
        <f t="shared" si="6"/>
        <v>0</v>
      </c>
    </row>
    <row r="412" spans="1:24" x14ac:dyDescent="0.25">
      <c r="A412" t="s">
        <v>801</v>
      </c>
      <c r="B412" t="s">
        <v>391</v>
      </c>
      <c r="C412">
        <v>31</v>
      </c>
      <c r="D412">
        <v>7.82</v>
      </c>
      <c r="E412">
        <v>0</v>
      </c>
      <c r="F412">
        <v>1</v>
      </c>
      <c r="G412">
        <v>0</v>
      </c>
      <c r="H412">
        <v>15</v>
      </c>
      <c r="I412">
        <v>0</v>
      </c>
      <c r="J412">
        <v>0</v>
      </c>
      <c r="K412">
        <v>0</v>
      </c>
      <c r="L412">
        <v>12.2</v>
      </c>
      <c r="M412">
        <v>19</v>
      </c>
      <c r="N412">
        <v>11</v>
      </c>
      <c r="O412">
        <v>11</v>
      </c>
      <c r="P412">
        <v>3</v>
      </c>
      <c r="Q412">
        <v>1</v>
      </c>
      <c r="R412">
        <v>5</v>
      </c>
      <c r="S412">
        <v>0</v>
      </c>
      <c r="T412">
        <v>13</v>
      </c>
      <c r="X412">
        <f t="shared" si="6"/>
        <v>0</v>
      </c>
    </row>
    <row r="413" spans="1:24" x14ac:dyDescent="0.25">
      <c r="A413" t="s">
        <v>802</v>
      </c>
      <c r="B413" t="s">
        <v>391</v>
      </c>
      <c r="C413">
        <v>31</v>
      </c>
      <c r="D413">
        <v>6.84</v>
      </c>
      <c r="E413">
        <v>0</v>
      </c>
      <c r="F413">
        <v>1</v>
      </c>
      <c r="G413">
        <v>1</v>
      </c>
      <c r="H413">
        <v>30</v>
      </c>
      <c r="I413">
        <v>0</v>
      </c>
      <c r="J413">
        <v>0</v>
      </c>
      <c r="K413">
        <v>0</v>
      </c>
      <c r="L413">
        <v>26.1</v>
      </c>
      <c r="M413">
        <v>31</v>
      </c>
      <c r="N413">
        <v>20</v>
      </c>
      <c r="O413">
        <v>20</v>
      </c>
      <c r="P413">
        <v>4</v>
      </c>
      <c r="Q413">
        <v>2</v>
      </c>
      <c r="R413">
        <v>9</v>
      </c>
      <c r="S413">
        <v>1</v>
      </c>
      <c r="T413">
        <v>24</v>
      </c>
      <c r="X413">
        <f t="shared" si="6"/>
        <v>0</v>
      </c>
    </row>
    <row r="414" spans="1:24" x14ac:dyDescent="0.25">
      <c r="A414" t="s">
        <v>803</v>
      </c>
      <c r="B414" t="s">
        <v>391</v>
      </c>
      <c r="C414">
        <v>31</v>
      </c>
      <c r="D414">
        <v>5.4</v>
      </c>
      <c r="E414">
        <v>0</v>
      </c>
      <c r="F414">
        <v>0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3.1</v>
      </c>
      <c r="M414">
        <v>2</v>
      </c>
      <c r="N414">
        <v>2</v>
      </c>
      <c r="O414">
        <v>2</v>
      </c>
      <c r="P414">
        <v>0</v>
      </c>
      <c r="Q414">
        <v>1</v>
      </c>
      <c r="R414">
        <v>3</v>
      </c>
      <c r="S414">
        <v>0</v>
      </c>
      <c r="T414">
        <v>2</v>
      </c>
      <c r="X414">
        <f t="shared" si="6"/>
        <v>0</v>
      </c>
    </row>
    <row r="415" spans="1:24" x14ac:dyDescent="0.25">
      <c r="A415" t="s">
        <v>804</v>
      </c>
      <c r="B415" t="s">
        <v>391</v>
      </c>
      <c r="C415">
        <v>31</v>
      </c>
      <c r="D415">
        <v>4</v>
      </c>
      <c r="E415">
        <v>0</v>
      </c>
      <c r="F415">
        <v>0</v>
      </c>
      <c r="G415">
        <v>0</v>
      </c>
      <c r="H415">
        <v>15</v>
      </c>
      <c r="I415">
        <v>0</v>
      </c>
      <c r="J415">
        <v>0</v>
      </c>
      <c r="K415">
        <v>0</v>
      </c>
      <c r="L415">
        <v>18</v>
      </c>
      <c r="M415">
        <v>18</v>
      </c>
      <c r="N415">
        <v>11</v>
      </c>
      <c r="O415">
        <v>8</v>
      </c>
      <c r="P415">
        <v>3</v>
      </c>
      <c r="Q415">
        <v>0</v>
      </c>
      <c r="R415">
        <v>7</v>
      </c>
      <c r="S415">
        <v>2</v>
      </c>
      <c r="T415">
        <v>17</v>
      </c>
      <c r="X415">
        <f t="shared" si="6"/>
        <v>0</v>
      </c>
    </row>
    <row r="416" spans="1:24" x14ac:dyDescent="0.25">
      <c r="A416" t="s">
        <v>805</v>
      </c>
      <c r="B416" t="s">
        <v>391</v>
      </c>
      <c r="C416">
        <v>31</v>
      </c>
      <c r="D416">
        <v>12.54</v>
      </c>
      <c r="E416">
        <v>1</v>
      </c>
      <c r="F416">
        <v>2</v>
      </c>
      <c r="G416">
        <v>0</v>
      </c>
      <c r="H416">
        <v>14</v>
      </c>
      <c r="I416">
        <v>0</v>
      </c>
      <c r="J416">
        <v>0</v>
      </c>
      <c r="K416">
        <v>0</v>
      </c>
      <c r="L416">
        <v>9.1</v>
      </c>
      <c r="M416">
        <v>12</v>
      </c>
      <c r="N416">
        <v>14</v>
      </c>
      <c r="O416">
        <v>13</v>
      </c>
      <c r="P416">
        <v>1</v>
      </c>
      <c r="Q416">
        <v>0</v>
      </c>
      <c r="R416">
        <v>14</v>
      </c>
      <c r="S416">
        <v>0</v>
      </c>
      <c r="T416">
        <v>11</v>
      </c>
      <c r="X416">
        <f t="shared" si="6"/>
        <v>0</v>
      </c>
    </row>
    <row r="417" spans="1:24" x14ac:dyDescent="0.25">
      <c r="A417" t="s">
        <v>806</v>
      </c>
      <c r="B417" t="s">
        <v>391</v>
      </c>
      <c r="C417">
        <v>31</v>
      </c>
      <c r="D417">
        <v>5.4</v>
      </c>
      <c r="E417">
        <v>0</v>
      </c>
      <c r="F417">
        <v>1</v>
      </c>
      <c r="G417">
        <v>0</v>
      </c>
      <c r="H417">
        <v>2</v>
      </c>
      <c r="I417">
        <v>0</v>
      </c>
      <c r="J417">
        <v>0</v>
      </c>
      <c r="K417">
        <v>0</v>
      </c>
      <c r="L417">
        <v>8.1</v>
      </c>
      <c r="M417">
        <v>9</v>
      </c>
      <c r="N417">
        <v>7</v>
      </c>
      <c r="O417">
        <v>5</v>
      </c>
      <c r="P417">
        <v>1</v>
      </c>
      <c r="Q417">
        <v>0</v>
      </c>
      <c r="R417">
        <v>3</v>
      </c>
      <c r="S417">
        <v>0</v>
      </c>
      <c r="T417">
        <v>12</v>
      </c>
      <c r="X417">
        <f t="shared" si="6"/>
        <v>0</v>
      </c>
    </row>
    <row r="418" spans="1:24" x14ac:dyDescent="0.25">
      <c r="A418" t="s">
        <v>807</v>
      </c>
      <c r="B418" t="s">
        <v>391</v>
      </c>
      <c r="C418">
        <v>31</v>
      </c>
      <c r="D418">
        <v>13.86</v>
      </c>
      <c r="E418">
        <v>1</v>
      </c>
      <c r="F418">
        <v>0</v>
      </c>
      <c r="G418">
        <v>0</v>
      </c>
      <c r="H418">
        <v>18</v>
      </c>
      <c r="I418">
        <v>0</v>
      </c>
      <c r="J418">
        <v>0</v>
      </c>
      <c r="K418">
        <v>0</v>
      </c>
      <c r="L418">
        <v>12.1</v>
      </c>
      <c r="M418">
        <v>14</v>
      </c>
      <c r="N418">
        <v>19</v>
      </c>
      <c r="O418">
        <v>19</v>
      </c>
      <c r="P418">
        <v>2</v>
      </c>
      <c r="Q418">
        <v>7</v>
      </c>
      <c r="R418">
        <v>14</v>
      </c>
      <c r="S418">
        <v>0</v>
      </c>
      <c r="T418">
        <v>13</v>
      </c>
      <c r="X418">
        <f t="shared" si="6"/>
        <v>0</v>
      </c>
    </row>
    <row r="419" spans="1:24" x14ac:dyDescent="0.25">
      <c r="A419" t="s">
        <v>808</v>
      </c>
      <c r="B419" t="s">
        <v>391</v>
      </c>
      <c r="C419">
        <v>31</v>
      </c>
      <c r="D419">
        <v>4.26</v>
      </c>
      <c r="E419">
        <v>0</v>
      </c>
      <c r="F419">
        <v>0</v>
      </c>
      <c r="G419">
        <v>0</v>
      </c>
      <c r="H419">
        <v>6</v>
      </c>
      <c r="I419">
        <v>0</v>
      </c>
      <c r="J419">
        <v>0</v>
      </c>
      <c r="K419">
        <v>0</v>
      </c>
      <c r="L419">
        <v>6.1</v>
      </c>
      <c r="M419">
        <v>8</v>
      </c>
      <c r="N419">
        <v>3</v>
      </c>
      <c r="O419">
        <v>3</v>
      </c>
      <c r="P419">
        <v>1</v>
      </c>
      <c r="Q419">
        <v>1</v>
      </c>
      <c r="R419">
        <v>6</v>
      </c>
      <c r="S419">
        <v>0</v>
      </c>
      <c r="T419">
        <v>8</v>
      </c>
      <c r="X419">
        <f t="shared" si="6"/>
        <v>0</v>
      </c>
    </row>
    <row r="420" spans="1:24" x14ac:dyDescent="0.25">
      <c r="A420" t="s">
        <v>809</v>
      </c>
      <c r="B420" t="s">
        <v>391</v>
      </c>
      <c r="C420">
        <v>31</v>
      </c>
      <c r="D420">
        <v>0</v>
      </c>
      <c r="E420">
        <v>0</v>
      </c>
      <c r="F420">
        <v>0</v>
      </c>
      <c r="G420">
        <v>0</v>
      </c>
      <c r="H420">
        <v>2</v>
      </c>
      <c r="I420">
        <v>0</v>
      </c>
      <c r="J420">
        <v>0</v>
      </c>
      <c r="K420">
        <v>0</v>
      </c>
      <c r="L420">
        <v>3.2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3</v>
      </c>
      <c r="X420">
        <f t="shared" si="6"/>
        <v>0</v>
      </c>
    </row>
    <row r="421" spans="1:24" x14ac:dyDescent="0.25">
      <c r="A421" t="s">
        <v>810</v>
      </c>
      <c r="B421" t="s">
        <v>391</v>
      </c>
      <c r="C421">
        <v>31</v>
      </c>
      <c r="D421">
        <v>4.68</v>
      </c>
      <c r="E421">
        <v>2</v>
      </c>
      <c r="F421">
        <v>0</v>
      </c>
      <c r="G421">
        <v>0</v>
      </c>
      <c r="H421">
        <v>33</v>
      </c>
      <c r="I421">
        <v>0</v>
      </c>
      <c r="J421">
        <v>0</v>
      </c>
      <c r="K421">
        <v>0</v>
      </c>
      <c r="L421">
        <v>42.1</v>
      </c>
      <c r="M421">
        <v>41</v>
      </c>
      <c r="N421">
        <v>23</v>
      </c>
      <c r="O421">
        <v>22</v>
      </c>
      <c r="P421">
        <v>6</v>
      </c>
      <c r="Q421">
        <v>4</v>
      </c>
      <c r="R421">
        <v>14</v>
      </c>
      <c r="S421">
        <v>2</v>
      </c>
      <c r="T421">
        <v>32</v>
      </c>
      <c r="X421">
        <f t="shared" si="6"/>
        <v>0</v>
      </c>
    </row>
    <row r="422" spans="1:24" x14ac:dyDescent="0.25">
      <c r="A422" t="s">
        <v>811</v>
      </c>
      <c r="B422" t="s">
        <v>391</v>
      </c>
      <c r="C422">
        <v>31</v>
      </c>
      <c r="D422">
        <v>3.45</v>
      </c>
      <c r="E422">
        <v>0</v>
      </c>
      <c r="F422">
        <v>0</v>
      </c>
      <c r="G422">
        <v>0</v>
      </c>
      <c r="H422">
        <v>11</v>
      </c>
      <c r="I422">
        <v>1</v>
      </c>
      <c r="J422">
        <v>0</v>
      </c>
      <c r="K422">
        <v>0</v>
      </c>
      <c r="L422">
        <v>31.1</v>
      </c>
      <c r="M422">
        <v>29</v>
      </c>
      <c r="N422">
        <v>12</v>
      </c>
      <c r="O422">
        <v>12</v>
      </c>
      <c r="P422">
        <v>4</v>
      </c>
      <c r="Q422">
        <v>1</v>
      </c>
      <c r="R422">
        <v>11</v>
      </c>
      <c r="S422">
        <v>0</v>
      </c>
      <c r="T422">
        <v>22</v>
      </c>
      <c r="X422">
        <f t="shared" si="6"/>
        <v>0</v>
      </c>
    </row>
    <row r="423" spans="1:24" x14ac:dyDescent="0.25">
      <c r="A423" t="s">
        <v>812</v>
      </c>
      <c r="B423" t="s">
        <v>391</v>
      </c>
      <c r="C423">
        <v>31</v>
      </c>
      <c r="D423">
        <v>4.32</v>
      </c>
      <c r="E423">
        <v>0</v>
      </c>
      <c r="F423">
        <v>0</v>
      </c>
      <c r="G423">
        <v>0</v>
      </c>
      <c r="H423">
        <v>10</v>
      </c>
      <c r="I423">
        <v>0</v>
      </c>
      <c r="J423">
        <v>0</v>
      </c>
      <c r="K423">
        <v>0</v>
      </c>
      <c r="L423">
        <v>8.1</v>
      </c>
      <c r="M423">
        <v>9</v>
      </c>
      <c r="N423">
        <v>5</v>
      </c>
      <c r="O423">
        <v>4</v>
      </c>
      <c r="P423">
        <v>0</v>
      </c>
      <c r="Q423">
        <v>1</v>
      </c>
      <c r="R423">
        <v>3</v>
      </c>
      <c r="S423">
        <v>0</v>
      </c>
      <c r="T423">
        <v>13</v>
      </c>
      <c r="X423">
        <f t="shared" si="6"/>
        <v>0</v>
      </c>
    </row>
    <row r="424" spans="1:24" x14ac:dyDescent="0.25">
      <c r="A424" t="s">
        <v>813</v>
      </c>
      <c r="B424" t="s">
        <v>389</v>
      </c>
      <c r="C424">
        <v>32</v>
      </c>
      <c r="D424">
        <v>4.7699999999999996</v>
      </c>
      <c r="E424">
        <v>4</v>
      </c>
      <c r="F424">
        <v>2</v>
      </c>
      <c r="G424">
        <v>1</v>
      </c>
      <c r="H424">
        <v>18</v>
      </c>
      <c r="I424">
        <v>13</v>
      </c>
      <c r="J424">
        <v>0</v>
      </c>
      <c r="K424">
        <v>0</v>
      </c>
      <c r="L424">
        <v>77.099999999999994</v>
      </c>
      <c r="M424">
        <v>80</v>
      </c>
      <c r="N424">
        <v>45</v>
      </c>
      <c r="O424">
        <v>41</v>
      </c>
      <c r="P424">
        <v>15</v>
      </c>
      <c r="Q424">
        <v>3</v>
      </c>
      <c r="R424">
        <v>26</v>
      </c>
      <c r="S424">
        <v>0</v>
      </c>
      <c r="T424">
        <v>65</v>
      </c>
      <c r="X424">
        <f t="shared" si="6"/>
        <v>0</v>
      </c>
    </row>
    <row r="425" spans="1:24" x14ac:dyDescent="0.25">
      <c r="A425" t="s">
        <v>814</v>
      </c>
      <c r="B425" t="s">
        <v>391</v>
      </c>
      <c r="C425">
        <v>32</v>
      </c>
      <c r="D425">
        <v>2.48</v>
      </c>
      <c r="E425">
        <v>0</v>
      </c>
      <c r="F425">
        <v>1</v>
      </c>
      <c r="G425">
        <v>2</v>
      </c>
      <c r="H425">
        <v>28</v>
      </c>
      <c r="I425">
        <v>0</v>
      </c>
      <c r="J425">
        <v>0</v>
      </c>
      <c r="K425">
        <v>0</v>
      </c>
      <c r="L425">
        <v>29</v>
      </c>
      <c r="M425">
        <v>19</v>
      </c>
      <c r="N425">
        <v>9</v>
      </c>
      <c r="O425">
        <v>8</v>
      </c>
      <c r="P425">
        <v>4</v>
      </c>
      <c r="Q425">
        <v>4</v>
      </c>
      <c r="R425">
        <v>15</v>
      </c>
      <c r="S425">
        <v>0</v>
      </c>
      <c r="T425">
        <v>21</v>
      </c>
      <c r="X425">
        <f t="shared" si="6"/>
        <v>0</v>
      </c>
    </row>
    <row r="426" spans="1:24" x14ac:dyDescent="0.25">
      <c r="A426" t="s">
        <v>815</v>
      </c>
      <c r="B426" t="s">
        <v>391</v>
      </c>
      <c r="C426">
        <v>32</v>
      </c>
      <c r="D426">
        <v>4.21</v>
      </c>
      <c r="E426">
        <v>6</v>
      </c>
      <c r="F426">
        <v>3</v>
      </c>
      <c r="G426">
        <v>1</v>
      </c>
      <c r="H426">
        <v>75</v>
      </c>
      <c r="I426">
        <v>1</v>
      </c>
      <c r="J426">
        <v>0</v>
      </c>
      <c r="K426">
        <v>0</v>
      </c>
      <c r="L426">
        <v>68.099999999999994</v>
      </c>
      <c r="M426">
        <v>50</v>
      </c>
      <c r="N426">
        <v>35</v>
      </c>
      <c r="O426">
        <v>32</v>
      </c>
      <c r="P426">
        <v>8</v>
      </c>
      <c r="Q426">
        <v>6</v>
      </c>
      <c r="R426">
        <v>45</v>
      </c>
      <c r="S426">
        <v>3</v>
      </c>
      <c r="T426">
        <v>75</v>
      </c>
      <c r="X426">
        <f t="shared" si="6"/>
        <v>0</v>
      </c>
    </row>
    <row r="427" spans="1:24" x14ac:dyDescent="0.25">
      <c r="A427" t="s">
        <v>816</v>
      </c>
      <c r="B427" t="s">
        <v>391</v>
      </c>
      <c r="C427">
        <v>32</v>
      </c>
      <c r="D427">
        <v>0</v>
      </c>
      <c r="E427">
        <v>0</v>
      </c>
      <c r="F427">
        <v>0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5.0999999999999996</v>
      </c>
      <c r="M427">
        <v>5</v>
      </c>
      <c r="N427">
        <v>0</v>
      </c>
      <c r="O427">
        <v>0</v>
      </c>
      <c r="P427">
        <v>0</v>
      </c>
      <c r="Q427">
        <v>0</v>
      </c>
      <c r="R427">
        <v>2</v>
      </c>
      <c r="S427">
        <v>0</v>
      </c>
      <c r="T427">
        <v>5</v>
      </c>
      <c r="X427">
        <f t="shared" si="6"/>
        <v>0</v>
      </c>
    </row>
    <row r="428" spans="1:24" x14ac:dyDescent="0.25">
      <c r="A428" t="s">
        <v>817</v>
      </c>
      <c r="B428" t="s">
        <v>391</v>
      </c>
      <c r="C428">
        <v>32</v>
      </c>
      <c r="D428">
        <v>3.25</v>
      </c>
      <c r="E428">
        <v>1</v>
      </c>
      <c r="F428">
        <v>1</v>
      </c>
      <c r="G428">
        <v>1</v>
      </c>
      <c r="H428">
        <v>51</v>
      </c>
      <c r="I428">
        <v>0</v>
      </c>
      <c r="J428">
        <v>0</v>
      </c>
      <c r="K428">
        <v>0</v>
      </c>
      <c r="L428">
        <v>55.1</v>
      </c>
      <c r="M428">
        <v>38</v>
      </c>
      <c r="N428">
        <v>20</v>
      </c>
      <c r="O428">
        <v>20</v>
      </c>
      <c r="P428">
        <v>8</v>
      </c>
      <c r="Q428">
        <v>1</v>
      </c>
      <c r="R428">
        <v>9</v>
      </c>
      <c r="S428">
        <v>0</v>
      </c>
      <c r="T428">
        <v>44</v>
      </c>
      <c r="X428">
        <f t="shared" si="6"/>
        <v>0</v>
      </c>
    </row>
    <row r="429" spans="1:24" x14ac:dyDescent="0.25">
      <c r="A429" t="s">
        <v>818</v>
      </c>
      <c r="B429" t="s">
        <v>391</v>
      </c>
      <c r="C429">
        <v>32</v>
      </c>
      <c r="D429">
        <v>3.93</v>
      </c>
      <c r="E429">
        <v>3</v>
      </c>
      <c r="F429">
        <v>2</v>
      </c>
      <c r="G429">
        <v>1</v>
      </c>
      <c r="H429">
        <v>30</v>
      </c>
      <c r="I429">
        <v>0</v>
      </c>
      <c r="J429">
        <v>0</v>
      </c>
      <c r="K429">
        <v>0</v>
      </c>
      <c r="L429">
        <v>36.200000000000003</v>
      </c>
      <c r="M429">
        <v>29</v>
      </c>
      <c r="N429">
        <v>18</v>
      </c>
      <c r="O429">
        <v>16</v>
      </c>
      <c r="P429">
        <v>5</v>
      </c>
      <c r="Q429">
        <v>0</v>
      </c>
      <c r="R429">
        <v>5</v>
      </c>
      <c r="S429">
        <v>0</v>
      </c>
      <c r="T429">
        <v>24</v>
      </c>
      <c r="X429">
        <f t="shared" si="6"/>
        <v>0</v>
      </c>
    </row>
    <row r="430" spans="1:24" x14ac:dyDescent="0.25">
      <c r="A430" t="s">
        <v>819</v>
      </c>
      <c r="B430" t="s">
        <v>389</v>
      </c>
      <c r="C430">
        <v>32</v>
      </c>
      <c r="D430">
        <v>4.05</v>
      </c>
      <c r="E430">
        <v>1</v>
      </c>
      <c r="F430">
        <v>0</v>
      </c>
      <c r="G430">
        <v>0</v>
      </c>
      <c r="H430">
        <v>1</v>
      </c>
      <c r="I430">
        <v>1</v>
      </c>
      <c r="J430">
        <v>0</v>
      </c>
      <c r="K430">
        <v>0</v>
      </c>
      <c r="L430">
        <v>6.2</v>
      </c>
      <c r="M430">
        <v>8</v>
      </c>
      <c r="N430">
        <v>3</v>
      </c>
      <c r="O430">
        <v>3</v>
      </c>
      <c r="P430">
        <v>1</v>
      </c>
      <c r="Q430">
        <v>0</v>
      </c>
      <c r="R430">
        <v>3</v>
      </c>
      <c r="S430">
        <v>0</v>
      </c>
      <c r="T430">
        <v>8</v>
      </c>
      <c r="X430">
        <f t="shared" si="6"/>
        <v>0</v>
      </c>
    </row>
    <row r="431" spans="1:24" x14ac:dyDescent="0.25">
      <c r="A431" t="s">
        <v>820</v>
      </c>
      <c r="B431" t="s">
        <v>389</v>
      </c>
      <c r="C431">
        <v>32</v>
      </c>
      <c r="D431">
        <v>5.49</v>
      </c>
      <c r="E431">
        <v>4</v>
      </c>
      <c r="F431">
        <v>13</v>
      </c>
      <c r="G431">
        <v>0</v>
      </c>
      <c r="H431">
        <v>32</v>
      </c>
      <c r="I431">
        <v>24</v>
      </c>
      <c r="J431">
        <v>1</v>
      </c>
      <c r="K431">
        <v>1</v>
      </c>
      <c r="L431">
        <v>141</v>
      </c>
      <c r="M431">
        <v>147</v>
      </c>
      <c r="N431">
        <v>90</v>
      </c>
      <c r="O431">
        <v>86</v>
      </c>
      <c r="P431">
        <v>19</v>
      </c>
      <c r="Q431">
        <v>3</v>
      </c>
      <c r="R431">
        <v>67</v>
      </c>
      <c r="S431">
        <v>1</v>
      </c>
      <c r="T431">
        <v>83</v>
      </c>
      <c r="X431">
        <f t="shared" si="6"/>
        <v>0</v>
      </c>
    </row>
    <row r="432" spans="1:24" x14ac:dyDescent="0.25">
      <c r="A432" t="s">
        <v>821</v>
      </c>
      <c r="B432" t="s">
        <v>391</v>
      </c>
      <c r="C432">
        <v>32</v>
      </c>
      <c r="D432">
        <v>4.12</v>
      </c>
      <c r="E432">
        <v>5</v>
      </c>
      <c r="F432">
        <v>4</v>
      </c>
      <c r="G432">
        <v>0</v>
      </c>
      <c r="H432">
        <v>63</v>
      </c>
      <c r="I432">
        <v>0</v>
      </c>
      <c r="J432">
        <v>0</v>
      </c>
      <c r="K432">
        <v>0</v>
      </c>
      <c r="L432">
        <v>54.2</v>
      </c>
      <c r="M432">
        <v>44</v>
      </c>
      <c r="N432">
        <v>29</v>
      </c>
      <c r="O432">
        <v>25</v>
      </c>
      <c r="P432">
        <v>4</v>
      </c>
      <c r="Q432">
        <v>5</v>
      </c>
      <c r="R432">
        <v>15</v>
      </c>
      <c r="S432">
        <v>2</v>
      </c>
      <c r="T432">
        <v>56</v>
      </c>
      <c r="X432">
        <f t="shared" si="6"/>
        <v>0</v>
      </c>
    </row>
    <row r="433" spans="1:24" x14ac:dyDescent="0.25">
      <c r="A433" t="s">
        <v>822</v>
      </c>
      <c r="B433" t="s">
        <v>391</v>
      </c>
      <c r="C433">
        <v>32</v>
      </c>
      <c r="D433">
        <v>11.25</v>
      </c>
      <c r="E433">
        <v>0</v>
      </c>
      <c r="F433">
        <v>2</v>
      </c>
      <c r="G433">
        <v>0</v>
      </c>
      <c r="H433">
        <v>4</v>
      </c>
      <c r="I433">
        <v>0</v>
      </c>
      <c r="J433">
        <v>0</v>
      </c>
      <c r="K433">
        <v>0</v>
      </c>
      <c r="L433">
        <v>4</v>
      </c>
      <c r="M433">
        <v>11</v>
      </c>
      <c r="N433">
        <v>7</v>
      </c>
      <c r="O433">
        <v>5</v>
      </c>
      <c r="P433">
        <v>2</v>
      </c>
      <c r="Q433">
        <v>0</v>
      </c>
      <c r="R433">
        <v>1</v>
      </c>
      <c r="S433">
        <v>1</v>
      </c>
      <c r="T433">
        <v>4</v>
      </c>
      <c r="X433">
        <f t="shared" si="6"/>
        <v>0</v>
      </c>
    </row>
    <row r="434" spans="1:24" x14ac:dyDescent="0.25">
      <c r="A434" t="s">
        <v>823</v>
      </c>
      <c r="B434" t="s">
        <v>391</v>
      </c>
      <c r="C434">
        <v>32</v>
      </c>
      <c r="D434">
        <v>4.76</v>
      </c>
      <c r="E434">
        <v>0</v>
      </c>
      <c r="F434">
        <v>0</v>
      </c>
      <c r="G434">
        <v>0</v>
      </c>
      <c r="H434">
        <v>3</v>
      </c>
      <c r="I434">
        <v>0</v>
      </c>
      <c r="J434">
        <v>0</v>
      </c>
      <c r="K434">
        <v>0</v>
      </c>
      <c r="L434">
        <v>5.2</v>
      </c>
      <c r="M434">
        <v>6</v>
      </c>
      <c r="N434">
        <v>3</v>
      </c>
      <c r="O434">
        <v>3</v>
      </c>
      <c r="P434">
        <v>1</v>
      </c>
      <c r="Q434">
        <v>0</v>
      </c>
      <c r="R434">
        <v>2</v>
      </c>
      <c r="S434">
        <v>0</v>
      </c>
      <c r="T434">
        <v>3</v>
      </c>
      <c r="X434">
        <f t="shared" si="6"/>
        <v>0</v>
      </c>
    </row>
    <row r="435" spans="1:24" x14ac:dyDescent="0.25">
      <c r="A435" t="s">
        <v>824</v>
      </c>
      <c r="B435" t="s">
        <v>391</v>
      </c>
      <c r="C435">
        <v>32</v>
      </c>
      <c r="D435">
        <v>3.19</v>
      </c>
      <c r="E435">
        <v>0</v>
      </c>
      <c r="F435">
        <v>1</v>
      </c>
      <c r="G435">
        <v>0</v>
      </c>
      <c r="H435">
        <v>33</v>
      </c>
      <c r="I435">
        <v>2</v>
      </c>
      <c r="J435">
        <v>0</v>
      </c>
      <c r="K435">
        <v>0</v>
      </c>
      <c r="L435">
        <v>31</v>
      </c>
      <c r="M435">
        <v>35</v>
      </c>
      <c r="N435">
        <v>11</v>
      </c>
      <c r="O435">
        <v>11</v>
      </c>
      <c r="P435">
        <v>0</v>
      </c>
      <c r="Q435">
        <v>2</v>
      </c>
      <c r="R435">
        <v>12</v>
      </c>
      <c r="S435">
        <v>1</v>
      </c>
      <c r="T435">
        <v>27</v>
      </c>
      <c r="X435">
        <f t="shared" si="6"/>
        <v>0</v>
      </c>
    </row>
    <row r="436" spans="1:24" x14ac:dyDescent="0.25">
      <c r="A436" t="s">
        <v>825</v>
      </c>
      <c r="B436" t="s">
        <v>391</v>
      </c>
      <c r="C436">
        <v>32</v>
      </c>
      <c r="D436">
        <v>5.86</v>
      </c>
      <c r="E436">
        <v>3</v>
      </c>
      <c r="F436">
        <v>3</v>
      </c>
      <c r="G436">
        <v>0</v>
      </c>
      <c r="H436">
        <v>20</v>
      </c>
      <c r="I436">
        <v>6</v>
      </c>
      <c r="J436">
        <v>0</v>
      </c>
      <c r="K436">
        <v>0</v>
      </c>
      <c r="L436">
        <v>43</v>
      </c>
      <c r="M436">
        <v>38</v>
      </c>
      <c r="N436">
        <v>28</v>
      </c>
      <c r="O436">
        <v>28</v>
      </c>
      <c r="P436">
        <v>9</v>
      </c>
      <c r="Q436">
        <v>2</v>
      </c>
      <c r="R436">
        <v>13</v>
      </c>
      <c r="S436">
        <v>0</v>
      </c>
      <c r="T436">
        <v>37</v>
      </c>
      <c r="X436">
        <f t="shared" si="6"/>
        <v>0</v>
      </c>
    </row>
    <row r="437" spans="1:24" x14ac:dyDescent="0.25">
      <c r="A437" t="s">
        <v>826</v>
      </c>
      <c r="B437" t="s">
        <v>391</v>
      </c>
      <c r="C437">
        <v>32</v>
      </c>
      <c r="D437">
        <v>6.57</v>
      </c>
      <c r="E437">
        <v>6</v>
      </c>
      <c r="F437">
        <v>0</v>
      </c>
      <c r="G437">
        <v>1</v>
      </c>
      <c r="H437">
        <v>26</v>
      </c>
      <c r="I437">
        <v>0</v>
      </c>
      <c r="J437">
        <v>0</v>
      </c>
      <c r="K437">
        <v>0</v>
      </c>
      <c r="L437">
        <v>24.2</v>
      </c>
      <c r="M437">
        <v>25</v>
      </c>
      <c r="N437">
        <v>18</v>
      </c>
      <c r="O437">
        <v>18</v>
      </c>
      <c r="P437">
        <v>1</v>
      </c>
      <c r="Q437">
        <v>3</v>
      </c>
      <c r="R437">
        <v>7</v>
      </c>
      <c r="S437">
        <v>0</v>
      </c>
      <c r="T437">
        <v>17</v>
      </c>
      <c r="X437">
        <f t="shared" si="6"/>
        <v>0</v>
      </c>
    </row>
    <row r="438" spans="1:24" x14ac:dyDescent="0.25">
      <c r="A438" t="s">
        <v>827</v>
      </c>
      <c r="B438" t="s">
        <v>391</v>
      </c>
      <c r="C438">
        <v>32</v>
      </c>
      <c r="D438">
        <v>3.76</v>
      </c>
      <c r="E438">
        <v>0</v>
      </c>
      <c r="F438">
        <v>1</v>
      </c>
      <c r="G438">
        <v>0</v>
      </c>
      <c r="H438">
        <v>38</v>
      </c>
      <c r="I438">
        <v>0</v>
      </c>
      <c r="J438">
        <v>0</v>
      </c>
      <c r="K438">
        <v>0</v>
      </c>
      <c r="L438">
        <v>38.1</v>
      </c>
      <c r="M438">
        <v>35</v>
      </c>
      <c r="N438">
        <v>17</v>
      </c>
      <c r="O438">
        <v>16</v>
      </c>
      <c r="P438">
        <v>4</v>
      </c>
      <c r="Q438">
        <v>2</v>
      </c>
      <c r="R438">
        <v>12</v>
      </c>
      <c r="S438">
        <v>1</v>
      </c>
      <c r="T438">
        <v>31</v>
      </c>
      <c r="X438">
        <f t="shared" si="6"/>
        <v>0</v>
      </c>
    </row>
    <row r="439" spans="1:24" x14ac:dyDescent="0.25">
      <c r="A439" t="s">
        <v>828</v>
      </c>
      <c r="B439" t="s">
        <v>389</v>
      </c>
      <c r="C439">
        <v>32</v>
      </c>
      <c r="D439">
        <v>6.28</v>
      </c>
      <c r="E439">
        <v>3</v>
      </c>
      <c r="F439">
        <v>2</v>
      </c>
      <c r="G439">
        <v>0</v>
      </c>
      <c r="H439">
        <v>9</v>
      </c>
      <c r="I439">
        <v>7</v>
      </c>
      <c r="J439">
        <v>0</v>
      </c>
      <c r="K439">
        <v>0</v>
      </c>
      <c r="L439">
        <v>38.200000000000003</v>
      </c>
      <c r="M439">
        <v>48</v>
      </c>
      <c r="N439">
        <v>29</v>
      </c>
      <c r="O439">
        <v>27</v>
      </c>
      <c r="P439">
        <v>8</v>
      </c>
      <c r="Q439">
        <v>1</v>
      </c>
      <c r="R439">
        <v>14</v>
      </c>
      <c r="S439">
        <v>0</v>
      </c>
      <c r="T439">
        <v>32</v>
      </c>
      <c r="X439">
        <f t="shared" si="6"/>
        <v>0</v>
      </c>
    </row>
    <row r="440" spans="1:24" x14ac:dyDescent="0.25">
      <c r="A440" t="s">
        <v>829</v>
      </c>
      <c r="B440" t="s">
        <v>391</v>
      </c>
      <c r="C440">
        <v>32</v>
      </c>
      <c r="D440">
        <v>2.73</v>
      </c>
      <c r="E440">
        <v>2</v>
      </c>
      <c r="F440">
        <v>5</v>
      </c>
      <c r="G440">
        <v>2</v>
      </c>
      <c r="H440">
        <v>48</v>
      </c>
      <c r="I440">
        <v>5</v>
      </c>
      <c r="J440">
        <v>0</v>
      </c>
      <c r="K440">
        <v>0</v>
      </c>
      <c r="L440">
        <v>92.1</v>
      </c>
      <c r="M440">
        <v>94</v>
      </c>
      <c r="N440">
        <v>36</v>
      </c>
      <c r="O440">
        <v>28</v>
      </c>
      <c r="P440">
        <v>5</v>
      </c>
      <c r="Q440">
        <v>5</v>
      </c>
      <c r="R440">
        <v>31</v>
      </c>
      <c r="S440">
        <v>2</v>
      </c>
      <c r="T440">
        <v>91</v>
      </c>
      <c r="X440">
        <f t="shared" si="6"/>
        <v>0</v>
      </c>
    </row>
    <row r="441" spans="1:24" x14ac:dyDescent="0.25">
      <c r="A441" t="s">
        <v>830</v>
      </c>
      <c r="B441" t="s">
        <v>391</v>
      </c>
      <c r="C441">
        <v>32</v>
      </c>
      <c r="D441">
        <v>11.17</v>
      </c>
      <c r="E441">
        <v>0</v>
      </c>
      <c r="F441">
        <v>1</v>
      </c>
      <c r="G441">
        <v>0</v>
      </c>
      <c r="H441">
        <v>13</v>
      </c>
      <c r="I441">
        <v>0</v>
      </c>
      <c r="J441">
        <v>0</v>
      </c>
      <c r="K441">
        <v>0</v>
      </c>
      <c r="L441">
        <v>9.1999999999999993</v>
      </c>
      <c r="M441">
        <v>8</v>
      </c>
      <c r="N441">
        <v>12</v>
      </c>
      <c r="O441">
        <v>12</v>
      </c>
      <c r="P441">
        <v>0</v>
      </c>
      <c r="Q441">
        <v>1</v>
      </c>
      <c r="R441">
        <v>9</v>
      </c>
      <c r="S441">
        <v>0</v>
      </c>
      <c r="T441">
        <v>11</v>
      </c>
      <c r="X441">
        <f t="shared" si="6"/>
        <v>0</v>
      </c>
    </row>
    <row r="442" spans="1:24" x14ac:dyDescent="0.25">
      <c r="A442" t="s">
        <v>831</v>
      </c>
      <c r="B442" t="s">
        <v>391</v>
      </c>
      <c r="C442">
        <v>32</v>
      </c>
      <c r="D442">
        <v>7.94</v>
      </c>
      <c r="E442">
        <v>0</v>
      </c>
      <c r="F442">
        <v>0</v>
      </c>
      <c r="G442">
        <v>0</v>
      </c>
      <c r="H442">
        <v>5</v>
      </c>
      <c r="I442">
        <v>0</v>
      </c>
      <c r="J442">
        <v>0</v>
      </c>
      <c r="K442">
        <v>0</v>
      </c>
      <c r="L442">
        <v>5.2</v>
      </c>
      <c r="M442">
        <v>11</v>
      </c>
      <c r="N442">
        <v>5</v>
      </c>
      <c r="O442">
        <v>5</v>
      </c>
      <c r="P442">
        <v>0</v>
      </c>
      <c r="Q442">
        <v>0</v>
      </c>
      <c r="R442">
        <v>2</v>
      </c>
      <c r="S442">
        <v>0</v>
      </c>
      <c r="T442">
        <v>5</v>
      </c>
      <c r="X442">
        <f t="shared" si="6"/>
        <v>0</v>
      </c>
    </row>
    <row r="443" spans="1:24" x14ac:dyDescent="0.25">
      <c r="A443" t="s">
        <v>832</v>
      </c>
      <c r="B443" t="s">
        <v>391</v>
      </c>
      <c r="C443">
        <v>32</v>
      </c>
      <c r="D443">
        <v>8.23</v>
      </c>
      <c r="E443">
        <v>2</v>
      </c>
      <c r="F443">
        <v>4</v>
      </c>
      <c r="G443">
        <v>8</v>
      </c>
      <c r="H443">
        <v>49</v>
      </c>
      <c r="I443">
        <v>0</v>
      </c>
      <c r="J443">
        <v>0</v>
      </c>
      <c r="K443">
        <v>0</v>
      </c>
      <c r="L443">
        <v>42.2</v>
      </c>
      <c r="M443">
        <v>45</v>
      </c>
      <c r="N443">
        <v>40</v>
      </c>
      <c r="O443">
        <v>39</v>
      </c>
      <c r="P443">
        <v>10</v>
      </c>
      <c r="Q443">
        <v>3</v>
      </c>
      <c r="R443">
        <v>17</v>
      </c>
      <c r="S443">
        <v>1</v>
      </c>
      <c r="T443">
        <v>47</v>
      </c>
      <c r="X443">
        <f t="shared" si="6"/>
        <v>0</v>
      </c>
    </row>
    <row r="444" spans="1:24" x14ac:dyDescent="0.25">
      <c r="A444" t="s">
        <v>833</v>
      </c>
      <c r="B444" t="s">
        <v>391</v>
      </c>
      <c r="C444">
        <v>32</v>
      </c>
      <c r="D444">
        <v>5.12</v>
      </c>
      <c r="E444">
        <v>2</v>
      </c>
      <c r="F444">
        <v>1</v>
      </c>
      <c r="G444">
        <v>0</v>
      </c>
      <c r="H444">
        <v>37</v>
      </c>
      <c r="I444">
        <v>1</v>
      </c>
      <c r="J444">
        <v>0</v>
      </c>
      <c r="K444">
        <v>0</v>
      </c>
      <c r="L444">
        <v>51</v>
      </c>
      <c r="M444">
        <v>57</v>
      </c>
      <c r="N444">
        <v>30</v>
      </c>
      <c r="O444">
        <v>29</v>
      </c>
      <c r="P444">
        <v>8</v>
      </c>
      <c r="Q444">
        <v>3</v>
      </c>
      <c r="R444">
        <v>18</v>
      </c>
      <c r="S444">
        <v>1</v>
      </c>
      <c r="T444">
        <v>39</v>
      </c>
      <c r="X444">
        <f t="shared" si="6"/>
        <v>0</v>
      </c>
    </row>
    <row r="445" spans="1:24" x14ac:dyDescent="0.25">
      <c r="A445" t="s">
        <v>834</v>
      </c>
      <c r="B445" t="s">
        <v>391</v>
      </c>
      <c r="C445">
        <v>32</v>
      </c>
      <c r="D445">
        <v>7.42</v>
      </c>
      <c r="E445">
        <v>0</v>
      </c>
      <c r="F445">
        <v>0</v>
      </c>
      <c r="G445">
        <v>0</v>
      </c>
      <c r="H445">
        <v>10</v>
      </c>
      <c r="I445">
        <v>0</v>
      </c>
      <c r="J445">
        <v>0</v>
      </c>
      <c r="K445">
        <v>0</v>
      </c>
      <c r="L445">
        <v>13.1</v>
      </c>
      <c r="M445">
        <v>19</v>
      </c>
      <c r="N445">
        <v>12</v>
      </c>
      <c r="O445">
        <v>11</v>
      </c>
      <c r="P445">
        <v>2</v>
      </c>
      <c r="Q445">
        <v>1</v>
      </c>
      <c r="R445">
        <v>6</v>
      </c>
      <c r="S445">
        <v>0</v>
      </c>
      <c r="T445">
        <v>12</v>
      </c>
      <c r="X445">
        <f t="shared" si="6"/>
        <v>0</v>
      </c>
    </row>
    <row r="446" spans="1:24" x14ac:dyDescent="0.25">
      <c r="A446" t="s">
        <v>835</v>
      </c>
      <c r="B446" t="s">
        <v>391</v>
      </c>
      <c r="C446">
        <v>32</v>
      </c>
      <c r="D446">
        <v>2.7</v>
      </c>
      <c r="E446">
        <v>2</v>
      </c>
      <c r="F446">
        <v>0</v>
      </c>
      <c r="G446">
        <v>0</v>
      </c>
      <c r="H446">
        <v>11</v>
      </c>
      <c r="I446">
        <v>0</v>
      </c>
      <c r="J446">
        <v>0</v>
      </c>
      <c r="K446">
        <v>0</v>
      </c>
      <c r="L446">
        <v>10</v>
      </c>
      <c r="M446">
        <v>7</v>
      </c>
      <c r="N446">
        <v>4</v>
      </c>
      <c r="O446">
        <v>3</v>
      </c>
      <c r="P446">
        <v>1</v>
      </c>
      <c r="Q446">
        <v>1</v>
      </c>
      <c r="R446">
        <v>3</v>
      </c>
      <c r="S446">
        <v>1</v>
      </c>
      <c r="T446">
        <v>10</v>
      </c>
      <c r="X446">
        <f t="shared" si="6"/>
        <v>0</v>
      </c>
    </row>
    <row r="447" spans="1:24" x14ac:dyDescent="0.25">
      <c r="A447" t="s">
        <v>836</v>
      </c>
      <c r="B447" t="s">
        <v>391</v>
      </c>
      <c r="C447">
        <v>32</v>
      </c>
      <c r="D447">
        <v>7.11</v>
      </c>
      <c r="E447">
        <v>1</v>
      </c>
      <c r="F447">
        <v>1</v>
      </c>
      <c r="G447">
        <v>0</v>
      </c>
      <c r="H447">
        <v>3</v>
      </c>
      <c r="I447">
        <v>1</v>
      </c>
      <c r="J447">
        <v>0</v>
      </c>
      <c r="K447">
        <v>0</v>
      </c>
      <c r="L447">
        <v>6.1</v>
      </c>
      <c r="M447">
        <v>12</v>
      </c>
      <c r="N447">
        <v>5</v>
      </c>
      <c r="O447">
        <v>5</v>
      </c>
      <c r="P447">
        <v>1</v>
      </c>
      <c r="Q447">
        <v>0</v>
      </c>
      <c r="R447">
        <v>4</v>
      </c>
      <c r="S447">
        <v>0</v>
      </c>
      <c r="T447">
        <v>4</v>
      </c>
      <c r="X447">
        <f t="shared" si="6"/>
        <v>0</v>
      </c>
    </row>
    <row r="448" spans="1:24" x14ac:dyDescent="0.25">
      <c r="A448" t="s">
        <v>837</v>
      </c>
      <c r="B448" t="s">
        <v>389</v>
      </c>
      <c r="C448">
        <v>32</v>
      </c>
      <c r="D448">
        <v>4.08</v>
      </c>
      <c r="E448">
        <v>5</v>
      </c>
      <c r="F448">
        <v>8</v>
      </c>
      <c r="G448">
        <v>1</v>
      </c>
      <c r="H448">
        <v>34</v>
      </c>
      <c r="I448">
        <v>21</v>
      </c>
      <c r="J448">
        <v>0</v>
      </c>
      <c r="K448">
        <v>0</v>
      </c>
      <c r="L448">
        <v>123.2</v>
      </c>
      <c r="M448">
        <v>132</v>
      </c>
      <c r="N448">
        <v>62</v>
      </c>
      <c r="O448">
        <v>56</v>
      </c>
      <c r="P448">
        <v>21</v>
      </c>
      <c r="Q448">
        <v>4</v>
      </c>
      <c r="R448">
        <v>42</v>
      </c>
      <c r="S448">
        <v>0</v>
      </c>
      <c r="T448">
        <v>86</v>
      </c>
      <c r="X448">
        <f t="shared" si="6"/>
        <v>0</v>
      </c>
    </row>
    <row r="449" spans="1:24" x14ac:dyDescent="0.25">
      <c r="A449" t="s">
        <v>838</v>
      </c>
      <c r="B449" t="s">
        <v>391</v>
      </c>
      <c r="C449">
        <v>32</v>
      </c>
      <c r="D449">
        <v>14.54</v>
      </c>
      <c r="E449">
        <v>0</v>
      </c>
      <c r="F449">
        <v>1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4.0999999999999996</v>
      </c>
      <c r="M449">
        <v>9</v>
      </c>
      <c r="N449">
        <v>7</v>
      </c>
      <c r="O449">
        <v>7</v>
      </c>
      <c r="P449">
        <v>0</v>
      </c>
      <c r="Q449">
        <v>0</v>
      </c>
      <c r="R449">
        <v>3</v>
      </c>
      <c r="S449">
        <v>0</v>
      </c>
      <c r="T449">
        <v>0</v>
      </c>
      <c r="X449">
        <f t="shared" si="6"/>
        <v>0</v>
      </c>
    </row>
    <row r="450" spans="1:24" x14ac:dyDescent="0.25">
      <c r="A450" t="s">
        <v>839</v>
      </c>
      <c r="B450" t="s">
        <v>416</v>
      </c>
      <c r="C450">
        <v>32</v>
      </c>
      <c r="D450">
        <v>3</v>
      </c>
      <c r="E450">
        <v>0</v>
      </c>
      <c r="F450">
        <v>0</v>
      </c>
      <c r="G450">
        <v>1</v>
      </c>
      <c r="H450">
        <v>1</v>
      </c>
      <c r="I450">
        <v>0</v>
      </c>
      <c r="J450">
        <v>0</v>
      </c>
      <c r="K450">
        <v>0</v>
      </c>
      <c r="L450">
        <v>3</v>
      </c>
      <c r="M450">
        <v>3</v>
      </c>
      <c r="N450">
        <v>1</v>
      </c>
      <c r="O450">
        <v>1</v>
      </c>
      <c r="P450">
        <v>1</v>
      </c>
      <c r="Q450">
        <v>0</v>
      </c>
      <c r="R450">
        <v>1</v>
      </c>
      <c r="S450">
        <v>0</v>
      </c>
      <c r="T450">
        <v>3</v>
      </c>
      <c r="X450">
        <f t="shared" si="6"/>
        <v>0</v>
      </c>
    </row>
    <row r="451" spans="1:24" x14ac:dyDescent="0.25">
      <c r="A451" t="s">
        <v>840</v>
      </c>
      <c r="B451" t="s">
        <v>391</v>
      </c>
      <c r="C451">
        <v>33</v>
      </c>
      <c r="D451">
        <v>3.14</v>
      </c>
      <c r="E451">
        <v>4</v>
      </c>
      <c r="F451">
        <v>3</v>
      </c>
      <c r="G451">
        <v>1</v>
      </c>
      <c r="H451">
        <v>55</v>
      </c>
      <c r="I451">
        <v>3</v>
      </c>
      <c r="J451">
        <v>0</v>
      </c>
      <c r="K451">
        <v>0</v>
      </c>
      <c r="L451">
        <v>51.2</v>
      </c>
      <c r="M451">
        <v>39</v>
      </c>
      <c r="N451">
        <v>23</v>
      </c>
      <c r="O451">
        <v>18</v>
      </c>
      <c r="P451">
        <v>1</v>
      </c>
      <c r="Q451">
        <v>3</v>
      </c>
      <c r="R451">
        <v>26</v>
      </c>
      <c r="S451">
        <v>5</v>
      </c>
      <c r="T451">
        <v>43</v>
      </c>
      <c r="X451">
        <f t="shared" ref="X451:X514" si="7">(V451*2)+W451</f>
        <v>0</v>
      </c>
    </row>
    <row r="452" spans="1:24" x14ac:dyDescent="0.25">
      <c r="A452" t="s">
        <v>841</v>
      </c>
      <c r="B452" t="s">
        <v>391</v>
      </c>
      <c r="C452">
        <v>33</v>
      </c>
      <c r="D452">
        <v>5.52</v>
      </c>
      <c r="E452">
        <v>2</v>
      </c>
      <c r="F452">
        <v>4</v>
      </c>
      <c r="G452">
        <v>1</v>
      </c>
      <c r="H452">
        <v>39</v>
      </c>
      <c r="I452">
        <v>0</v>
      </c>
      <c r="J452">
        <v>0</v>
      </c>
      <c r="K452">
        <v>0</v>
      </c>
      <c r="L452">
        <v>31</v>
      </c>
      <c r="M452">
        <v>28</v>
      </c>
      <c r="N452">
        <v>22</v>
      </c>
      <c r="O452">
        <v>19</v>
      </c>
      <c r="P452">
        <v>8</v>
      </c>
      <c r="Q452">
        <v>2</v>
      </c>
      <c r="R452">
        <v>19</v>
      </c>
      <c r="S452">
        <v>1</v>
      </c>
      <c r="T452">
        <v>35</v>
      </c>
      <c r="X452">
        <f t="shared" si="7"/>
        <v>0</v>
      </c>
    </row>
    <row r="453" spans="1:24" x14ac:dyDescent="0.25">
      <c r="A453" t="s">
        <v>842</v>
      </c>
      <c r="B453" t="s">
        <v>391</v>
      </c>
      <c r="C453">
        <v>33</v>
      </c>
      <c r="D453">
        <v>8.1</v>
      </c>
      <c r="E453">
        <v>0</v>
      </c>
      <c r="F453">
        <v>0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3.1</v>
      </c>
      <c r="M453">
        <v>7</v>
      </c>
      <c r="N453">
        <v>3</v>
      </c>
      <c r="O453">
        <v>3</v>
      </c>
      <c r="P453">
        <v>1</v>
      </c>
      <c r="Q453">
        <v>0</v>
      </c>
      <c r="R453">
        <v>1</v>
      </c>
      <c r="S453">
        <v>0</v>
      </c>
      <c r="T453">
        <v>3</v>
      </c>
      <c r="X453">
        <f t="shared" si="7"/>
        <v>0</v>
      </c>
    </row>
    <row r="454" spans="1:24" x14ac:dyDescent="0.25">
      <c r="A454" t="s">
        <v>843</v>
      </c>
      <c r="B454" t="s">
        <v>391</v>
      </c>
      <c r="C454">
        <v>33</v>
      </c>
      <c r="D454">
        <v>4.5</v>
      </c>
      <c r="E454">
        <v>0</v>
      </c>
      <c r="F454">
        <v>0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6</v>
      </c>
      <c r="M454">
        <v>4</v>
      </c>
      <c r="N454">
        <v>3</v>
      </c>
      <c r="O454">
        <v>3</v>
      </c>
      <c r="P454">
        <v>1</v>
      </c>
      <c r="Q454">
        <v>0</v>
      </c>
      <c r="R454">
        <v>3</v>
      </c>
      <c r="S454">
        <v>0</v>
      </c>
      <c r="T454">
        <v>6</v>
      </c>
      <c r="X454">
        <f t="shared" si="7"/>
        <v>0</v>
      </c>
    </row>
    <row r="455" spans="1:24" x14ac:dyDescent="0.25">
      <c r="A455" t="s">
        <v>844</v>
      </c>
      <c r="B455" t="s">
        <v>391</v>
      </c>
      <c r="C455">
        <v>33</v>
      </c>
      <c r="D455">
        <v>7.71</v>
      </c>
      <c r="E455">
        <v>1</v>
      </c>
      <c r="F455">
        <v>1</v>
      </c>
      <c r="G455">
        <v>0</v>
      </c>
      <c r="H455">
        <v>6</v>
      </c>
      <c r="I455">
        <v>0</v>
      </c>
      <c r="J455">
        <v>0</v>
      </c>
      <c r="K455">
        <v>0</v>
      </c>
      <c r="L455">
        <v>14</v>
      </c>
      <c r="M455">
        <v>15</v>
      </c>
      <c r="N455">
        <v>12</v>
      </c>
      <c r="O455">
        <v>12</v>
      </c>
      <c r="P455">
        <v>5</v>
      </c>
      <c r="Q455">
        <v>0</v>
      </c>
      <c r="R455">
        <v>6</v>
      </c>
      <c r="S455">
        <v>0</v>
      </c>
      <c r="T455">
        <v>12</v>
      </c>
      <c r="X455">
        <f t="shared" si="7"/>
        <v>0</v>
      </c>
    </row>
    <row r="456" spans="1:24" x14ac:dyDescent="0.25">
      <c r="A456" t="s">
        <v>845</v>
      </c>
      <c r="B456" t="s">
        <v>391</v>
      </c>
      <c r="C456">
        <v>33</v>
      </c>
      <c r="D456">
        <v>4.0599999999999996</v>
      </c>
      <c r="E456">
        <v>2</v>
      </c>
      <c r="F456">
        <v>5</v>
      </c>
      <c r="G456">
        <v>9</v>
      </c>
      <c r="H456">
        <v>52</v>
      </c>
      <c r="I456">
        <v>0</v>
      </c>
      <c r="J456">
        <v>0</v>
      </c>
      <c r="K456">
        <v>0</v>
      </c>
      <c r="L456">
        <v>51</v>
      </c>
      <c r="M456">
        <v>41</v>
      </c>
      <c r="N456">
        <v>30</v>
      </c>
      <c r="O456">
        <v>23</v>
      </c>
      <c r="P456">
        <v>4</v>
      </c>
      <c r="Q456">
        <v>3</v>
      </c>
      <c r="R456">
        <v>28</v>
      </c>
      <c r="S456">
        <v>5</v>
      </c>
      <c r="T456">
        <v>38</v>
      </c>
      <c r="X456">
        <f t="shared" si="7"/>
        <v>0</v>
      </c>
    </row>
    <row r="457" spans="1:24" x14ac:dyDescent="0.25">
      <c r="A457" t="s">
        <v>846</v>
      </c>
      <c r="B457" t="s">
        <v>389</v>
      </c>
      <c r="C457">
        <v>33</v>
      </c>
      <c r="D457">
        <v>3.22</v>
      </c>
      <c r="E457">
        <v>2</v>
      </c>
      <c r="F457">
        <v>2</v>
      </c>
      <c r="G457">
        <v>0</v>
      </c>
      <c r="H457">
        <v>9</v>
      </c>
      <c r="I457">
        <v>9</v>
      </c>
      <c r="J457">
        <v>0</v>
      </c>
      <c r="K457">
        <v>0</v>
      </c>
      <c r="L457">
        <v>44.2</v>
      </c>
      <c r="M457">
        <v>38</v>
      </c>
      <c r="N457">
        <v>16</v>
      </c>
      <c r="O457">
        <v>16</v>
      </c>
      <c r="P457">
        <v>6</v>
      </c>
      <c r="Q457">
        <v>0</v>
      </c>
      <c r="R457">
        <v>15</v>
      </c>
      <c r="S457">
        <v>0</v>
      </c>
      <c r="T457">
        <v>29</v>
      </c>
      <c r="X457">
        <f t="shared" si="7"/>
        <v>0</v>
      </c>
    </row>
    <row r="458" spans="1:24" x14ac:dyDescent="0.25">
      <c r="A458" t="s">
        <v>847</v>
      </c>
      <c r="B458" t="s">
        <v>391</v>
      </c>
      <c r="C458">
        <v>33</v>
      </c>
      <c r="D458">
        <v>3.78</v>
      </c>
      <c r="E458">
        <v>0</v>
      </c>
      <c r="F458">
        <v>0</v>
      </c>
      <c r="G458">
        <v>0</v>
      </c>
      <c r="H458">
        <v>15</v>
      </c>
      <c r="I458">
        <v>0</v>
      </c>
      <c r="J458">
        <v>0</v>
      </c>
      <c r="K458">
        <v>0</v>
      </c>
      <c r="L458">
        <v>16.2</v>
      </c>
      <c r="M458">
        <v>17</v>
      </c>
      <c r="N458">
        <v>7</v>
      </c>
      <c r="O458">
        <v>7</v>
      </c>
      <c r="P458">
        <v>2</v>
      </c>
      <c r="Q458">
        <v>2</v>
      </c>
      <c r="R458">
        <v>5</v>
      </c>
      <c r="S458">
        <v>0</v>
      </c>
      <c r="T458">
        <v>15</v>
      </c>
      <c r="X458">
        <f t="shared" si="7"/>
        <v>0</v>
      </c>
    </row>
    <row r="459" spans="1:24" x14ac:dyDescent="0.25">
      <c r="A459" t="s">
        <v>848</v>
      </c>
      <c r="B459" t="s">
        <v>391</v>
      </c>
      <c r="C459">
        <v>33</v>
      </c>
      <c r="D459">
        <v>5.79</v>
      </c>
      <c r="E459">
        <v>0</v>
      </c>
      <c r="F459">
        <v>1</v>
      </c>
      <c r="G459">
        <v>0</v>
      </c>
      <c r="H459">
        <v>21</v>
      </c>
      <c r="I459">
        <v>0</v>
      </c>
      <c r="J459">
        <v>0</v>
      </c>
      <c r="K459">
        <v>0</v>
      </c>
      <c r="L459">
        <v>18.2</v>
      </c>
      <c r="M459">
        <v>23</v>
      </c>
      <c r="N459">
        <v>13</v>
      </c>
      <c r="O459">
        <v>12</v>
      </c>
      <c r="P459">
        <v>2</v>
      </c>
      <c r="Q459">
        <v>0</v>
      </c>
      <c r="R459">
        <v>11</v>
      </c>
      <c r="S459">
        <v>2</v>
      </c>
      <c r="T459">
        <v>15</v>
      </c>
      <c r="X459">
        <f t="shared" si="7"/>
        <v>0</v>
      </c>
    </row>
    <row r="460" spans="1:24" x14ac:dyDescent="0.25">
      <c r="A460" t="s">
        <v>849</v>
      </c>
      <c r="B460" t="s">
        <v>391</v>
      </c>
      <c r="C460">
        <v>33</v>
      </c>
      <c r="D460">
        <v>6.38</v>
      </c>
      <c r="E460">
        <v>1</v>
      </c>
      <c r="F460">
        <v>0</v>
      </c>
      <c r="G460">
        <v>0</v>
      </c>
      <c r="H460">
        <v>23</v>
      </c>
      <c r="I460">
        <v>0</v>
      </c>
      <c r="J460">
        <v>0</v>
      </c>
      <c r="K460">
        <v>0</v>
      </c>
      <c r="L460">
        <v>18.100000000000001</v>
      </c>
      <c r="M460">
        <v>16</v>
      </c>
      <c r="N460">
        <v>16</v>
      </c>
      <c r="O460">
        <v>13</v>
      </c>
      <c r="P460">
        <v>4</v>
      </c>
      <c r="Q460">
        <v>0</v>
      </c>
      <c r="R460">
        <v>10</v>
      </c>
      <c r="S460">
        <v>0</v>
      </c>
      <c r="T460">
        <v>22</v>
      </c>
      <c r="X460">
        <f t="shared" si="7"/>
        <v>0</v>
      </c>
    </row>
    <row r="461" spans="1:24" x14ac:dyDescent="0.25">
      <c r="A461" t="s">
        <v>850</v>
      </c>
      <c r="B461" t="s">
        <v>391</v>
      </c>
      <c r="C461">
        <v>33</v>
      </c>
      <c r="D461">
        <v>3.01</v>
      </c>
      <c r="E461">
        <v>3</v>
      </c>
      <c r="F461">
        <v>2</v>
      </c>
      <c r="G461">
        <v>1</v>
      </c>
      <c r="H461">
        <v>68</v>
      </c>
      <c r="I461">
        <v>1</v>
      </c>
      <c r="J461">
        <v>0</v>
      </c>
      <c r="K461">
        <v>0</v>
      </c>
      <c r="L461">
        <v>71.2</v>
      </c>
      <c r="M461">
        <v>45</v>
      </c>
      <c r="N461">
        <v>25</v>
      </c>
      <c r="O461">
        <v>24</v>
      </c>
      <c r="P461">
        <v>6</v>
      </c>
      <c r="Q461">
        <v>2</v>
      </c>
      <c r="R461">
        <v>19</v>
      </c>
      <c r="S461">
        <v>1</v>
      </c>
      <c r="T461">
        <v>84</v>
      </c>
      <c r="X461">
        <f t="shared" si="7"/>
        <v>0</v>
      </c>
    </row>
    <row r="462" spans="1:24" x14ac:dyDescent="0.25">
      <c r="A462" t="s">
        <v>851</v>
      </c>
      <c r="B462" t="s">
        <v>391</v>
      </c>
      <c r="C462">
        <v>33</v>
      </c>
      <c r="D462">
        <v>4.8899999999999997</v>
      </c>
      <c r="E462">
        <v>2</v>
      </c>
      <c r="F462">
        <v>2</v>
      </c>
      <c r="G462">
        <v>1</v>
      </c>
      <c r="H462">
        <v>49</v>
      </c>
      <c r="I462">
        <v>0</v>
      </c>
      <c r="J462">
        <v>0</v>
      </c>
      <c r="K462">
        <v>0</v>
      </c>
      <c r="L462">
        <v>46</v>
      </c>
      <c r="M462">
        <v>35</v>
      </c>
      <c r="N462">
        <v>26</v>
      </c>
      <c r="O462">
        <v>25</v>
      </c>
      <c r="P462">
        <v>8</v>
      </c>
      <c r="Q462">
        <v>0</v>
      </c>
      <c r="R462">
        <v>27</v>
      </c>
      <c r="S462">
        <v>1</v>
      </c>
      <c r="T462">
        <v>49</v>
      </c>
      <c r="X462">
        <f t="shared" si="7"/>
        <v>0</v>
      </c>
    </row>
    <row r="463" spans="1:24" x14ac:dyDescent="0.25">
      <c r="A463" t="s">
        <v>852</v>
      </c>
      <c r="B463" t="s">
        <v>391</v>
      </c>
      <c r="C463">
        <v>33</v>
      </c>
      <c r="D463">
        <v>3.14</v>
      </c>
      <c r="E463">
        <v>6</v>
      </c>
      <c r="F463">
        <v>1</v>
      </c>
      <c r="G463">
        <v>0</v>
      </c>
      <c r="H463">
        <v>71</v>
      </c>
      <c r="I463">
        <v>1</v>
      </c>
      <c r="J463">
        <v>0</v>
      </c>
      <c r="K463">
        <v>0</v>
      </c>
      <c r="L463">
        <v>71.2</v>
      </c>
      <c r="M463">
        <v>66</v>
      </c>
      <c r="N463">
        <v>29</v>
      </c>
      <c r="O463">
        <v>25</v>
      </c>
      <c r="P463">
        <v>5</v>
      </c>
      <c r="Q463">
        <v>2</v>
      </c>
      <c r="R463">
        <v>30</v>
      </c>
      <c r="S463">
        <v>3</v>
      </c>
      <c r="T463">
        <v>63</v>
      </c>
      <c r="X463">
        <f t="shared" si="7"/>
        <v>0</v>
      </c>
    </row>
    <row r="464" spans="1:24" x14ac:dyDescent="0.25">
      <c r="A464" t="s">
        <v>853</v>
      </c>
      <c r="B464" t="s">
        <v>391</v>
      </c>
      <c r="C464">
        <v>33</v>
      </c>
      <c r="D464">
        <v>7.9</v>
      </c>
      <c r="E464">
        <v>1</v>
      </c>
      <c r="F464">
        <v>2</v>
      </c>
      <c r="G464">
        <v>0</v>
      </c>
      <c r="H464">
        <v>24</v>
      </c>
      <c r="I464">
        <v>0</v>
      </c>
      <c r="J464">
        <v>0</v>
      </c>
      <c r="K464">
        <v>0</v>
      </c>
      <c r="L464">
        <v>27.1</v>
      </c>
      <c r="M464">
        <v>34</v>
      </c>
      <c r="N464">
        <v>25</v>
      </c>
      <c r="O464">
        <v>24</v>
      </c>
      <c r="P464">
        <v>6</v>
      </c>
      <c r="Q464">
        <v>1</v>
      </c>
      <c r="R464">
        <v>18</v>
      </c>
      <c r="S464">
        <v>0</v>
      </c>
      <c r="T464">
        <v>24</v>
      </c>
      <c r="X464">
        <f t="shared" si="7"/>
        <v>0</v>
      </c>
    </row>
    <row r="465" spans="1:24" x14ac:dyDescent="0.25">
      <c r="A465" t="s">
        <v>854</v>
      </c>
      <c r="B465" t="s">
        <v>391</v>
      </c>
      <c r="C465">
        <v>33</v>
      </c>
      <c r="D465">
        <v>5.3</v>
      </c>
      <c r="E465">
        <v>4</v>
      </c>
      <c r="F465">
        <v>6</v>
      </c>
      <c r="G465">
        <v>3</v>
      </c>
      <c r="H465">
        <v>65</v>
      </c>
      <c r="I465">
        <v>0</v>
      </c>
      <c r="J465">
        <v>0</v>
      </c>
      <c r="K465">
        <v>0</v>
      </c>
      <c r="L465">
        <v>56</v>
      </c>
      <c r="M465">
        <v>56</v>
      </c>
      <c r="N465">
        <v>39</v>
      </c>
      <c r="O465">
        <v>33</v>
      </c>
      <c r="P465">
        <v>7</v>
      </c>
      <c r="Q465">
        <v>0</v>
      </c>
      <c r="R465">
        <v>32</v>
      </c>
      <c r="S465">
        <v>0</v>
      </c>
      <c r="T465">
        <v>58</v>
      </c>
      <c r="X465">
        <f t="shared" si="7"/>
        <v>0</v>
      </c>
    </row>
    <row r="466" spans="1:24" x14ac:dyDescent="0.25">
      <c r="A466" t="s">
        <v>855</v>
      </c>
      <c r="B466" t="s">
        <v>391</v>
      </c>
      <c r="C466">
        <v>33</v>
      </c>
      <c r="D466">
        <v>2.63</v>
      </c>
      <c r="E466">
        <v>2</v>
      </c>
      <c r="F466">
        <v>2</v>
      </c>
      <c r="G466">
        <v>0</v>
      </c>
      <c r="H466">
        <v>43</v>
      </c>
      <c r="I466">
        <v>0</v>
      </c>
      <c r="J466">
        <v>0</v>
      </c>
      <c r="K466">
        <v>0</v>
      </c>
      <c r="L466">
        <v>37.200000000000003</v>
      </c>
      <c r="M466">
        <v>32</v>
      </c>
      <c r="N466">
        <v>11</v>
      </c>
      <c r="O466">
        <v>11</v>
      </c>
      <c r="P466">
        <v>3</v>
      </c>
      <c r="Q466">
        <v>4</v>
      </c>
      <c r="R466">
        <v>13</v>
      </c>
      <c r="S466">
        <v>2</v>
      </c>
      <c r="T466">
        <v>44</v>
      </c>
      <c r="X466">
        <f t="shared" si="7"/>
        <v>0</v>
      </c>
    </row>
    <row r="467" spans="1:24" x14ac:dyDescent="0.25">
      <c r="A467" t="s">
        <v>856</v>
      </c>
      <c r="B467" t="s">
        <v>391</v>
      </c>
      <c r="C467">
        <v>33</v>
      </c>
      <c r="D467">
        <v>11.37</v>
      </c>
      <c r="E467">
        <v>0</v>
      </c>
      <c r="F467">
        <v>0</v>
      </c>
      <c r="G467">
        <v>0</v>
      </c>
      <c r="H467">
        <v>5</v>
      </c>
      <c r="I467">
        <v>0</v>
      </c>
      <c r="J467">
        <v>0</v>
      </c>
      <c r="K467">
        <v>0</v>
      </c>
      <c r="L467">
        <v>6.1</v>
      </c>
      <c r="M467">
        <v>10</v>
      </c>
      <c r="N467">
        <v>8</v>
      </c>
      <c r="O467">
        <v>8</v>
      </c>
      <c r="P467">
        <v>3</v>
      </c>
      <c r="Q467">
        <v>0</v>
      </c>
      <c r="R467">
        <v>4</v>
      </c>
      <c r="S467">
        <v>0</v>
      </c>
      <c r="T467">
        <v>7</v>
      </c>
      <c r="X467">
        <f t="shared" si="7"/>
        <v>0</v>
      </c>
    </row>
    <row r="468" spans="1:24" x14ac:dyDescent="0.25">
      <c r="A468" t="s">
        <v>857</v>
      </c>
      <c r="B468" t="s">
        <v>391</v>
      </c>
      <c r="C468">
        <v>33</v>
      </c>
      <c r="D468">
        <v>3.92</v>
      </c>
      <c r="E468">
        <v>3</v>
      </c>
      <c r="F468">
        <v>2</v>
      </c>
      <c r="G468">
        <v>1</v>
      </c>
      <c r="H468">
        <v>48</v>
      </c>
      <c r="I468">
        <v>0</v>
      </c>
      <c r="J468">
        <v>0</v>
      </c>
      <c r="K468">
        <v>0</v>
      </c>
      <c r="L468">
        <v>41.1</v>
      </c>
      <c r="M468">
        <v>42</v>
      </c>
      <c r="N468">
        <v>21</v>
      </c>
      <c r="O468">
        <v>18</v>
      </c>
      <c r="P468">
        <v>4</v>
      </c>
      <c r="Q468">
        <v>2</v>
      </c>
      <c r="R468">
        <v>13</v>
      </c>
      <c r="S468">
        <v>2</v>
      </c>
      <c r="T468">
        <v>36</v>
      </c>
      <c r="X468">
        <f t="shared" si="7"/>
        <v>0</v>
      </c>
    </row>
    <row r="469" spans="1:24" x14ac:dyDescent="0.25">
      <c r="A469" t="s">
        <v>858</v>
      </c>
      <c r="B469" t="s">
        <v>391</v>
      </c>
      <c r="C469">
        <v>33</v>
      </c>
      <c r="D469">
        <v>3.97</v>
      </c>
      <c r="E469">
        <v>3</v>
      </c>
      <c r="F469">
        <v>2</v>
      </c>
      <c r="G469">
        <v>0</v>
      </c>
      <c r="H469">
        <v>47</v>
      </c>
      <c r="I469">
        <v>2</v>
      </c>
      <c r="J469">
        <v>0</v>
      </c>
      <c r="K469">
        <v>0</v>
      </c>
      <c r="L469">
        <v>47.2</v>
      </c>
      <c r="M469">
        <v>46</v>
      </c>
      <c r="N469">
        <v>23</v>
      </c>
      <c r="O469">
        <v>21</v>
      </c>
      <c r="P469">
        <v>6</v>
      </c>
      <c r="Q469">
        <v>6</v>
      </c>
      <c r="R469">
        <v>18</v>
      </c>
      <c r="S469">
        <v>1</v>
      </c>
      <c r="T469">
        <v>37</v>
      </c>
      <c r="X469">
        <f t="shared" si="7"/>
        <v>0</v>
      </c>
    </row>
    <row r="470" spans="1:24" x14ac:dyDescent="0.25">
      <c r="A470" t="s">
        <v>859</v>
      </c>
      <c r="B470" t="s">
        <v>391</v>
      </c>
      <c r="C470">
        <v>33</v>
      </c>
      <c r="D470">
        <v>4.58</v>
      </c>
      <c r="E470">
        <v>0</v>
      </c>
      <c r="F470">
        <v>1</v>
      </c>
      <c r="G470">
        <v>1</v>
      </c>
      <c r="H470">
        <v>19</v>
      </c>
      <c r="I470">
        <v>6</v>
      </c>
      <c r="J470">
        <v>0</v>
      </c>
      <c r="K470">
        <v>0</v>
      </c>
      <c r="L470">
        <v>55</v>
      </c>
      <c r="M470">
        <v>57</v>
      </c>
      <c r="N470">
        <v>29</v>
      </c>
      <c r="O470">
        <v>28</v>
      </c>
      <c r="P470">
        <v>8</v>
      </c>
      <c r="Q470">
        <v>3</v>
      </c>
      <c r="R470">
        <v>23</v>
      </c>
      <c r="S470">
        <v>1</v>
      </c>
      <c r="T470">
        <v>34</v>
      </c>
      <c r="X470">
        <f t="shared" si="7"/>
        <v>0</v>
      </c>
    </row>
    <row r="471" spans="1:24" x14ac:dyDescent="0.25">
      <c r="A471" t="s">
        <v>860</v>
      </c>
      <c r="B471" t="s">
        <v>391</v>
      </c>
      <c r="C471">
        <v>33</v>
      </c>
      <c r="D471">
        <v>4.3600000000000003</v>
      </c>
      <c r="E471">
        <v>3</v>
      </c>
      <c r="F471">
        <v>1</v>
      </c>
      <c r="G471">
        <v>1</v>
      </c>
      <c r="H471">
        <v>19</v>
      </c>
      <c r="I471">
        <v>8</v>
      </c>
      <c r="J471">
        <v>0</v>
      </c>
      <c r="K471">
        <v>0</v>
      </c>
      <c r="L471">
        <v>64</v>
      </c>
      <c r="M471">
        <v>58</v>
      </c>
      <c r="N471">
        <v>31</v>
      </c>
      <c r="O471">
        <v>31</v>
      </c>
      <c r="P471">
        <v>13</v>
      </c>
      <c r="Q471">
        <v>2</v>
      </c>
      <c r="R471">
        <v>19</v>
      </c>
      <c r="S471">
        <v>0</v>
      </c>
      <c r="T471">
        <v>55</v>
      </c>
      <c r="X471">
        <f t="shared" si="7"/>
        <v>0</v>
      </c>
    </row>
    <row r="472" spans="1:24" x14ac:dyDescent="0.25">
      <c r="A472" t="s">
        <v>861</v>
      </c>
      <c r="B472" t="s">
        <v>391</v>
      </c>
      <c r="C472">
        <v>33</v>
      </c>
      <c r="D472">
        <v>2.4500000000000002</v>
      </c>
      <c r="E472">
        <v>2</v>
      </c>
      <c r="F472">
        <v>1</v>
      </c>
      <c r="G472">
        <v>0</v>
      </c>
      <c r="H472">
        <v>26</v>
      </c>
      <c r="I472">
        <v>1</v>
      </c>
      <c r="J472">
        <v>0</v>
      </c>
      <c r="K472">
        <v>0</v>
      </c>
      <c r="L472">
        <v>22</v>
      </c>
      <c r="M472">
        <v>16</v>
      </c>
      <c r="N472">
        <v>7</v>
      </c>
      <c r="O472">
        <v>6</v>
      </c>
      <c r="P472">
        <v>3</v>
      </c>
      <c r="Q472">
        <v>1</v>
      </c>
      <c r="R472">
        <v>10</v>
      </c>
      <c r="S472">
        <v>3</v>
      </c>
      <c r="T472">
        <v>20</v>
      </c>
      <c r="X472">
        <f t="shared" si="7"/>
        <v>0</v>
      </c>
    </row>
    <row r="473" spans="1:24" x14ac:dyDescent="0.25">
      <c r="A473" t="s">
        <v>862</v>
      </c>
      <c r="B473" t="s">
        <v>391</v>
      </c>
      <c r="C473">
        <v>34</v>
      </c>
      <c r="D473">
        <v>6.14</v>
      </c>
      <c r="E473">
        <v>0</v>
      </c>
      <c r="F473">
        <v>0</v>
      </c>
      <c r="G473">
        <v>0</v>
      </c>
      <c r="H473">
        <v>12</v>
      </c>
      <c r="I473">
        <v>0</v>
      </c>
      <c r="J473">
        <v>0</v>
      </c>
      <c r="K473">
        <v>0</v>
      </c>
      <c r="L473">
        <v>14.2</v>
      </c>
      <c r="M473">
        <v>17</v>
      </c>
      <c r="N473">
        <v>10</v>
      </c>
      <c r="O473">
        <v>10</v>
      </c>
      <c r="P473">
        <v>3</v>
      </c>
      <c r="Q473">
        <v>0</v>
      </c>
      <c r="R473">
        <v>2</v>
      </c>
      <c r="S473">
        <v>0</v>
      </c>
      <c r="T473">
        <v>10</v>
      </c>
      <c r="X473">
        <f t="shared" si="7"/>
        <v>0</v>
      </c>
    </row>
    <row r="474" spans="1:24" x14ac:dyDescent="0.25">
      <c r="A474" t="s">
        <v>863</v>
      </c>
      <c r="B474" t="s">
        <v>391</v>
      </c>
      <c r="C474">
        <v>34</v>
      </c>
      <c r="D474">
        <v>2.31</v>
      </c>
      <c r="E474">
        <v>4</v>
      </c>
      <c r="F474">
        <v>3</v>
      </c>
      <c r="G474">
        <v>9</v>
      </c>
      <c r="H474">
        <v>71</v>
      </c>
      <c r="I474">
        <v>2</v>
      </c>
      <c r="J474">
        <v>0</v>
      </c>
      <c r="K474">
        <v>0</v>
      </c>
      <c r="L474">
        <v>74</v>
      </c>
      <c r="M474">
        <v>40</v>
      </c>
      <c r="N474">
        <v>21</v>
      </c>
      <c r="O474">
        <v>19</v>
      </c>
      <c r="P474">
        <v>5</v>
      </c>
      <c r="Q474">
        <v>6</v>
      </c>
      <c r="R474">
        <v>20</v>
      </c>
      <c r="S474">
        <v>0</v>
      </c>
      <c r="T474">
        <v>74</v>
      </c>
      <c r="X474">
        <f t="shared" si="7"/>
        <v>0</v>
      </c>
    </row>
    <row r="475" spans="1:24" x14ac:dyDescent="0.25">
      <c r="A475" t="s">
        <v>864</v>
      </c>
      <c r="B475" t="s">
        <v>391</v>
      </c>
      <c r="C475">
        <v>34</v>
      </c>
      <c r="D475">
        <v>6.2</v>
      </c>
      <c r="E475">
        <v>0</v>
      </c>
      <c r="F475">
        <v>1</v>
      </c>
      <c r="G475">
        <v>0</v>
      </c>
      <c r="H475">
        <v>20</v>
      </c>
      <c r="I475">
        <v>0</v>
      </c>
      <c r="J475">
        <v>0</v>
      </c>
      <c r="K475">
        <v>0</v>
      </c>
      <c r="L475">
        <v>24.2</v>
      </c>
      <c r="M475">
        <v>31</v>
      </c>
      <c r="N475">
        <v>18</v>
      </c>
      <c r="O475">
        <v>17</v>
      </c>
      <c r="P475">
        <v>4</v>
      </c>
      <c r="Q475">
        <v>2</v>
      </c>
      <c r="R475">
        <v>6</v>
      </c>
      <c r="S475">
        <v>0</v>
      </c>
      <c r="T475">
        <v>18</v>
      </c>
      <c r="X475">
        <f t="shared" si="7"/>
        <v>0</v>
      </c>
    </row>
    <row r="476" spans="1:24" x14ac:dyDescent="0.25">
      <c r="A476" t="s">
        <v>865</v>
      </c>
      <c r="B476" t="s">
        <v>391</v>
      </c>
      <c r="C476">
        <v>34</v>
      </c>
      <c r="D476">
        <v>7.94</v>
      </c>
      <c r="E476">
        <v>0</v>
      </c>
      <c r="F476">
        <v>2</v>
      </c>
      <c r="G476">
        <v>0</v>
      </c>
      <c r="H476">
        <v>8</v>
      </c>
      <c r="I476">
        <v>0</v>
      </c>
      <c r="J476">
        <v>0</v>
      </c>
      <c r="K476">
        <v>0</v>
      </c>
      <c r="L476">
        <v>5.2</v>
      </c>
      <c r="M476">
        <v>5</v>
      </c>
      <c r="N476">
        <v>5</v>
      </c>
      <c r="O476">
        <v>5</v>
      </c>
      <c r="P476">
        <v>0</v>
      </c>
      <c r="Q476">
        <v>0</v>
      </c>
      <c r="R476">
        <v>8</v>
      </c>
      <c r="S476">
        <v>0</v>
      </c>
      <c r="T476">
        <v>3</v>
      </c>
      <c r="X476">
        <f t="shared" si="7"/>
        <v>0</v>
      </c>
    </row>
    <row r="477" spans="1:24" x14ac:dyDescent="0.25">
      <c r="A477" t="s">
        <v>866</v>
      </c>
      <c r="B477" t="s">
        <v>391</v>
      </c>
      <c r="C477">
        <v>34</v>
      </c>
      <c r="D477">
        <v>2.16</v>
      </c>
      <c r="E477">
        <v>0</v>
      </c>
      <c r="F477">
        <v>0</v>
      </c>
      <c r="G477">
        <v>0</v>
      </c>
      <c r="H477">
        <v>13</v>
      </c>
      <c r="I477">
        <v>1</v>
      </c>
      <c r="J477">
        <v>0</v>
      </c>
      <c r="K477">
        <v>0</v>
      </c>
      <c r="L477">
        <v>16.2</v>
      </c>
      <c r="M477">
        <v>10</v>
      </c>
      <c r="N477">
        <v>4</v>
      </c>
      <c r="O477">
        <v>4</v>
      </c>
      <c r="P477">
        <v>1</v>
      </c>
      <c r="Q477">
        <v>2</v>
      </c>
      <c r="R477">
        <v>5</v>
      </c>
      <c r="S477">
        <v>0</v>
      </c>
      <c r="T477">
        <v>14</v>
      </c>
      <c r="X477">
        <f t="shared" si="7"/>
        <v>0</v>
      </c>
    </row>
    <row r="478" spans="1:24" x14ac:dyDescent="0.25">
      <c r="A478" t="s">
        <v>867</v>
      </c>
      <c r="B478" t="s">
        <v>391</v>
      </c>
      <c r="C478">
        <v>34</v>
      </c>
      <c r="D478">
        <v>4.08</v>
      </c>
      <c r="E478">
        <v>3</v>
      </c>
      <c r="F478">
        <v>3</v>
      </c>
      <c r="G478">
        <v>2</v>
      </c>
      <c r="H478">
        <v>24</v>
      </c>
      <c r="I478">
        <v>3</v>
      </c>
      <c r="J478">
        <v>0</v>
      </c>
      <c r="K478">
        <v>0</v>
      </c>
      <c r="L478">
        <v>46.1</v>
      </c>
      <c r="M478">
        <v>50</v>
      </c>
      <c r="N478">
        <v>25</v>
      </c>
      <c r="O478">
        <v>21</v>
      </c>
      <c r="P478">
        <v>6</v>
      </c>
      <c r="Q478">
        <v>0</v>
      </c>
      <c r="R478">
        <v>15</v>
      </c>
      <c r="S478">
        <v>4</v>
      </c>
      <c r="T478">
        <v>49</v>
      </c>
      <c r="X478">
        <f t="shared" si="7"/>
        <v>0</v>
      </c>
    </row>
    <row r="479" spans="1:24" x14ac:dyDescent="0.25">
      <c r="A479" t="s">
        <v>868</v>
      </c>
      <c r="B479" t="s">
        <v>391</v>
      </c>
      <c r="C479">
        <v>34</v>
      </c>
      <c r="D479">
        <v>3.86</v>
      </c>
      <c r="E479">
        <v>1</v>
      </c>
      <c r="F479">
        <v>2</v>
      </c>
      <c r="G479">
        <v>3</v>
      </c>
      <c r="H479">
        <v>22</v>
      </c>
      <c r="I479">
        <v>0</v>
      </c>
      <c r="J479">
        <v>0</v>
      </c>
      <c r="K479">
        <v>0</v>
      </c>
      <c r="L479">
        <v>21</v>
      </c>
      <c r="M479">
        <v>13</v>
      </c>
      <c r="N479">
        <v>10</v>
      </c>
      <c r="O479">
        <v>9</v>
      </c>
      <c r="P479">
        <v>2</v>
      </c>
      <c r="Q479">
        <v>1</v>
      </c>
      <c r="R479">
        <v>12</v>
      </c>
      <c r="S479">
        <v>1</v>
      </c>
      <c r="T479">
        <v>25</v>
      </c>
      <c r="X479">
        <f t="shared" si="7"/>
        <v>0</v>
      </c>
    </row>
    <row r="480" spans="1:24" x14ac:dyDescent="0.25">
      <c r="A480" t="s">
        <v>869</v>
      </c>
      <c r="B480" t="s">
        <v>391</v>
      </c>
      <c r="C480">
        <v>34</v>
      </c>
      <c r="D480">
        <v>7.13</v>
      </c>
      <c r="E480">
        <v>1</v>
      </c>
      <c r="F480">
        <v>0</v>
      </c>
      <c r="G480">
        <v>0</v>
      </c>
      <c r="H480">
        <v>19</v>
      </c>
      <c r="I480">
        <v>0</v>
      </c>
      <c r="J480">
        <v>0</v>
      </c>
      <c r="K480">
        <v>0</v>
      </c>
      <c r="L480">
        <v>17.2</v>
      </c>
      <c r="M480">
        <v>23</v>
      </c>
      <c r="N480">
        <v>14</v>
      </c>
      <c r="O480">
        <v>14</v>
      </c>
      <c r="P480">
        <v>2</v>
      </c>
      <c r="Q480">
        <v>1</v>
      </c>
      <c r="R480">
        <v>12</v>
      </c>
      <c r="S480">
        <v>0</v>
      </c>
      <c r="T480">
        <v>9</v>
      </c>
      <c r="X480">
        <f t="shared" si="7"/>
        <v>0</v>
      </c>
    </row>
    <row r="481" spans="1:24" x14ac:dyDescent="0.25">
      <c r="A481" t="s">
        <v>870</v>
      </c>
      <c r="B481" t="s">
        <v>391</v>
      </c>
      <c r="C481">
        <v>34</v>
      </c>
      <c r="D481">
        <v>5.56</v>
      </c>
      <c r="E481">
        <v>3</v>
      </c>
      <c r="F481">
        <v>2</v>
      </c>
      <c r="G481">
        <v>1</v>
      </c>
      <c r="H481">
        <v>45</v>
      </c>
      <c r="I481">
        <v>0</v>
      </c>
      <c r="J481">
        <v>0</v>
      </c>
      <c r="K481">
        <v>0</v>
      </c>
      <c r="L481">
        <v>43.2</v>
      </c>
      <c r="M481">
        <v>51</v>
      </c>
      <c r="N481">
        <v>28</v>
      </c>
      <c r="O481">
        <v>27</v>
      </c>
      <c r="P481">
        <v>14</v>
      </c>
      <c r="Q481">
        <v>2</v>
      </c>
      <c r="R481">
        <v>13</v>
      </c>
      <c r="S481">
        <v>2</v>
      </c>
      <c r="T481">
        <v>35</v>
      </c>
      <c r="X481">
        <f t="shared" si="7"/>
        <v>0</v>
      </c>
    </row>
    <row r="482" spans="1:24" x14ac:dyDescent="0.25">
      <c r="A482" t="s">
        <v>871</v>
      </c>
      <c r="B482" t="s">
        <v>389</v>
      </c>
      <c r="C482">
        <v>34</v>
      </c>
      <c r="D482">
        <v>5.52</v>
      </c>
      <c r="E482">
        <v>5</v>
      </c>
      <c r="F482">
        <v>10</v>
      </c>
      <c r="G482">
        <v>0</v>
      </c>
      <c r="H482">
        <v>27</v>
      </c>
      <c r="I482">
        <v>23</v>
      </c>
      <c r="J482">
        <v>0</v>
      </c>
      <c r="K482">
        <v>0</v>
      </c>
      <c r="L482">
        <v>122.1</v>
      </c>
      <c r="M482">
        <v>129</v>
      </c>
      <c r="N482">
        <v>77</v>
      </c>
      <c r="O482">
        <v>75</v>
      </c>
      <c r="P482">
        <v>25</v>
      </c>
      <c r="Q482">
        <v>9</v>
      </c>
      <c r="R482">
        <v>40</v>
      </c>
      <c r="S482">
        <v>0</v>
      </c>
      <c r="T482">
        <v>86</v>
      </c>
      <c r="X482">
        <f t="shared" si="7"/>
        <v>0</v>
      </c>
    </row>
    <row r="483" spans="1:24" x14ac:dyDescent="0.25">
      <c r="A483" t="s">
        <v>872</v>
      </c>
      <c r="B483" t="s">
        <v>391</v>
      </c>
      <c r="C483">
        <v>34</v>
      </c>
      <c r="D483">
        <v>2.77</v>
      </c>
      <c r="E483">
        <v>0</v>
      </c>
      <c r="F483">
        <v>0</v>
      </c>
      <c r="G483">
        <v>0</v>
      </c>
      <c r="H483">
        <v>7</v>
      </c>
      <c r="I483">
        <v>0</v>
      </c>
      <c r="J483">
        <v>0</v>
      </c>
      <c r="K483">
        <v>0</v>
      </c>
      <c r="L483">
        <v>13</v>
      </c>
      <c r="M483">
        <v>12</v>
      </c>
      <c r="N483">
        <v>5</v>
      </c>
      <c r="O483">
        <v>4</v>
      </c>
      <c r="P483">
        <v>0</v>
      </c>
      <c r="Q483">
        <v>0</v>
      </c>
      <c r="R483">
        <v>5</v>
      </c>
      <c r="S483">
        <v>0</v>
      </c>
      <c r="T483">
        <v>6</v>
      </c>
      <c r="X483">
        <f t="shared" si="7"/>
        <v>0</v>
      </c>
    </row>
    <row r="484" spans="1:24" x14ac:dyDescent="0.25">
      <c r="A484" t="s">
        <v>873</v>
      </c>
      <c r="B484" t="s">
        <v>391</v>
      </c>
      <c r="C484">
        <v>34</v>
      </c>
      <c r="D484">
        <v>4.84</v>
      </c>
      <c r="E484">
        <v>6</v>
      </c>
      <c r="F484">
        <v>7</v>
      </c>
      <c r="G484">
        <v>2</v>
      </c>
      <c r="H484">
        <v>59</v>
      </c>
      <c r="I484">
        <v>0</v>
      </c>
      <c r="J484">
        <v>0</v>
      </c>
      <c r="K484">
        <v>0</v>
      </c>
      <c r="L484">
        <v>48.1</v>
      </c>
      <c r="M484">
        <v>57</v>
      </c>
      <c r="N484">
        <v>31</v>
      </c>
      <c r="O484">
        <v>26</v>
      </c>
      <c r="P484">
        <v>5</v>
      </c>
      <c r="Q484">
        <v>4</v>
      </c>
      <c r="R484">
        <v>17</v>
      </c>
      <c r="S484">
        <v>0</v>
      </c>
      <c r="T484">
        <v>54</v>
      </c>
      <c r="X484">
        <f t="shared" si="7"/>
        <v>0</v>
      </c>
    </row>
    <row r="485" spans="1:24" x14ac:dyDescent="0.25">
      <c r="A485" t="s">
        <v>874</v>
      </c>
      <c r="B485" t="s">
        <v>391</v>
      </c>
      <c r="C485">
        <v>34</v>
      </c>
      <c r="D485">
        <v>15.83</v>
      </c>
      <c r="E485">
        <v>0</v>
      </c>
      <c r="F485">
        <v>1</v>
      </c>
      <c r="G485">
        <v>0</v>
      </c>
      <c r="H485">
        <v>10</v>
      </c>
      <c r="I485">
        <v>0</v>
      </c>
      <c r="J485">
        <v>0</v>
      </c>
      <c r="K485">
        <v>0</v>
      </c>
      <c r="L485">
        <v>9.1999999999999993</v>
      </c>
      <c r="M485">
        <v>26</v>
      </c>
      <c r="N485">
        <v>17</v>
      </c>
      <c r="O485">
        <v>17</v>
      </c>
      <c r="P485">
        <v>5</v>
      </c>
      <c r="Q485">
        <v>1</v>
      </c>
      <c r="R485">
        <v>3</v>
      </c>
      <c r="S485">
        <v>1</v>
      </c>
      <c r="T485">
        <v>8</v>
      </c>
      <c r="X485">
        <f t="shared" si="7"/>
        <v>0</v>
      </c>
    </row>
    <row r="486" spans="1:24" x14ac:dyDescent="0.25">
      <c r="A486" t="s">
        <v>875</v>
      </c>
      <c r="B486" t="s">
        <v>391</v>
      </c>
      <c r="C486">
        <v>34</v>
      </c>
      <c r="D486">
        <v>4.26</v>
      </c>
      <c r="E486">
        <v>0</v>
      </c>
      <c r="F486">
        <v>0</v>
      </c>
      <c r="G486">
        <v>0</v>
      </c>
      <c r="H486">
        <v>7</v>
      </c>
      <c r="I486">
        <v>0</v>
      </c>
      <c r="J486">
        <v>0</v>
      </c>
      <c r="K486">
        <v>0</v>
      </c>
      <c r="L486">
        <v>6.1</v>
      </c>
      <c r="M486">
        <v>11</v>
      </c>
      <c r="N486">
        <v>3</v>
      </c>
      <c r="O486">
        <v>3</v>
      </c>
      <c r="P486">
        <v>0</v>
      </c>
      <c r="Q486">
        <v>0</v>
      </c>
      <c r="R486">
        <v>5</v>
      </c>
      <c r="S486">
        <v>0</v>
      </c>
      <c r="T486">
        <v>7</v>
      </c>
      <c r="X486">
        <f t="shared" si="7"/>
        <v>0</v>
      </c>
    </row>
    <row r="487" spans="1:24" x14ac:dyDescent="0.25">
      <c r="A487" t="s">
        <v>876</v>
      </c>
      <c r="B487" t="s">
        <v>391</v>
      </c>
      <c r="C487">
        <v>34</v>
      </c>
      <c r="D487">
        <v>3.84</v>
      </c>
      <c r="E487">
        <v>3</v>
      </c>
      <c r="F487">
        <v>4</v>
      </c>
      <c r="G487">
        <v>0</v>
      </c>
      <c r="H487">
        <v>73</v>
      </c>
      <c r="I487">
        <v>0</v>
      </c>
      <c r="J487">
        <v>0</v>
      </c>
      <c r="K487">
        <v>0</v>
      </c>
      <c r="L487">
        <v>70.099999999999994</v>
      </c>
      <c r="M487">
        <v>68</v>
      </c>
      <c r="N487">
        <v>35</v>
      </c>
      <c r="O487">
        <v>30</v>
      </c>
      <c r="P487">
        <v>5</v>
      </c>
      <c r="Q487">
        <v>2</v>
      </c>
      <c r="R487">
        <v>21</v>
      </c>
      <c r="S487">
        <v>3</v>
      </c>
      <c r="T487">
        <v>58</v>
      </c>
      <c r="X487">
        <f t="shared" si="7"/>
        <v>0</v>
      </c>
    </row>
    <row r="488" spans="1:24" x14ac:dyDescent="0.25">
      <c r="A488" t="s">
        <v>877</v>
      </c>
      <c r="B488" t="s">
        <v>391</v>
      </c>
      <c r="C488">
        <v>34</v>
      </c>
      <c r="D488">
        <v>4.4800000000000004</v>
      </c>
      <c r="E488">
        <v>1</v>
      </c>
      <c r="F488">
        <v>2</v>
      </c>
      <c r="G488">
        <v>0</v>
      </c>
      <c r="H488">
        <v>59</v>
      </c>
      <c r="I488">
        <v>0</v>
      </c>
      <c r="J488">
        <v>0</v>
      </c>
      <c r="K488">
        <v>0</v>
      </c>
      <c r="L488">
        <v>60.1</v>
      </c>
      <c r="M488">
        <v>42</v>
      </c>
      <c r="N488">
        <v>34</v>
      </c>
      <c r="O488">
        <v>30</v>
      </c>
      <c r="P488">
        <v>5</v>
      </c>
      <c r="Q488">
        <v>0</v>
      </c>
      <c r="R488">
        <v>37</v>
      </c>
      <c r="S488">
        <v>2</v>
      </c>
      <c r="T488">
        <v>58</v>
      </c>
      <c r="X488">
        <f t="shared" si="7"/>
        <v>0</v>
      </c>
    </row>
    <row r="489" spans="1:24" x14ac:dyDescent="0.25">
      <c r="A489" t="s">
        <v>878</v>
      </c>
      <c r="B489" t="s">
        <v>391</v>
      </c>
      <c r="C489">
        <v>34</v>
      </c>
      <c r="D489">
        <v>1.99</v>
      </c>
      <c r="E489">
        <v>2</v>
      </c>
      <c r="F489">
        <v>0</v>
      </c>
      <c r="G489">
        <v>0</v>
      </c>
      <c r="H489">
        <v>30</v>
      </c>
      <c r="I489">
        <v>0</v>
      </c>
      <c r="J489">
        <v>0</v>
      </c>
      <c r="K489">
        <v>0</v>
      </c>
      <c r="L489">
        <v>31.2</v>
      </c>
      <c r="M489">
        <v>25</v>
      </c>
      <c r="N489">
        <v>11</v>
      </c>
      <c r="O489">
        <v>7</v>
      </c>
      <c r="P489">
        <v>0</v>
      </c>
      <c r="Q489">
        <v>1</v>
      </c>
      <c r="R489">
        <v>7</v>
      </c>
      <c r="S489">
        <v>0</v>
      </c>
      <c r="T489">
        <v>32</v>
      </c>
      <c r="X489">
        <f t="shared" si="7"/>
        <v>0</v>
      </c>
    </row>
    <row r="490" spans="1:24" x14ac:dyDescent="0.25">
      <c r="A490" t="s">
        <v>879</v>
      </c>
      <c r="B490" t="s">
        <v>416</v>
      </c>
      <c r="C490">
        <v>34</v>
      </c>
      <c r="D490">
        <v>2.88</v>
      </c>
      <c r="E490">
        <v>2</v>
      </c>
      <c r="F490">
        <v>4</v>
      </c>
      <c r="G490">
        <v>32</v>
      </c>
      <c r="H490">
        <v>70</v>
      </c>
      <c r="I490">
        <v>0</v>
      </c>
      <c r="J490">
        <v>0</v>
      </c>
      <c r="K490">
        <v>0</v>
      </c>
      <c r="L490">
        <v>68.2</v>
      </c>
      <c r="M490">
        <v>41</v>
      </c>
      <c r="N490">
        <v>26</v>
      </c>
      <c r="O490">
        <v>22</v>
      </c>
      <c r="P490">
        <v>10</v>
      </c>
      <c r="Q490">
        <v>2</v>
      </c>
      <c r="R490">
        <v>22</v>
      </c>
      <c r="S490">
        <v>0</v>
      </c>
      <c r="T490">
        <v>81</v>
      </c>
      <c r="X490">
        <f t="shared" si="7"/>
        <v>0</v>
      </c>
    </row>
    <row r="491" spans="1:24" x14ac:dyDescent="0.25">
      <c r="A491" t="s">
        <v>880</v>
      </c>
      <c r="B491" t="s">
        <v>391</v>
      </c>
      <c r="C491">
        <v>34</v>
      </c>
      <c r="D491">
        <v>7.71</v>
      </c>
      <c r="E491">
        <v>0</v>
      </c>
      <c r="F491">
        <v>0</v>
      </c>
      <c r="G491">
        <v>0</v>
      </c>
      <c r="H491">
        <v>15</v>
      </c>
      <c r="I491">
        <v>0</v>
      </c>
      <c r="J491">
        <v>0</v>
      </c>
      <c r="K491">
        <v>0</v>
      </c>
      <c r="L491">
        <v>21</v>
      </c>
      <c r="M491">
        <v>32</v>
      </c>
      <c r="N491">
        <v>20</v>
      </c>
      <c r="O491">
        <v>18</v>
      </c>
      <c r="P491">
        <v>4</v>
      </c>
      <c r="Q491">
        <v>0</v>
      </c>
      <c r="R491">
        <v>10</v>
      </c>
      <c r="S491">
        <v>0</v>
      </c>
      <c r="T491">
        <v>22</v>
      </c>
      <c r="X491">
        <f t="shared" si="7"/>
        <v>0</v>
      </c>
    </row>
    <row r="492" spans="1:24" x14ac:dyDescent="0.25">
      <c r="A492" t="s">
        <v>881</v>
      </c>
      <c r="B492" t="s">
        <v>389</v>
      </c>
      <c r="C492">
        <v>34</v>
      </c>
      <c r="D492">
        <v>6.23</v>
      </c>
      <c r="E492">
        <v>3</v>
      </c>
      <c r="F492">
        <v>2</v>
      </c>
      <c r="G492">
        <v>0</v>
      </c>
      <c r="H492">
        <v>9</v>
      </c>
      <c r="I492">
        <v>9</v>
      </c>
      <c r="J492">
        <v>0</v>
      </c>
      <c r="K492">
        <v>0</v>
      </c>
      <c r="L492">
        <v>39</v>
      </c>
      <c r="M492">
        <v>44</v>
      </c>
      <c r="N492">
        <v>27</v>
      </c>
      <c r="O492">
        <v>27</v>
      </c>
      <c r="P492">
        <v>6</v>
      </c>
      <c r="Q492">
        <v>2</v>
      </c>
      <c r="R492">
        <v>16</v>
      </c>
      <c r="S492">
        <v>0</v>
      </c>
      <c r="T492">
        <v>26</v>
      </c>
      <c r="X492">
        <f t="shared" si="7"/>
        <v>0</v>
      </c>
    </row>
    <row r="493" spans="1:24" x14ac:dyDescent="0.25">
      <c r="A493" t="s">
        <v>882</v>
      </c>
      <c r="B493" t="s">
        <v>391</v>
      </c>
      <c r="C493">
        <v>34</v>
      </c>
      <c r="D493">
        <v>3.9</v>
      </c>
      <c r="E493">
        <v>1</v>
      </c>
      <c r="F493">
        <v>5</v>
      </c>
      <c r="G493">
        <v>4</v>
      </c>
      <c r="H493">
        <v>54</v>
      </c>
      <c r="I493">
        <v>1</v>
      </c>
      <c r="J493">
        <v>0</v>
      </c>
      <c r="K493">
        <v>0</v>
      </c>
      <c r="L493">
        <v>60</v>
      </c>
      <c r="M493">
        <v>68</v>
      </c>
      <c r="N493">
        <v>32</v>
      </c>
      <c r="O493">
        <v>26</v>
      </c>
      <c r="P493">
        <v>2</v>
      </c>
      <c r="Q493">
        <v>4</v>
      </c>
      <c r="R493">
        <v>18</v>
      </c>
      <c r="S493">
        <v>3</v>
      </c>
      <c r="T493">
        <v>49</v>
      </c>
      <c r="X493">
        <f t="shared" si="7"/>
        <v>0</v>
      </c>
    </row>
    <row r="494" spans="1:24" x14ac:dyDescent="0.25">
      <c r="A494" t="s">
        <v>883</v>
      </c>
      <c r="B494" t="s">
        <v>391</v>
      </c>
      <c r="C494">
        <v>35</v>
      </c>
      <c r="D494">
        <v>6.11</v>
      </c>
      <c r="E494">
        <v>1</v>
      </c>
      <c r="F494">
        <v>1</v>
      </c>
      <c r="G494">
        <v>0</v>
      </c>
      <c r="H494">
        <v>21</v>
      </c>
      <c r="I494">
        <v>0</v>
      </c>
      <c r="J494">
        <v>0</v>
      </c>
      <c r="K494">
        <v>0</v>
      </c>
      <c r="L494">
        <v>17.2</v>
      </c>
      <c r="M494">
        <v>23</v>
      </c>
      <c r="N494">
        <v>12</v>
      </c>
      <c r="O494">
        <v>12</v>
      </c>
      <c r="P494">
        <v>5</v>
      </c>
      <c r="Q494">
        <v>1</v>
      </c>
      <c r="R494">
        <v>9</v>
      </c>
      <c r="S494">
        <v>0</v>
      </c>
      <c r="T494">
        <v>8</v>
      </c>
      <c r="X494">
        <f t="shared" si="7"/>
        <v>0</v>
      </c>
    </row>
    <row r="495" spans="1:24" x14ac:dyDescent="0.25">
      <c r="A495" t="s">
        <v>884</v>
      </c>
      <c r="B495" t="s">
        <v>389</v>
      </c>
      <c r="C495">
        <v>35</v>
      </c>
      <c r="D495">
        <v>4.5599999999999996</v>
      </c>
      <c r="E495">
        <v>2</v>
      </c>
      <c r="F495">
        <v>8</v>
      </c>
      <c r="G495">
        <v>0</v>
      </c>
      <c r="H495">
        <v>26</v>
      </c>
      <c r="I495">
        <v>26</v>
      </c>
      <c r="J495">
        <v>0</v>
      </c>
      <c r="K495">
        <v>0</v>
      </c>
      <c r="L495">
        <v>136.1</v>
      </c>
      <c r="M495">
        <v>135</v>
      </c>
      <c r="N495">
        <v>73</v>
      </c>
      <c r="O495">
        <v>69</v>
      </c>
      <c r="P495">
        <v>28</v>
      </c>
      <c r="Q495">
        <v>3</v>
      </c>
      <c r="R495">
        <v>57</v>
      </c>
      <c r="S495">
        <v>4</v>
      </c>
      <c r="T495">
        <v>104</v>
      </c>
      <c r="X495">
        <f t="shared" si="7"/>
        <v>0</v>
      </c>
    </row>
    <row r="496" spans="1:24" x14ac:dyDescent="0.25">
      <c r="A496" t="s">
        <v>885</v>
      </c>
      <c r="B496" t="s">
        <v>391</v>
      </c>
      <c r="C496">
        <v>35</v>
      </c>
      <c r="D496">
        <v>9</v>
      </c>
      <c r="E496">
        <v>0</v>
      </c>
      <c r="F496">
        <v>1</v>
      </c>
      <c r="G496">
        <v>0</v>
      </c>
      <c r="H496">
        <v>6</v>
      </c>
      <c r="I496">
        <v>0</v>
      </c>
      <c r="J496">
        <v>0</v>
      </c>
      <c r="K496">
        <v>0</v>
      </c>
      <c r="L496">
        <v>8</v>
      </c>
      <c r="M496">
        <v>10</v>
      </c>
      <c r="N496">
        <v>9</v>
      </c>
      <c r="O496">
        <v>8</v>
      </c>
      <c r="P496">
        <v>1</v>
      </c>
      <c r="Q496">
        <v>0</v>
      </c>
      <c r="R496">
        <v>3</v>
      </c>
      <c r="S496">
        <v>0</v>
      </c>
      <c r="T496">
        <v>5</v>
      </c>
      <c r="X496">
        <f t="shared" si="7"/>
        <v>0</v>
      </c>
    </row>
    <row r="497" spans="1:24" x14ac:dyDescent="0.25">
      <c r="A497" t="s">
        <v>886</v>
      </c>
      <c r="B497" t="s">
        <v>391</v>
      </c>
      <c r="C497">
        <v>35</v>
      </c>
      <c r="D497">
        <v>7.71</v>
      </c>
      <c r="E497">
        <v>1</v>
      </c>
      <c r="F497">
        <v>1</v>
      </c>
      <c r="G497">
        <v>0</v>
      </c>
      <c r="H497">
        <v>22</v>
      </c>
      <c r="I497">
        <v>0</v>
      </c>
      <c r="J497">
        <v>0</v>
      </c>
      <c r="K497">
        <v>0</v>
      </c>
      <c r="L497">
        <v>23.1</v>
      </c>
      <c r="M497">
        <v>28</v>
      </c>
      <c r="N497">
        <v>23</v>
      </c>
      <c r="O497">
        <v>20</v>
      </c>
      <c r="P497">
        <v>5</v>
      </c>
      <c r="Q497">
        <v>4</v>
      </c>
      <c r="R497">
        <v>12</v>
      </c>
      <c r="S497">
        <v>0</v>
      </c>
      <c r="T497">
        <v>26</v>
      </c>
      <c r="X497">
        <f t="shared" si="7"/>
        <v>0</v>
      </c>
    </row>
    <row r="498" spans="1:24" x14ac:dyDescent="0.25">
      <c r="A498" t="s">
        <v>887</v>
      </c>
      <c r="B498" t="s">
        <v>391</v>
      </c>
      <c r="C498">
        <v>35</v>
      </c>
      <c r="D498">
        <v>2.2999999999999998</v>
      </c>
      <c r="E498">
        <v>2</v>
      </c>
      <c r="F498">
        <v>1</v>
      </c>
      <c r="G498">
        <v>2</v>
      </c>
      <c r="H498">
        <v>55</v>
      </c>
      <c r="I498">
        <v>1</v>
      </c>
      <c r="J498">
        <v>0</v>
      </c>
      <c r="K498">
        <v>0</v>
      </c>
      <c r="L498">
        <v>43</v>
      </c>
      <c r="M498">
        <v>32</v>
      </c>
      <c r="N498">
        <v>11</v>
      </c>
      <c r="O498">
        <v>11</v>
      </c>
      <c r="P498">
        <v>3</v>
      </c>
      <c r="Q498">
        <v>0</v>
      </c>
      <c r="R498">
        <v>18</v>
      </c>
      <c r="S498">
        <v>0</v>
      </c>
      <c r="T498">
        <v>43</v>
      </c>
      <c r="X498">
        <f t="shared" si="7"/>
        <v>0</v>
      </c>
    </row>
    <row r="499" spans="1:24" x14ac:dyDescent="0.25">
      <c r="A499" t="s">
        <v>888</v>
      </c>
      <c r="B499" t="s">
        <v>391</v>
      </c>
      <c r="C499">
        <v>35</v>
      </c>
      <c r="D499">
        <v>5.12</v>
      </c>
      <c r="E499">
        <v>1</v>
      </c>
      <c r="F499">
        <v>2</v>
      </c>
      <c r="G499">
        <v>2</v>
      </c>
      <c r="H499">
        <v>13</v>
      </c>
      <c r="I499">
        <v>4</v>
      </c>
      <c r="J499">
        <v>0</v>
      </c>
      <c r="K499">
        <v>0</v>
      </c>
      <c r="L499">
        <v>38.200000000000003</v>
      </c>
      <c r="M499">
        <v>37</v>
      </c>
      <c r="N499">
        <v>23</v>
      </c>
      <c r="O499">
        <v>22</v>
      </c>
      <c r="P499">
        <v>11</v>
      </c>
      <c r="Q499">
        <v>5</v>
      </c>
      <c r="R499">
        <v>12</v>
      </c>
      <c r="S499">
        <v>2</v>
      </c>
      <c r="T499">
        <v>36</v>
      </c>
      <c r="X499">
        <f t="shared" si="7"/>
        <v>0</v>
      </c>
    </row>
    <row r="500" spans="1:24" x14ac:dyDescent="0.25">
      <c r="A500" t="s">
        <v>889</v>
      </c>
      <c r="B500" t="s">
        <v>391</v>
      </c>
      <c r="C500">
        <v>35</v>
      </c>
      <c r="D500">
        <v>5.4</v>
      </c>
      <c r="E500">
        <v>0</v>
      </c>
      <c r="F500">
        <v>1</v>
      </c>
      <c r="G500">
        <v>0</v>
      </c>
      <c r="H500">
        <v>3</v>
      </c>
      <c r="I500">
        <v>0</v>
      </c>
      <c r="J500">
        <v>0</v>
      </c>
      <c r="K500">
        <v>0</v>
      </c>
      <c r="L500">
        <v>5</v>
      </c>
      <c r="M500">
        <v>6</v>
      </c>
      <c r="N500">
        <v>4</v>
      </c>
      <c r="O500">
        <v>3</v>
      </c>
      <c r="P500">
        <v>1</v>
      </c>
      <c r="Q500">
        <v>1</v>
      </c>
      <c r="R500">
        <v>5</v>
      </c>
      <c r="S500">
        <v>3</v>
      </c>
      <c r="T500">
        <v>3</v>
      </c>
      <c r="X500">
        <f t="shared" si="7"/>
        <v>0</v>
      </c>
    </row>
    <row r="501" spans="1:24" x14ac:dyDescent="0.25">
      <c r="A501" t="s">
        <v>890</v>
      </c>
      <c r="B501" t="s">
        <v>389</v>
      </c>
      <c r="C501">
        <v>35</v>
      </c>
      <c r="D501">
        <v>4.76</v>
      </c>
      <c r="E501">
        <v>8</v>
      </c>
      <c r="F501">
        <v>10</v>
      </c>
      <c r="G501">
        <v>0</v>
      </c>
      <c r="H501">
        <v>31</v>
      </c>
      <c r="I501">
        <v>31</v>
      </c>
      <c r="J501">
        <v>0</v>
      </c>
      <c r="K501">
        <v>0</v>
      </c>
      <c r="L501">
        <v>164.2</v>
      </c>
      <c r="M501">
        <v>167</v>
      </c>
      <c r="N501">
        <v>92</v>
      </c>
      <c r="O501">
        <v>87</v>
      </c>
      <c r="P501">
        <v>25</v>
      </c>
      <c r="Q501">
        <v>5</v>
      </c>
      <c r="R501">
        <v>43</v>
      </c>
      <c r="S501">
        <v>3</v>
      </c>
      <c r="T501">
        <v>114</v>
      </c>
      <c r="X501">
        <f t="shared" si="7"/>
        <v>0</v>
      </c>
    </row>
    <row r="502" spans="1:24" x14ac:dyDescent="0.25">
      <c r="A502" t="s">
        <v>891</v>
      </c>
      <c r="B502" t="s">
        <v>391</v>
      </c>
      <c r="C502">
        <v>35</v>
      </c>
      <c r="D502">
        <v>4.43</v>
      </c>
      <c r="E502">
        <v>1</v>
      </c>
      <c r="F502">
        <v>5</v>
      </c>
      <c r="G502">
        <v>9</v>
      </c>
      <c r="H502">
        <v>66</v>
      </c>
      <c r="I502">
        <v>0</v>
      </c>
      <c r="J502">
        <v>0</v>
      </c>
      <c r="K502">
        <v>0</v>
      </c>
      <c r="L502">
        <v>63</v>
      </c>
      <c r="M502">
        <v>51</v>
      </c>
      <c r="N502">
        <v>32</v>
      </c>
      <c r="O502">
        <v>31</v>
      </c>
      <c r="P502">
        <v>8</v>
      </c>
      <c r="Q502">
        <v>1</v>
      </c>
      <c r="R502">
        <v>31</v>
      </c>
      <c r="S502">
        <v>0</v>
      </c>
      <c r="T502">
        <v>50</v>
      </c>
      <c r="X502">
        <f t="shared" si="7"/>
        <v>0</v>
      </c>
    </row>
    <row r="503" spans="1:24" x14ac:dyDescent="0.25">
      <c r="A503" t="s">
        <v>892</v>
      </c>
      <c r="B503" t="s">
        <v>391</v>
      </c>
      <c r="C503">
        <v>35</v>
      </c>
      <c r="D503">
        <v>0</v>
      </c>
      <c r="E503">
        <v>0</v>
      </c>
      <c r="F503">
        <v>0</v>
      </c>
      <c r="G503">
        <v>0</v>
      </c>
      <c r="H503">
        <v>2</v>
      </c>
      <c r="I503">
        <v>0</v>
      </c>
      <c r="J503">
        <v>0</v>
      </c>
      <c r="K503">
        <v>0</v>
      </c>
      <c r="L503">
        <v>1.2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1</v>
      </c>
      <c r="S503">
        <v>0</v>
      </c>
      <c r="T503">
        <v>0</v>
      </c>
      <c r="X503">
        <f t="shared" si="7"/>
        <v>0</v>
      </c>
    </row>
    <row r="504" spans="1:24" x14ac:dyDescent="0.25">
      <c r="A504" t="s">
        <v>893</v>
      </c>
      <c r="B504" t="s">
        <v>391</v>
      </c>
      <c r="C504">
        <v>35</v>
      </c>
      <c r="D504">
        <v>6.75</v>
      </c>
      <c r="E504">
        <v>0</v>
      </c>
      <c r="F504">
        <v>0</v>
      </c>
      <c r="G504">
        <v>0</v>
      </c>
      <c r="H504">
        <v>13</v>
      </c>
      <c r="I504">
        <v>0</v>
      </c>
      <c r="J504">
        <v>0</v>
      </c>
      <c r="K504">
        <v>0</v>
      </c>
      <c r="L504">
        <v>16</v>
      </c>
      <c r="M504">
        <v>18</v>
      </c>
      <c r="N504">
        <v>12</v>
      </c>
      <c r="O504">
        <v>12</v>
      </c>
      <c r="P504">
        <v>4</v>
      </c>
      <c r="Q504">
        <v>1</v>
      </c>
      <c r="R504">
        <v>7</v>
      </c>
      <c r="S504">
        <v>0</v>
      </c>
      <c r="T504">
        <v>16</v>
      </c>
      <c r="X504">
        <f t="shared" si="7"/>
        <v>0</v>
      </c>
    </row>
    <row r="505" spans="1:24" x14ac:dyDescent="0.25">
      <c r="A505" t="s">
        <v>894</v>
      </c>
      <c r="B505" t="s">
        <v>391</v>
      </c>
      <c r="C505">
        <v>35</v>
      </c>
      <c r="D505">
        <v>2.4500000000000002</v>
      </c>
      <c r="E505">
        <v>0</v>
      </c>
      <c r="F505">
        <v>1</v>
      </c>
      <c r="G505">
        <v>1</v>
      </c>
      <c r="H505">
        <v>9</v>
      </c>
      <c r="I505">
        <v>0</v>
      </c>
      <c r="J505">
        <v>0</v>
      </c>
      <c r="K505">
        <v>0</v>
      </c>
      <c r="L505">
        <v>11</v>
      </c>
      <c r="M505">
        <v>10</v>
      </c>
      <c r="N505">
        <v>4</v>
      </c>
      <c r="O505">
        <v>3</v>
      </c>
      <c r="P505">
        <v>2</v>
      </c>
      <c r="Q505">
        <v>0</v>
      </c>
      <c r="R505">
        <v>2</v>
      </c>
      <c r="S505">
        <v>1</v>
      </c>
      <c r="T505">
        <v>5</v>
      </c>
      <c r="X505">
        <f t="shared" si="7"/>
        <v>0</v>
      </c>
    </row>
    <row r="506" spans="1:24" x14ac:dyDescent="0.25">
      <c r="A506" t="s">
        <v>895</v>
      </c>
      <c r="B506" t="s">
        <v>391</v>
      </c>
      <c r="C506">
        <v>35</v>
      </c>
      <c r="D506">
        <v>4.58</v>
      </c>
      <c r="E506">
        <v>1</v>
      </c>
      <c r="F506">
        <v>1</v>
      </c>
      <c r="G506">
        <v>2</v>
      </c>
      <c r="H506">
        <v>22</v>
      </c>
      <c r="I506">
        <v>0</v>
      </c>
      <c r="J506">
        <v>0</v>
      </c>
      <c r="K506">
        <v>0</v>
      </c>
      <c r="L506">
        <v>19.2</v>
      </c>
      <c r="M506">
        <v>18</v>
      </c>
      <c r="N506">
        <v>11</v>
      </c>
      <c r="O506">
        <v>10</v>
      </c>
      <c r="P506">
        <v>4</v>
      </c>
      <c r="Q506">
        <v>0</v>
      </c>
      <c r="R506">
        <v>6</v>
      </c>
      <c r="S506">
        <v>0</v>
      </c>
      <c r="T506">
        <v>20</v>
      </c>
      <c r="X506">
        <f t="shared" si="7"/>
        <v>0</v>
      </c>
    </row>
    <row r="507" spans="1:24" x14ac:dyDescent="0.25">
      <c r="A507" t="s">
        <v>896</v>
      </c>
      <c r="B507" t="s">
        <v>391</v>
      </c>
      <c r="C507">
        <v>35</v>
      </c>
      <c r="D507">
        <v>10.130000000000001</v>
      </c>
      <c r="E507">
        <v>0</v>
      </c>
      <c r="F507">
        <v>0</v>
      </c>
      <c r="G507">
        <v>0</v>
      </c>
      <c r="H507">
        <v>2</v>
      </c>
      <c r="I507">
        <v>0</v>
      </c>
      <c r="J507">
        <v>0</v>
      </c>
      <c r="K507">
        <v>0</v>
      </c>
      <c r="L507">
        <v>2.2000000000000002</v>
      </c>
      <c r="M507">
        <v>4</v>
      </c>
      <c r="N507">
        <v>3</v>
      </c>
      <c r="O507">
        <v>3</v>
      </c>
      <c r="P507">
        <v>1</v>
      </c>
      <c r="Q507">
        <v>0</v>
      </c>
      <c r="R507">
        <v>4</v>
      </c>
      <c r="S507">
        <v>0</v>
      </c>
      <c r="T507">
        <v>1</v>
      </c>
      <c r="X507">
        <f t="shared" si="7"/>
        <v>0</v>
      </c>
    </row>
    <row r="508" spans="1:24" x14ac:dyDescent="0.25">
      <c r="A508" t="s">
        <v>897</v>
      </c>
      <c r="B508" t="s">
        <v>391</v>
      </c>
      <c r="C508">
        <v>35</v>
      </c>
      <c r="D508">
        <v>2.31</v>
      </c>
      <c r="E508">
        <v>2</v>
      </c>
      <c r="F508">
        <v>0</v>
      </c>
      <c r="G508">
        <v>0</v>
      </c>
      <c r="H508">
        <v>5</v>
      </c>
      <c r="I508">
        <v>1</v>
      </c>
      <c r="J508">
        <v>0</v>
      </c>
      <c r="K508">
        <v>0</v>
      </c>
      <c r="L508">
        <v>11.2</v>
      </c>
      <c r="M508">
        <v>9</v>
      </c>
      <c r="N508">
        <v>4</v>
      </c>
      <c r="O508">
        <v>3</v>
      </c>
      <c r="P508">
        <v>0</v>
      </c>
      <c r="Q508">
        <v>1</v>
      </c>
      <c r="R508">
        <v>2</v>
      </c>
      <c r="S508">
        <v>1</v>
      </c>
      <c r="T508">
        <v>10</v>
      </c>
      <c r="X508">
        <f t="shared" si="7"/>
        <v>0</v>
      </c>
    </row>
    <row r="509" spans="1:24" x14ac:dyDescent="0.25">
      <c r="A509" t="s">
        <v>898</v>
      </c>
      <c r="B509" t="s">
        <v>389</v>
      </c>
      <c r="C509">
        <v>35</v>
      </c>
      <c r="D509">
        <v>4.6399999999999997</v>
      </c>
      <c r="E509">
        <v>10</v>
      </c>
      <c r="F509">
        <v>10</v>
      </c>
      <c r="G509">
        <v>0</v>
      </c>
      <c r="H509">
        <v>30</v>
      </c>
      <c r="I509">
        <v>30</v>
      </c>
      <c r="J509">
        <v>0</v>
      </c>
      <c r="K509">
        <v>0</v>
      </c>
      <c r="L509">
        <v>157</v>
      </c>
      <c r="M509">
        <v>173</v>
      </c>
      <c r="N509">
        <v>85</v>
      </c>
      <c r="O509">
        <v>81</v>
      </c>
      <c r="P509">
        <v>33</v>
      </c>
      <c r="Q509">
        <v>8</v>
      </c>
      <c r="R509">
        <v>36</v>
      </c>
      <c r="S509">
        <v>2</v>
      </c>
      <c r="T509">
        <v>106</v>
      </c>
      <c r="X509">
        <f t="shared" si="7"/>
        <v>0</v>
      </c>
    </row>
    <row r="510" spans="1:24" x14ac:dyDescent="0.25">
      <c r="A510" t="s">
        <v>899</v>
      </c>
      <c r="B510" t="s">
        <v>391</v>
      </c>
      <c r="C510">
        <v>35</v>
      </c>
      <c r="D510">
        <v>1.99</v>
      </c>
      <c r="E510">
        <v>2</v>
      </c>
      <c r="F510">
        <v>1</v>
      </c>
      <c r="G510">
        <v>0</v>
      </c>
      <c r="H510">
        <v>18</v>
      </c>
      <c r="I510">
        <v>0</v>
      </c>
      <c r="J510">
        <v>0</v>
      </c>
      <c r="K510">
        <v>0</v>
      </c>
      <c r="L510">
        <v>22.2</v>
      </c>
      <c r="M510">
        <v>20</v>
      </c>
      <c r="N510">
        <v>5</v>
      </c>
      <c r="O510">
        <v>5</v>
      </c>
      <c r="P510">
        <v>1</v>
      </c>
      <c r="Q510">
        <v>0</v>
      </c>
      <c r="R510">
        <v>7</v>
      </c>
      <c r="S510">
        <v>1</v>
      </c>
      <c r="T510">
        <v>22</v>
      </c>
      <c r="X510">
        <f t="shared" si="7"/>
        <v>0</v>
      </c>
    </row>
    <row r="511" spans="1:24" x14ac:dyDescent="0.25">
      <c r="A511" t="s">
        <v>900</v>
      </c>
      <c r="B511" t="s">
        <v>391</v>
      </c>
      <c r="C511">
        <v>35</v>
      </c>
      <c r="D511">
        <v>4.5199999999999996</v>
      </c>
      <c r="E511">
        <v>1</v>
      </c>
      <c r="F511">
        <v>2</v>
      </c>
      <c r="G511">
        <v>0</v>
      </c>
      <c r="H511">
        <v>48</v>
      </c>
      <c r="I511">
        <v>3</v>
      </c>
      <c r="J511">
        <v>0</v>
      </c>
      <c r="K511">
        <v>0</v>
      </c>
      <c r="L511">
        <v>67.2</v>
      </c>
      <c r="M511">
        <v>69</v>
      </c>
      <c r="N511">
        <v>38</v>
      </c>
      <c r="O511">
        <v>34</v>
      </c>
      <c r="P511">
        <v>11</v>
      </c>
      <c r="Q511">
        <v>2</v>
      </c>
      <c r="R511">
        <v>18</v>
      </c>
      <c r="S511">
        <v>1</v>
      </c>
      <c r="T511">
        <v>53</v>
      </c>
      <c r="X511">
        <f t="shared" si="7"/>
        <v>0</v>
      </c>
    </row>
    <row r="512" spans="1:24" x14ac:dyDescent="0.25">
      <c r="A512" t="s">
        <v>901</v>
      </c>
      <c r="B512" t="s">
        <v>391</v>
      </c>
      <c r="C512">
        <v>35</v>
      </c>
      <c r="D512">
        <v>4.88</v>
      </c>
      <c r="E512">
        <v>2</v>
      </c>
      <c r="F512">
        <v>1</v>
      </c>
      <c r="G512">
        <v>0</v>
      </c>
      <c r="H512">
        <v>21</v>
      </c>
      <c r="I512">
        <v>0</v>
      </c>
      <c r="J512">
        <v>0</v>
      </c>
      <c r="K512">
        <v>0</v>
      </c>
      <c r="L512">
        <v>24</v>
      </c>
      <c r="M512">
        <v>20</v>
      </c>
      <c r="N512">
        <v>13</v>
      </c>
      <c r="O512">
        <v>13</v>
      </c>
      <c r="P512">
        <v>3</v>
      </c>
      <c r="Q512">
        <v>5</v>
      </c>
      <c r="R512">
        <v>8</v>
      </c>
      <c r="S512">
        <v>0</v>
      </c>
      <c r="T512">
        <v>19</v>
      </c>
      <c r="X512">
        <f t="shared" si="7"/>
        <v>0</v>
      </c>
    </row>
    <row r="513" spans="1:24" x14ac:dyDescent="0.25">
      <c r="A513" t="s">
        <v>902</v>
      </c>
      <c r="B513" t="s">
        <v>391</v>
      </c>
      <c r="C513">
        <v>36</v>
      </c>
      <c r="D513">
        <v>6.59</v>
      </c>
      <c r="E513">
        <v>0</v>
      </c>
      <c r="F513">
        <v>2</v>
      </c>
      <c r="G513">
        <v>0</v>
      </c>
      <c r="H513">
        <v>14</v>
      </c>
      <c r="I513">
        <v>0</v>
      </c>
      <c r="J513">
        <v>0</v>
      </c>
      <c r="K513">
        <v>0</v>
      </c>
      <c r="L513">
        <v>13.2</v>
      </c>
      <c r="M513">
        <v>12</v>
      </c>
      <c r="N513">
        <v>11</v>
      </c>
      <c r="O513">
        <v>10</v>
      </c>
      <c r="P513">
        <v>2</v>
      </c>
      <c r="Q513">
        <v>1</v>
      </c>
      <c r="R513">
        <v>7</v>
      </c>
      <c r="S513">
        <v>0</v>
      </c>
      <c r="T513">
        <v>12</v>
      </c>
      <c r="X513">
        <f t="shared" si="7"/>
        <v>0</v>
      </c>
    </row>
    <row r="514" spans="1:24" x14ac:dyDescent="0.25">
      <c r="A514" t="s">
        <v>903</v>
      </c>
      <c r="B514" t="s">
        <v>391</v>
      </c>
      <c r="C514">
        <v>36</v>
      </c>
      <c r="D514">
        <v>6.89</v>
      </c>
      <c r="E514">
        <v>0</v>
      </c>
      <c r="F514">
        <v>0</v>
      </c>
      <c r="G514">
        <v>0</v>
      </c>
      <c r="H514">
        <v>27</v>
      </c>
      <c r="I514">
        <v>0</v>
      </c>
      <c r="J514">
        <v>0</v>
      </c>
      <c r="K514">
        <v>0</v>
      </c>
      <c r="L514">
        <v>15.2</v>
      </c>
      <c r="M514">
        <v>26</v>
      </c>
      <c r="N514">
        <v>12</v>
      </c>
      <c r="O514">
        <v>12</v>
      </c>
      <c r="P514">
        <v>2</v>
      </c>
      <c r="Q514">
        <v>1</v>
      </c>
      <c r="R514">
        <v>3</v>
      </c>
      <c r="S514">
        <v>0</v>
      </c>
      <c r="T514">
        <v>7</v>
      </c>
      <c r="X514">
        <f t="shared" si="7"/>
        <v>0</v>
      </c>
    </row>
    <row r="515" spans="1:24" x14ac:dyDescent="0.25">
      <c r="A515" t="s">
        <v>904</v>
      </c>
      <c r="B515" t="s">
        <v>389</v>
      </c>
      <c r="C515">
        <v>36</v>
      </c>
      <c r="D515">
        <v>4.84</v>
      </c>
      <c r="E515">
        <v>8</v>
      </c>
      <c r="F515">
        <v>11</v>
      </c>
      <c r="G515">
        <v>0</v>
      </c>
      <c r="H515">
        <v>31</v>
      </c>
      <c r="I515">
        <v>31</v>
      </c>
      <c r="J515">
        <v>0</v>
      </c>
      <c r="K515">
        <v>0</v>
      </c>
      <c r="L515">
        <v>156.1</v>
      </c>
      <c r="M515">
        <v>169</v>
      </c>
      <c r="N515">
        <v>87</v>
      </c>
      <c r="O515">
        <v>84</v>
      </c>
      <c r="P515">
        <v>29</v>
      </c>
      <c r="Q515">
        <v>3</v>
      </c>
      <c r="R515">
        <v>37</v>
      </c>
      <c r="S515">
        <v>1</v>
      </c>
      <c r="T515">
        <v>100</v>
      </c>
      <c r="X515">
        <f t="shared" ref="X515:X538" si="8">(V515*2)+W515</f>
        <v>0</v>
      </c>
    </row>
    <row r="516" spans="1:24" x14ac:dyDescent="0.25">
      <c r="A516" t="s">
        <v>905</v>
      </c>
      <c r="B516" t="s">
        <v>391</v>
      </c>
      <c r="C516">
        <v>36</v>
      </c>
      <c r="D516">
        <v>6.75</v>
      </c>
      <c r="E516">
        <v>3</v>
      </c>
      <c r="F516">
        <v>2</v>
      </c>
      <c r="G516">
        <v>0</v>
      </c>
      <c r="H516">
        <v>35</v>
      </c>
      <c r="I516">
        <v>0</v>
      </c>
      <c r="J516">
        <v>0</v>
      </c>
      <c r="K516">
        <v>0</v>
      </c>
      <c r="L516">
        <v>26.2</v>
      </c>
      <c r="M516">
        <v>29</v>
      </c>
      <c r="N516">
        <v>25</v>
      </c>
      <c r="O516">
        <v>20</v>
      </c>
      <c r="P516">
        <v>6</v>
      </c>
      <c r="Q516">
        <v>1</v>
      </c>
      <c r="R516">
        <v>16</v>
      </c>
      <c r="S516">
        <v>1</v>
      </c>
      <c r="T516">
        <v>35</v>
      </c>
      <c r="X516">
        <f t="shared" si="8"/>
        <v>0</v>
      </c>
    </row>
    <row r="517" spans="1:24" x14ac:dyDescent="0.25">
      <c r="A517" t="s">
        <v>906</v>
      </c>
      <c r="B517" t="s">
        <v>391</v>
      </c>
      <c r="C517">
        <v>36</v>
      </c>
      <c r="D517">
        <v>2.17</v>
      </c>
      <c r="E517">
        <v>2</v>
      </c>
      <c r="F517">
        <v>2</v>
      </c>
      <c r="G517">
        <v>1</v>
      </c>
      <c r="H517">
        <v>57</v>
      </c>
      <c r="I517">
        <v>4</v>
      </c>
      <c r="J517">
        <v>0</v>
      </c>
      <c r="K517">
        <v>0</v>
      </c>
      <c r="L517">
        <v>49.2</v>
      </c>
      <c r="M517">
        <v>38</v>
      </c>
      <c r="N517">
        <v>14</v>
      </c>
      <c r="O517">
        <v>12</v>
      </c>
      <c r="P517">
        <v>5</v>
      </c>
      <c r="Q517">
        <v>5</v>
      </c>
      <c r="R517">
        <v>15</v>
      </c>
      <c r="S517">
        <v>1</v>
      </c>
      <c r="T517">
        <v>57</v>
      </c>
      <c r="X517">
        <f t="shared" si="8"/>
        <v>0</v>
      </c>
    </row>
    <row r="518" spans="1:24" x14ac:dyDescent="0.25">
      <c r="A518" t="s">
        <v>907</v>
      </c>
      <c r="B518" t="s">
        <v>391</v>
      </c>
      <c r="C518">
        <v>36</v>
      </c>
      <c r="D518">
        <v>4.3499999999999996</v>
      </c>
      <c r="E518">
        <v>2</v>
      </c>
      <c r="F518">
        <v>3</v>
      </c>
      <c r="G518">
        <v>5</v>
      </c>
      <c r="H518">
        <v>44</v>
      </c>
      <c r="I518">
        <v>0</v>
      </c>
      <c r="J518">
        <v>0</v>
      </c>
      <c r="K518">
        <v>0</v>
      </c>
      <c r="L518">
        <v>41.1</v>
      </c>
      <c r="M518">
        <v>46</v>
      </c>
      <c r="N518">
        <v>24</v>
      </c>
      <c r="O518">
        <v>20</v>
      </c>
      <c r="P518">
        <v>6</v>
      </c>
      <c r="Q518">
        <v>2</v>
      </c>
      <c r="R518">
        <v>17</v>
      </c>
      <c r="S518">
        <v>0</v>
      </c>
      <c r="T518">
        <v>28</v>
      </c>
      <c r="X518">
        <f t="shared" si="8"/>
        <v>0</v>
      </c>
    </row>
    <row r="519" spans="1:24" x14ac:dyDescent="0.25">
      <c r="A519" t="s">
        <v>908</v>
      </c>
      <c r="B519" t="s">
        <v>391</v>
      </c>
      <c r="C519">
        <v>37</v>
      </c>
      <c r="D519">
        <v>4.5</v>
      </c>
      <c r="E519">
        <v>0</v>
      </c>
      <c r="F519">
        <v>1</v>
      </c>
      <c r="G519">
        <v>0</v>
      </c>
      <c r="H519">
        <v>28</v>
      </c>
      <c r="I519">
        <v>1</v>
      </c>
      <c r="J519">
        <v>0</v>
      </c>
      <c r="K519">
        <v>0</v>
      </c>
      <c r="L519">
        <v>26</v>
      </c>
      <c r="M519">
        <v>27</v>
      </c>
      <c r="N519">
        <v>13</v>
      </c>
      <c r="O519">
        <v>13</v>
      </c>
      <c r="P519">
        <v>2</v>
      </c>
      <c r="Q519">
        <v>0</v>
      </c>
      <c r="R519">
        <v>5</v>
      </c>
      <c r="S519">
        <v>0</v>
      </c>
      <c r="T519">
        <v>20</v>
      </c>
      <c r="X519">
        <f t="shared" si="8"/>
        <v>0</v>
      </c>
    </row>
    <row r="520" spans="1:24" x14ac:dyDescent="0.25">
      <c r="A520" t="s">
        <v>909</v>
      </c>
      <c r="B520" t="s">
        <v>389</v>
      </c>
      <c r="C520">
        <v>37</v>
      </c>
      <c r="D520">
        <v>16.78</v>
      </c>
      <c r="E520">
        <v>0</v>
      </c>
      <c r="F520">
        <v>3</v>
      </c>
      <c r="G520">
        <v>0</v>
      </c>
      <c r="H520">
        <v>4</v>
      </c>
      <c r="I520">
        <v>4</v>
      </c>
      <c r="J520">
        <v>0</v>
      </c>
      <c r="K520">
        <v>0</v>
      </c>
      <c r="L520">
        <v>12.1</v>
      </c>
      <c r="M520">
        <v>29</v>
      </c>
      <c r="N520">
        <v>23</v>
      </c>
      <c r="O520">
        <v>23</v>
      </c>
      <c r="P520">
        <v>7</v>
      </c>
      <c r="Q520">
        <v>0</v>
      </c>
      <c r="R520">
        <v>7</v>
      </c>
      <c r="S520">
        <v>0</v>
      </c>
      <c r="T520">
        <v>10</v>
      </c>
      <c r="X520">
        <f t="shared" si="8"/>
        <v>0</v>
      </c>
    </row>
    <row r="521" spans="1:24" x14ac:dyDescent="0.25">
      <c r="A521" t="s">
        <v>910</v>
      </c>
      <c r="B521" t="s">
        <v>391</v>
      </c>
      <c r="C521">
        <v>37</v>
      </c>
      <c r="D521">
        <v>2.25</v>
      </c>
      <c r="E521">
        <v>0</v>
      </c>
      <c r="F521">
        <v>1</v>
      </c>
      <c r="G521">
        <v>0</v>
      </c>
      <c r="H521">
        <v>14</v>
      </c>
      <c r="I521">
        <v>0</v>
      </c>
      <c r="J521">
        <v>0</v>
      </c>
      <c r="K521">
        <v>0</v>
      </c>
      <c r="L521">
        <v>12</v>
      </c>
      <c r="M521">
        <v>10</v>
      </c>
      <c r="N521">
        <v>4</v>
      </c>
      <c r="O521">
        <v>3</v>
      </c>
      <c r="P521">
        <v>2</v>
      </c>
      <c r="Q521">
        <v>0</v>
      </c>
      <c r="R521">
        <v>7</v>
      </c>
      <c r="S521">
        <v>0</v>
      </c>
      <c r="T521">
        <v>17</v>
      </c>
      <c r="X521">
        <f t="shared" si="8"/>
        <v>0</v>
      </c>
    </row>
    <row r="522" spans="1:24" x14ac:dyDescent="0.25">
      <c r="A522" t="s">
        <v>911</v>
      </c>
      <c r="B522" t="s">
        <v>391</v>
      </c>
      <c r="C522">
        <v>37</v>
      </c>
      <c r="D522">
        <v>4.08</v>
      </c>
      <c r="E522">
        <v>1</v>
      </c>
      <c r="F522">
        <v>2</v>
      </c>
      <c r="G522">
        <v>0</v>
      </c>
      <c r="H522">
        <v>6</v>
      </c>
      <c r="I522">
        <v>0</v>
      </c>
      <c r="J522">
        <v>0</v>
      </c>
      <c r="K522">
        <v>0</v>
      </c>
      <c r="L522">
        <v>17.2</v>
      </c>
      <c r="M522">
        <v>26</v>
      </c>
      <c r="N522">
        <v>15</v>
      </c>
      <c r="O522">
        <v>8</v>
      </c>
      <c r="P522">
        <v>2</v>
      </c>
      <c r="Q522">
        <v>1</v>
      </c>
      <c r="R522">
        <v>1</v>
      </c>
      <c r="S522">
        <v>0</v>
      </c>
      <c r="T522">
        <v>7</v>
      </c>
      <c r="X522">
        <f t="shared" si="8"/>
        <v>0</v>
      </c>
    </row>
    <row r="523" spans="1:24" x14ac:dyDescent="0.25">
      <c r="A523" t="s">
        <v>912</v>
      </c>
      <c r="B523" t="s">
        <v>391</v>
      </c>
      <c r="C523">
        <v>37</v>
      </c>
      <c r="D523">
        <v>7.88</v>
      </c>
      <c r="E523">
        <v>0</v>
      </c>
      <c r="F523">
        <v>0</v>
      </c>
      <c r="G523">
        <v>0</v>
      </c>
      <c r="H523">
        <v>7</v>
      </c>
      <c r="I523">
        <v>0</v>
      </c>
      <c r="J523">
        <v>0</v>
      </c>
      <c r="K523">
        <v>0</v>
      </c>
      <c r="L523">
        <v>8</v>
      </c>
      <c r="M523">
        <v>9</v>
      </c>
      <c r="N523">
        <v>8</v>
      </c>
      <c r="O523">
        <v>7</v>
      </c>
      <c r="P523">
        <v>1</v>
      </c>
      <c r="Q523">
        <v>3</v>
      </c>
      <c r="R523">
        <v>6</v>
      </c>
      <c r="S523">
        <v>0</v>
      </c>
      <c r="T523">
        <v>8</v>
      </c>
      <c r="X523">
        <f t="shared" si="8"/>
        <v>0</v>
      </c>
    </row>
    <row r="524" spans="1:24" x14ac:dyDescent="0.25">
      <c r="A524" t="s">
        <v>913</v>
      </c>
      <c r="B524" t="s">
        <v>391</v>
      </c>
      <c r="C524">
        <v>37</v>
      </c>
      <c r="D524">
        <v>2.4500000000000002</v>
      </c>
      <c r="E524">
        <v>3</v>
      </c>
      <c r="F524">
        <v>1</v>
      </c>
      <c r="G524">
        <v>0</v>
      </c>
      <c r="H524">
        <v>30</v>
      </c>
      <c r="I524">
        <v>0</v>
      </c>
      <c r="J524">
        <v>0</v>
      </c>
      <c r="K524">
        <v>0</v>
      </c>
      <c r="L524">
        <v>25.2</v>
      </c>
      <c r="M524">
        <v>14</v>
      </c>
      <c r="N524">
        <v>7</v>
      </c>
      <c r="O524">
        <v>7</v>
      </c>
      <c r="P524">
        <v>0</v>
      </c>
      <c r="Q524">
        <v>2</v>
      </c>
      <c r="R524">
        <v>6</v>
      </c>
      <c r="S524">
        <v>0</v>
      </c>
      <c r="T524">
        <v>25</v>
      </c>
      <c r="X524">
        <f t="shared" si="8"/>
        <v>0</v>
      </c>
    </row>
    <row r="525" spans="1:24" x14ac:dyDescent="0.25">
      <c r="A525" t="s">
        <v>914</v>
      </c>
      <c r="B525" t="s">
        <v>391</v>
      </c>
      <c r="C525">
        <v>37</v>
      </c>
      <c r="D525">
        <v>5.4</v>
      </c>
      <c r="E525">
        <v>2</v>
      </c>
      <c r="F525">
        <v>7</v>
      </c>
      <c r="G525">
        <v>2</v>
      </c>
      <c r="H525">
        <v>32</v>
      </c>
      <c r="I525">
        <v>0</v>
      </c>
      <c r="J525">
        <v>0</v>
      </c>
      <c r="K525">
        <v>0</v>
      </c>
      <c r="L525">
        <v>26.2</v>
      </c>
      <c r="M525">
        <v>30</v>
      </c>
      <c r="N525">
        <v>18</v>
      </c>
      <c r="O525">
        <v>16</v>
      </c>
      <c r="P525">
        <v>4</v>
      </c>
      <c r="Q525">
        <v>2</v>
      </c>
      <c r="R525">
        <v>19</v>
      </c>
      <c r="S525">
        <v>4</v>
      </c>
      <c r="T525">
        <v>36</v>
      </c>
      <c r="X525">
        <f t="shared" si="8"/>
        <v>0</v>
      </c>
    </row>
    <row r="526" spans="1:24" x14ac:dyDescent="0.25">
      <c r="A526" t="s">
        <v>915</v>
      </c>
      <c r="B526" t="s">
        <v>391</v>
      </c>
      <c r="C526">
        <v>37</v>
      </c>
      <c r="D526">
        <v>3.35</v>
      </c>
      <c r="E526">
        <v>4</v>
      </c>
      <c r="F526">
        <v>1</v>
      </c>
      <c r="G526">
        <v>0</v>
      </c>
      <c r="H526">
        <v>61</v>
      </c>
      <c r="I526">
        <v>0</v>
      </c>
      <c r="J526">
        <v>0</v>
      </c>
      <c r="K526">
        <v>0</v>
      </c>
      <c r="L526">
        <v>48.1</v>
      </c>
      <c r="M526">
        <v>48</v>
      </c>
      <c r="N526">
        <v>22</v>
      </c>
      <c r="O526">
        <v>18</v>
      </c>
      <c r="P526">
        <v>3</v>
      </c>
      <c r="Q526">
        <v>2</v>
      </c>
      <c r="R526">
        <v>20</v>
      </c>
      <c r="S526">
        <v>3</v>
      </c>
      <c r="T526">
        <v>57</v>
      </c>
      <c r="X526">
        <f t="shared" si="8"/>
        <v>0</v>
      </c>
    </row>
    <row r="527" spans="1:24" x14ac:dyDescent="0.25">
      <c r="A527" t="s">
        <v>916</v>
      </c>
      <c r="B527" t="s">
        <v>389</v>
      </c>
      <c r="C527">
        <v>38</v>
      </c>
      <c r="D527">
        <v>7.09</v>
      </c>
      <c r="E527">
        <v>2</v>
      </c>
      <c r="F527">
        <v>2</v>
      </c>
      <c r="G527">
        <v>0</v>
      </c>
      <c r="H527">
        <v>11</v>
      </c>
      <c r="I527">
        <v>9</v>
      </c>
      <c r="J527">
        <v>0</v>
      </c>
      <c r="K527">
        <v>0</v>
      </c>
      <c r="L527">
        <v>45.2</v>
      </c>
      <c r="M527">
        <v>61</v>
      </c>
      <c r="N527">
        <v>36</v>
      </c>
      <c r="O527">
        <v>36</v>
      </c>
      <c r="P527">
        <v>10</v>
      </c>
      <c r="Q527">
        <v>0</v>
      </c>
      <c r="R527">
        <v>17</v>
      </c>
      <c r="S527">
        <v>0</v>
      </c>
      <c r="T527">
        <v>34</v>
      </c>
      <c r="X527">
        <f t="shared" si="8"/>
        <v>0</v>
      </c>
    </row>
    <row r="528" spans="1:24" x14ac:dyDescent="0.25">
      <c r="A528" t="s">
        <v>917</v>
      </c>
      <c r="B528" t="s">
        <v>391</v>
      </c>
      <c r="C528">
        <v>38</v>
      </c>
      <c r="D528">
        <v>3.42</v>
      </c>
      <c r="E528">
        <v>2</v>
      </c>
      <c r="F528">
        <v>2</v>
      </c>
      <c r="G528">
        <v>2</v>
      </c>
      <c r="H528">
        <v>58</v>
      </c>
      <c r="I528">
        <v>0</v>
      </c>
      <c r="J528">
        <v>0</v>
      </c>
      <c r="K528">
        <v>0</v>
      </c>
      <c r="L528">
        <v>55.1</v>
      </c>
      <c r="M528">
        <v>55</v>
      </c>
      <c r="N528">
        <v>23</v>
      </c>
      <c r="O528">
        <v>21</v>
      </c>
      <c r="P528">
        <v>2</v>
      </c>
      <c r="Q528">
        <v>0</v>
      </c>
      <c r="R528">
        <v>26</v>
      </c>
      <c r="S528">
        <v>5</v>
      </c>
      <c r="T528">
        <v>48</v>
      </c>
      <c r="X528">
        <f t="shared" si="8"/>
        <v>0</v>
      </c>
    </row>
    <row r="529" spans="1:24" x14ac:dyDescent="0.25">
      <c r="A529" t="s">
        <v>918</v>
      </c>
      <c r="B529" t="s">
        <v>389</v>
      </c>
      <c r="C529">
        <v>38</v>
      </c>
      <c r="D529">
        <v>6.75</v>
      </c>
      <c r="E529">
        <v>1</v>
      </c>
      <c r="F529">
        <v>0</v>
      </c>
      <c r="G529">
        <v>0</v>
      </c>
      <c r="H529">
        <v>3</v>
      </c>
      <c r="I529">
        <v>2</v>
      </c>
      <c r="J529">
        <v>0</v>
      </c>
      <c r="K529">
        <v>0</v>
      </c>
      <c r="L529">
        <v>12</v>
      </c>
      <c r="M529">
        <v>15</v>
      </c>
      <c r="N529">
        <v>9</v>
      </c>
      <c r="O529">
        <v>9</v>
      </c>
      <c r="P529">
        <v>3</v>
      </c>
      <c r="Q529">
        <v>1</v>
      </c>
      <c r="R529">
        <v>6</v>
      </c>
      <c r="S529">
        <v>0</v>
      </c>
      <c r="T529">
        <v>7</v>
      </c>
      <c r="X529">
        <f t="shared" si="8"/>
        <v>0</v>
      </c>
    </row>
    <row r="530" spans="1:24" x14ac:dyDescent="0.25">
      <c r="A530" t="s">
        <v>919</v>
      </c>
      <c r="B530" t="s">
        <v>391</v>
      </c>
      <c r="C530">
        <v>38</v>
      </c>
      <c r="D530">
        <v>2.64</v>
      </c>
      <c r="E530">
        <v>3</v>
      </c>
      <c r="F530">
        <v>4</v>
      </c>
      <c r="G530">
        <v>1</v>
      </c>
      <c r="H530">
        <v>67</v>
      </c>
      <c r="I530">
        <v>0</v>
      </c>
      <c r="J530">
        <v>0</v>
      </c>
      <c r="K530">
        <v>0</v>
      </c>
      <c r="L530">
        <v>58</v>
      </c>
      <c r="M530">
        <v>38</v>
      </c>
      <c r="N530">
        <v>17</v>
      </c>
      <c r="O530">
        <v>17</v>
      </c>
      <c r="P530">
        <v>5</v>
      </c>
      <c r="Q530">
        <v>0</v>
      </c>
      <c r="R530">
        <v>13</v>
      </c>
      <c r="S530">
        <v>1</v>
      </c>
      <c r="T530">
        <v>56</v>
      </c>
      <c r="X530">
        <f t="shared" si="8"/>
        <v>0</v>
      </c>
    </row>
    <row r="531" spans="1:24" x14ac:dyDescent="0.25">
      <c r="A531" t="s">
        <v>920</v>
      </c>
      <c r="B531" t="s">
        <v>391</v>
      </c>
      <c r="C531">
        <v>38</v>
      </c>
      <c r="D531">
        <v>5.23</v>
      </c>
      <c r="E531">
        <v>4</v>
      </c>
      <c r="F531">
        <v>3</v>
      </c>
      <c r="G531">
        <v>3</v>
      </c>
      <c r="H531">
        <v>50</v>
      </c>
      <c r="I531">
        <v>0</v>
      </c>
      <c r="J531">
        <v>0</v>
      </c>
      <c r="K531">
        <v>0</v>
      </c>
      <c r="L531">
        <v>41.1</v>
      </c>
      <c r="M531">
        <v>38</v>
      </c>
      <c r="N531">
        <v>26</v>
      </c>
      <c r="O531">
        <v>24</v>
      </c>
      <c r="P531">
        <v>9</v>
      </c>
      <c r="Q531">
        <v>1</v>
      </c>
      <c r="R531">
        <v>17</v>
      </c>
      <c r="S531">
        <v>0</v>
      </c>
      <c r="T531">
        <v>52</v>
      </c>
      <c r="X531">
        <f t="shared" si="8"/>
        <v>0</v>
      </c>
    </row>
    <row r="532" spans="1:24" x14ac:dyDescent="0.25">
      <c r="A532" t="s">
        <v>921</v>
      </c>
      <c r="B532" t="s">
        <v>391</v>
      </c>
      <c r="C532">
        <v>39</v>
      </c>
      <c r="D532">
        <v>2.98</v>
      </c>
      <c r="E532">
        <v>2</v>
      </c>
      <c r="F532">
        <v>6</v>
      </c>
      <c r="G532">
        <v>2</v>
      </c>
      <c r="H532">
        <v>48</v>
      </c>
      <c r="I532">
        <v>0</v>
      </c>
      <c r="J532">
        <v>0</v>
      </c>
      <c r="K532">
        <v>0</v>
      </c>
      <c r="L532">
        <v>42.1</v>
      </c>
      <c r="M532">
        <v>43</v>
      </c>
      <c r="N532">
        <v>18</v>
      </c>
      <c r="O532">
        <v>14</v>
      </c>
      <c r="P532">
        <v>6</v>
      </c>
      <c r="Q532">
        <v>1</v>
      </c>
      <c r="R532">
        <v>8</v>
      </c>
      <c r="S532">
        <v>3</v>
      </c>
      <c r="T532">
        <v>43</v>
      </c>
      <c r="X532">
        <f t="shared" si="8"/>
        <v>0</v>
      </c>
    </row>
    <row r="533" spans="1:24" x14ac:dyDescent="0.25">
      <c r="A533" t="s">
        <v>922</v>
      </c>
      <c r="B533" t="s">
        <v>391</v>
      </c>
      <c r="C533">
        <v>39</v>
      </c>
      <c r="D533">
        <v>0</v>
      </c>
      <c r="E533">
        <v>0</v>
      </c>
      <c r="F533">
        <v>0</v>
      </c>
      <c r="G533">
        <v>0</v>
      </c>
      <c r="H533">
        <v>3</v>
      </c>
      <c r="I533">
        <v>0</v>
      </c>
      <c r="J533">
        <v>0</v>
      </c>
      <c r="K533">
        <v>0</v>
      </c>
      <c r="L533">
        <v>1.2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4</v>
      </c>
      <c r="S533">
        <v>0</v>
      </c>
      <c r="T533">
        <v>3</v>
      </c>
      <c r="X533">
        <f t="shared" si="8"/>
        <v>0</v>
      </c>
    </row>
    <row r="534" spans="1:24" x14ac:dyDescent="0.25">
      <c r="A534" t="s">
        <v>923</v>
      </c>
      <c r="B534" t="s">
        <v>391</v>
      </c>
      <c r="C534">
        <v>40</v>
      </c>
      <c r="D534">
        <v>4.08</v>
      </c>
      <c r="E534">
        <v>2</v>
      </c>
      <c r="F534">
        <v>0</v>
      </c>
      <c r="G534">
        <v>2</v>
      </c>
      <c r="H534">
        <v>20</v>
      </c>
      <c r="I534">
        <v>0</v>
      </c>
      <c r="J534">
        <v>0</v>
      </c>
      <c r="K534">
        <v>0</v>
      </c>
      <c r="L534">
        <v>17.2</v>
      </c>
      <c r="M534">
        <v>18</v>
      </c>
      <c r="N534">
        <v>9</v>
      </c>
      <c r="O534">
        <v>8</v>
      </c>
      <c r="P534">
        <v>4</v>
      </c>
      <c r="Q534">
        <v>0</v>
      </c>
      <c r="R534">
        <v>8</v>
      </c>
      <c r="S534">
        <v>1</v>
      </c>
      <c r="T534">
        <v>22</v>
      </c>
      <c r="X534">
        <f t="shared" si="8"/>
        <v>0</v>
      </c>
    </row>
    <row r="535" spans="1:24" x14ac:dyDescent="0.25">
      <c r="A535" t="s">
        <v>924</v>
      </c>
      <c r="B535" t="s">
        <v>391</v>
      </c>
      <c r="C535">
        <v>41</v>
      </c>
      <c r="D535">
        <v>9</v>
      </c>
      <c r="E535">
        <v>0</v>
      </c>
      <c r="F535">
        <v>1</v>
      </c>
      <c r="G535">
        <v>0</v>
      </c>
      <c r="H535">
        <v>4</v>
      </c>
      <c r="I535">
        <v>0</v>
      </c>
      <c r="J535">
        <v>0</v>
      </c>
      <c r="K535">
        <v>0</v>
      </c>
      <c r="L535">
        <v>8</v>
      </c>
      <c r="M535">
        <v>14</v>
      </c>
      <c r="N535">
        <v>8</v>
      </c>
      <c r="O535">
        <v>8</v>
      </c>
      <c r="P535">
        <v>4</v>
      </c>
      <c r="Q535">
        <v>0</v>
      </c>
      <c r="R535">
        <v>5</v>
      </c>
      <c r="S535">
        <v>0</v>
      </c>
      <c r="T535">
        <v>8</v>
      </c>
      <c r="X535">
        <f t="shared" si="8"/>
        <v>0</v>
      </c>
    </row>
    <row r="536" spans="1:24" x14ac:dyDescent="0.25">
      <c r="A536" t="s">
        <v>925</v>
      </c>
      <c r="B536" t="s">
        <v>389</v>
      </c>
      <c r="C536">
        <v>41</v>
      </c>
      <c r="D536">
        <v>5.83</v>
      </c>
      <c r="E536">
        <v>9</v>
      </c>
      <c r="F536">
        <v>11</v>
      </c>
      <c r="G536">
        <v>0</v>
      </c>
      <c r="H536">
        <v>33</v>
      </c>
      <c r="I536">
        <v>27</v>
      </c>
      <c r="J536">
        <v>0</v>
      </c>
      <c r="K536">
        <v>0</v>
      </c>
      <c r="L536">
        <v>142</v>
      </c>
      <c r="M536">
        <v>152</v>
      </c>
      <c r="N536">
        <v>94</v>
      </c>
      <c r="O536">
        <v>92</v>
      </c>
      <c r="P536">
        <v>23</v>
      </c>
      <c r="Q536">
        <v>14</v>
      </c>
      <c r="R536">
        <v>72</v>
      </c>
      <c r="S536">
        <v>2</v>
      </c>
      <c r="T536">
        <v>149</v>
      </c>
      <c r="X536">
        <f t="shared" si="8"/>
        <v>0</v>
      </c>
    </row>
    <row r="537" spans="1:24" x14ac:dyDescent="0.25">
      <c r="A537" t="s">
        <v>926</v>
      </c>
      <c r="B537" t="s">
        <v>389</v>
      </c>
      <c r="C537">
        <v>42</v>
      </c>
      <c r="D537">
        <v>3.85</v>
      </c>
      <c r="E537">
        <v>4</v>
      </c>
      <c r="F537">
        <v>11</v>
      </c>
      <c r="G537">
        <v>0</v>
      </c>
      <c r="H537">
        <v>29</v>
      </c>
      <c r="I537">
        <v>29</v>
      </c>
      <c r="J537">
        <v>0</v>
      </c>
      <c r="K537">
        <v>0</v>
      </c>
      <c r="L537">
        <v>152</v>
      </c>
      <c r="M537">
        <v>155</v>
      </c>
      <c r="N537">
        <v>74</v>
      </c>
      <c r="O537">
        <v>65</v>
      </c>
      <c r="P537">
        <v>16</v>
      </c>
      <c r="Q537">
        <v>6</v>
      </c>
      <c r="R537">
        <v>52</v>
      </c>
      <c r="S537">
        <v>1</v>
      </c>
      <c r="T537">
        <v>137</v>
      </c>
      <c r="X537">
        <f t="shared" si="8"/>
        <v>0</v>
      </c>
    </row>
    <row r="538" spans="1:24" x14ac:dyDescent="0.25">
      <c r="A538" t="s">
        <v>927</v>
      </c>
      <c r="B538" t="s">
        <v>389</v>
      </c>
      <c r="C538">
        <v>45</v>
      </c>
      <c r="D538">
        <v>5</v>
      </c>
      <c r="E538">
        <v>0</v>
      </c>
      <c r="F538">
        <v>2</v>
      </c>
      <c r="G538">
        <v>0</v>
      </c>
      <c r="H538">
        <v>2</v>
      </c>
      <c r="I538">
        <v>2</v>
      </c>
      <c r="J538">
        <v>0</v>
      </c>
      <c r="K538">
        <v>0</v>
      </c>
      <c r="L538">
        <v>9</v>
      </c>
      <c r="M538">
        <v>9</v>
      </c>
      <c r="N538">
        <v>7</v>
      </c>
      <c r="O538">
        <v>5</v>
      </c>
      <c r="P538">
        <v>2</v>
      </c>
      <c r="Q538">
        <v>0</v>
      </c>
      <c r="R538">
        <v>8</v>
      </c>
      <c r="S538">
        <v>0</v>
      </c>
      <c r="T538">
        <v>4</v>
      </c>
      <c r="X538">
        <f t="shared" si="8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Bats</vt:lpstr>
      <vt:lpstr>Arms</vt:lpstr>
    </vt:vector>
  </TitlesOfParts>
  <Company>St. Louis Cardinals,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Mauricio Rubio</dc:creator>
  <cp:lastModifiedBy>Mauricio Rubio</cp:lastModifiedBy>
  <dcterms:created xsi:type="dcterms:W3CDTF">2026-01-12T21:16:08Z</dcterms:created>
  <dcterms:modified xsi:type="dcterms:W3CDTF">2026-01-12T21:50:05Z</dcterms:modified>
</cp:coreProperties>
</file>